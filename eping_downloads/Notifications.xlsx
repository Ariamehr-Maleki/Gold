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bookViews>
  <sheets>
    <sheet name="Notifications" sheetId="1" r:id="rId1"/>
  </sheets>
  <calcPr fullCalcOnLoad="1"/>
</workbook>
</file>

<file path=xl/sharedStrings.xml><?xml version="1.0" encoding="utf-8"?>
<sst xmlns="http://schemas.openxmlformats.org/spreadsheetml/2006/main" count="219" uniqueCount="219">
  <si>
    <t>Notifying Member</t>
  </si>
  <si>
    <t>Distribution date</t>
  </si>
  <si>
    <t>Document symbol</t>
  </si>
  <si>
    <t>Title</t>
  </si>
  <si>
    <t>Description</t>
  </si>
  <si>
    <t>Products covered</t>
  </si>
  <si>
    <t>HS code(s)</t>
  </si>
  <si>
    <t>ICS code(s)</t>
  </si>
  <si>
    <t>Objectives</t>
  </si>
  <si>
    <t>Keywords</t>
  </si>
  <si>
    <t>Specific regions or countries likely to be affected</t>
  </si>
  <si>
    <t>Final date for comments</t>
  </si>
  <si>
    <t>Notification type</t>
  </si>
  <si>
    <t>Notified document</t>
  </si>
  <si>
    <t>Link to notification(EN)</t>
  </si>
  <si>
    <t>Link to notification(FR)</t>
  </si>
  <si>
    <t>Link to notification(ES)</t>
  </si>
  <si>
    <t>Technical Regulation (Article 2.9.2)</t>
  </si>
  <si>
    <t>Technical Regulation - urgent (Article 2.10.1)</t>
  </si>
  <si>
    <t>Conformity Assessment Procedure (Article 5.6.2)</t>
  </si>
  <si>
    <t xml:space="preserve">Conformity Assessment Procedure - urgent  (Article 5.7.1)</t>
  </si>
  <si>
    <t>Technical Regulation - local government (Article 3.2)</t>
  </si>
  <si>
    <t>Conformity Assessment Procedure - local government (Article 7.2)</t>
  </si>
  <si>
    <t>Other</t>
  </si>
  <si>
    <t>Relevant documents</t>
  </si>
  <si>
    <t>Codex Alimentarius Commision</t>
  </si>
  <si>
    <t>World Organization for Animal Health (OIE)</t>
  </si>
  <si>
    <t>International Plant Protection Convention</t>
  </si>
  <si>
    <t>None</t>
  </si>
  <si>
    <t>Does this proposed regulation conform to the relevant international standard?</t>
  </si>
  <si>
    <t>If no, describe, whenever possible how and why it deviates from the international standard</t>
  </si>
  <si>
    <t>Germany</t>
  </si>
  <si>
    <t>Second Ordinance Amending the Ordinance on the Quality and Labelling of Fuels</t>
  </si>
  <si>
    <t>The Ordinance on the Quality and Labelling of Fuels (10th BImSchV), this ordinance sets - in respect of road vehicles, non-road mobile machinery (including inland waterway vessels when not at sea), agricultural and forestry tractors, and recreational craft when not at sea - technical specifications for fuels to be used with positive ignition and compression-ignition engines and labelling requirements for fuels. The ordinance applies especially to petrol, diesel fuels, gas oil, biodiesel, ethanol fuel, liquid petroleum gas, natural or bio gas as fuel, vegetable oil fuel, hydrogen and fuel oil.Quality requirements for automotive B10 diesel and paraffinic diesel XTL have been implemented in the ordinance.The ordinance will specify the labelling of fuels according to the relevant European standard.The quality requirements for transport fuels are updated to the latest state of the art by citing the latest version of DIN or CEN standards in the Ordinance on the Quality and Labelling of Fuels.</t>
  </si>
  <si>
    <t>KN-Code: 2710 12 41, KN-Code: 2710 12 45, KN-Code: 2710 12 49, KN-Code: 2710 12 50, KN Code: 2710 20 11, KN-Code: 2710 20 16, KN-Code: 2710 19 43, KN-Code: 2710 19 46, KN-Code: 2710 19 47, KN-Code: 3826 00 10, KN-Code: 3826 00 90, KN-Code 22 07, KN-Code 2711 11 00, KN-Codes: 2711 12 11 – 2711 19 00, KN Code: 2711 21 00, KN-Code 2711 29 00, KN Code 2804 10 00, HS: 1507 – 1518, KN Codes: 2710 19 62 – 2710 19 67. </t>
  </si>
  <si>
    <t>1508 - Groundnut oil and its fractions, whether or not refined, but not chemically modified; 2711 - Petroleum gas and other gaseous hydrocarbons; 2710 - Petroleum oils and oils obtained from bituminous minerals (excl. crude); preparations containing &gt;= 70% by weight of petroleum oils or of oils obtained from bituminous minerals, these oils being the basic constituents of the preparations, n.e.s.; waste oils containing mainly petroleum or bituminous minerals; 2207 - Undenatured ethyl alcohol of an alcoholic strength of &gt;= 80%; ethyl alcohol and other spirits, denatured, of any strength; 1518 - 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1517 - Margarine, other edible mixtures or preparations of animal or vegetable fats or oils and edible fractions of different fats or oils (excl. fats, oils and their fractions, partly or wholly hydrogenated, inter-esterified, re-esterified or elaidinised, whether or not refined, but not further prepared, and mixtures of olive oils and their fractions); 1516 - Animal, vegetable or microbial fats and oils and their fractions, partly or wholly hydrogenated, inter-esterified, re-esterified or elaidinised, whether or not refined, but not further prepared; 2804 - Hydrogen, rare gases and other non-metals; 1515 - Fixed vegetable or microbial fats and oils, incl. jojoba oil, and their fractions, whether or not refined, but not chemically modified (excl. soya-bean, groundnut, olive, palm, sunflower-seed, safflower, cotton-seed, coconut, palm kernel, babassu, rape, colza and mustard oil); 1513 - Coconut "copra", palm kernel or babassu oil and fractions thereof, whether or not refined, but not chemically modified; 1512 - Sunflower-seed, safflower or cotton-seed oil and fractions thereof, whether or not refined, but not chemically modified; 1511 - Palm oil and its fractions, whether or not refined (excl. chemically modified); 1510 - Other oils and their fractions, obtained solely from olives, whether or not refined, but not chemically modified, incl. blends of these oils or fractions with oils or fractions of heading 1509; 1509 - Olive oil and its fractions obtained from the fruit of the olive tree solely by mechanical or other physical means under conditions that do not lead to deterioration of the oil, whether or not refined, but not chemically modified; 1507 - Soya-bean oil and its fractions, whether or not refined (excl. chemically modified); 1514 - Rape, colza or mustard oil and fractions thereof, whether or not refined, but not chemically modified; 3826 - Biodiesel and mixtures thereof, not containing or containing less than 70 % by weight of petroleum oils or oils obtained from bituminous minerals.</t>
  </si>
  <si>
    <t/>
  </si>
  <si>
    <t>Other (TBT)</t>
  </si>
  <si>
    <t>Regular notification</t>
  </si>
  <si>
    <t>Yes</t>
  </si>
  <si>
    <t>No</t>
  </si>
  <si>
    <t>Zehnte Verordnung zur Durchführung des Bundes-Immissionsschutzgesetzes (Verordnung über die Beschaffenheit und die Auszeichnung der Qualitäten von Kraft- und Brennstoffen - 10. BImSchV)DIN EN 228, Version August 2017 DIN EN 590, Version May 2022DIN EN 16734, Version September 2022DIN EN 15940, Version July 2023 DIN EN 14214, Version May 2019 DIN EN 15293, Version October 2018DIN EN 589, Version April 2022DIN EN 16723-2, Version October 2017DIN 51605, Version November 2020DIN 51623, Version November 2020DIN EN 17124, Version December 2022DIN EN 14274, Version May 2013DIN EN ISO 3170, Version June 2004DIN EN ISO 3171, Version November 2000DIN EN ISO 4257, Version March 2002DIN ISO 21087, Version March 2022 DVGW Arbeitsblatt G 264, Version February 2019DIN EN 12662, Version July 2008DIN EN ISO 8754, Version December 2003DIN EN ISO 14596, Version December 2007DIN EN ISO 20846, Version December 2019 DIN EN ISO 20884, Version January 2022DIN EN ISO 13032, Version June 2012DIN 51400-3, Version June 2001DIN EN ISO 3104, Version January 2021DIN 51562-1, Version January 1999DIN 51366, Version December 2013DIN EN ISO 3405, Version September 2019DIN EN ISO 3924, Version December 2019DIN 51444, Version October 2020DIN EN 17186, Version June 2019DIN EN ISO 3675, Version November 1999EN ISO 12185, Version November 1997 andDIN 51757, Version January 2011.Some relevant documents have already been notified in the context of G/TBT/N/DEU/17, G/TBT/N/DEU/7, G/TBT/N/DEU/12 or G/TBT/N/DEU/12/Rev.1</t>
  </si>
  <si>
    <t>Act on the labelling of foodstuffs with the husbandry of the animals from which the food was obtained (Animal Husbandry Labelling Act - TierHaltKennzG); </t>
  </si>
  <si>
    <t>The draft law regulates the introduction of labelling of fresh, unprocessed pork meat that is sold in Germany. Animal husbandry labelling is mandatory for fresh (unprocessed) pork meat that has been fully manufactured in Germany. Foreign products can voluntarily take part in labelling. In addition to the requirements of the different types of husbandry, specifications for labelling as well as notification and recording obligations of the food business are stipulated.</t>
  </si>
  <si>
    <t>Meat of swine, fresh, chilled or frozen. (HS code(s): 0203)Notification Number 2022/0693/D - C00A</t>
  </si>
  <si>
    <t>0203 - Meat of swine, fresh, chilled or frozen</t>
  </si>
  <si>
    <t>Consumer information, labelling (TBT)</t>
  </si>
  <si>
    <t>Food standards</t>
  </si>
  <si>
    <t>Act on the labelling of foodstuffs with the husbandry of the animals from which the food was obtained (Animal Husbandry Labelling Act - TierHaltKennzG)Reference to the basic texts: Annex 4 to the Act refers to the provisions of the Animal Welfare Farming Ordinance with regard to the keeping of animals. (Link: https://www.gesetze-im-internet.de/tierschnutztv/)</t>
  </si>
  <si>
    <t>Draft Twenty-second Ordinance amending the Consumer Goods Ordinance</t>
  </si>
  <si>
    <t xml:space="preserve">The Draft Twenty-second Ordinance amending the German Ordinance on Consumer Goods establishes provisions minimising the transfer of mineral oil aromatic hydrocarbons (MOAH) from materials and articles in contact with food (fcm) made from recycled paper and board. The Federal Institute for Risk Assessment (BfR) and the European Food Safety Authority (EFSA) raised concerns about intake of MOAH due to a possible carcinogenic potential. For the aforementioned fcm a functional barrier shall be obligatory unless a) the manufacturer of the fmc or the person responsible for the placing on the market of the fcm could ensure by other means that a transfer of MOAH into food does not occur or b) the food business operator using the fcm declares that a functional barrier is not required. In such cases, the food business operator himself has to ensure by appropriate means that MOAH will not be transferred into food (e.g. by using a separate inner bag blocking MOAH transfer; or due to the characteristics of the food; or the packaging/use conditions avoid MOAH transfer). A limit of detection for a "non-transfer" of MOAH from such fcm of 0.5 mg MOAH/kg food will be applied. In case that testing of MOAH transfer from the recycled paper and board food contact materials and articles is carried out in food simulants, a detection limit of 0.15 mg MOAH/kg simulant applies (due to absence of significant negative matrix effects which are especially relevant as regards MOAH analytics in foodstuffs). The measure offers the possibility of continuous use of recycled paper and board in fcm while ensuring safety._x000D_
The possibility to issue exceptions to the rules stated in this Ordinance can be applied upon request (based on Article 68 of the German Food and Feed Act, LFGB).</t>
  </si>
  <si>
    <t>Materials and articles in contact with food (fcm) made from recycled paper and board</t>
  </si>
  <si>
    <t>3919 - Self-adhesive plates, sheets, film, foil, tape, strip and other flat shapes, of plastics, whether or not in rolls (excl. floor, wall and ceiling coverings of heading 3918); 3920 - Plates, sheets, film, foil and strip, of non-cellular plastics, not reinforced, laminated, supported or similarly combined with other materials, without backing, unworked or merely surface-worked or merely cut into squares or rectangles (excl. self-adhesive products, and floor, wall and ceiling coverings of heading 3918); 3923 - Articles for the conveyance or packaging of goods, of plastics; stoppers, lids, caps and other closures, of plastics; 3924 - Tableware, kitchenware, other household articles and toilet articles, of plastics (excl. baths, shower-baths, washbasins, bidets, lavatory pans, seats and covers, flushing cisterns and similar sanitary ware)</t>
  </si>
  <si>
    <t>Food safety (SPS)</t>
  </si>
  <si>
    <t>Human health; Food safety</t>
  </si>
  <si>
    <d:r xmlns:d="http://schemas.openxmlformats.org/spreadsheetml/2006/main">
      <d:rPr>
        <d:sz val="11"/>
        <d:rFont val="Calibri"/>
      </d:rPr>
      <d:t xml:space="preserve">https://members.wto.org/crnattachments/2021/SPS/DEU/21_2072_00_e.pdf
https://members.wto.org/crnattachments/2021/SPS/DEU/21_2072_00_x.pdf</d:t>
    </d:r>
  </si>
  <si>
    <t>Not applicable</t>
  </si>
  <si>
    <t>Draft Act amending the Tobacco Products Act - Entwurf eines Zweiten Gesetzes zur Änderung des Tabakerzeugnisgesetzes</t>
  </si>
  <si>
    <t xml:space="preserve">Directive 2014/40/EU of the European Parliament and of the Council of 3 April 2014 on the approximation of the laws, regulations and administrative provisions of the Member States concerning the manufacture, presentation and sale of tobacco and related products and repealing Directive 2001/37/EC obligates Member States to adopt legislation by 20 May 2016 that is necessary in order to transpose Directive 2014/40/EU. Directive 2014/40/EU shall be transposed by the Tobacco Products Act in combination with the Tobacco Products Ordinance into German law. In addition to the stipulations under the directive, nicotine-free electronic cigarettes and refill containers are also to be regulated by equating them with products which contain nicotine if this is necessary in order to protect consumers from adverse health effects. In doing so, provisions on ingredients, labelling, reporting, safety and advertising will be applied to nicotine-free electronic cigarettes and refill containers.Furthermore, provision is to be made for additional bans on advertising in relation to tobacco products, electronic cigarettes and refill containers. The provisions encompass a ban on outdoor advertising, a ban on selling and displaying free of charge as well as restrictions on advertising in cinemas. </t>
  </si>
  <si>
    <t>Tobacco and manufactured tobacco substitutes 0424-2012E</t>
  </si>
  <si>
    <t>24 - TOBACCO AND MANUFACTURED TOBACCO SUBSTITUTES</t>
  </si>
  <si>
    <t>65.160 - Tobacco, tobacco products and related equipment</t>
  </si>
  <si>
    <t>Protection of human health or safety (TBT)</t>
  </si>
  <si>
    <t>Revision to Regular Notification</t>
  </si>
  <si>
    <d:r xmlns:d="http://schemas.openxmlformats.org/spreadsheetml/2006/main">
      <d:rPr>
        <d:sz val="11"/>
        <d:rFont val="Calibri"/>
      </d:rPr>
      <d:t xml:space="preserve">https://dip21.bundestag.de/dip21/btd/19/194/1919495.pdf</d:t>
    </d:r>
  </si>
  <si>
    <t>https://dip21.bundestag.de/dip21/btd/19/194/1919495.pdf</t>
  </si>
  <si>
    <t>Ordinance transposing Directive 2014/94/EU and amending and adapting further immission control regulations</t>
  </si>
  <si>
    <t xml:space="preserve">With regard to the Ordinance on the Quality and Labelling of Fuels (10th BImSchV), this ordinance sets - in respect of road vehicles, non-road mobile machinery (including inland waterway vessels when not at sea), agricultural and forestry tractors, and recreational craft when not at sea - technical specifications for fuels to be used with positive ignition and compression-ignition engines and labelling requirements for fuels. The ordinance applies especially to petrol, diesel fuels, gas oil, biodiesel, ethanol fuel, liquid petroleum gas, natural or bio gas as fuel, vegetable oil fuel, hydrogen and fuel oil.The ordinance will specify the labelling of fuels according to the relevant European standard. Quality requirements for hydrogen have been implemented in the ordinance.The quality requirements for transport fuels are updated to the latest state of the art by citing the latest version of DIN or CEN standards in the Ordinance on the Quality and Labelling of Fuels.The Ordinance on Biological Waste Treatment Plants (30th BImSchV) lays down specific material requirements for the facilities for the biological treatment of waste subject to approval under immission control legislation. </t>
  </si>
  <si>
    <t>KN-Code: 2710 12 41, KN-Code: 2710 12 45, KN-Code: 2710 12 49, KN-Code: 2710 12 50, KN-Code: 2710 20 11, KN-Code: 2710 20 15, KN-Code: 2710 20 17, KN-Code: 2710 19 43, KN-Code: 2710 19 46, KN-Code: 2710 19 47, KN-Code: 3826 00 10, KN-Code: 3826 00 90, KN-Code 22 07, KN-Code 2711 11 00, KN-Codes: 2711 12 11 – 2711 19 00, KN-Code: 2711 21 00, KN-Code 2711 29 00, KN Code 2804 10 00, HS: 1507 – 1518, KN-Codes: 2710 19 62 – 2710 19 68.</t>
  </si>
  <si>
    <t>271019 - Medium oils and preparations, of petroleum or bituminous minerals, n.e.s.; 271121 - Natural gas in gaseous state; 280410 - Hydrogen; 1518 -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271119 - Gaseous hydrocarbons, liquefied, n.e.s. (excl. natural gas, propane, butane, ethylene, propylene, butylene and butadiene); 27101 - - Petroleum oils and oils obtained from bituminous minerals (other than crude) and preparations not elsewhere specified or included, containing by weight 70% or more of petroleum oils or of oils obtained from bituminous minerals, these oils being the basic constituents of the preparations, other than waste oils:; 271112 - Propane, liquefied; 271111 - Natural gas, liquefied; 271129 - Hydrocarbons in gaseous state, n.e.s. (excl. natural gas); 1507 - Soya-bean oil and its fractions, whether or not refined (excl. chemically modified)</t>
  </si>
  <si>
    <t>75.160 - Fuels</t>
  </si>
  <si>
    <t>Protection of human health or safety (TBT); Protection of the environment (TBT)</t>
  </si>
  <si>
    <t>Dreißigste Verordnung zur Durchführung des Bundes-Immissionsschutzgesetzes (Verordnung über Anlagen zur biologischen Behandlung von Abfällen - 30. BImSchV) (The Ordinance on Biological Waste Treatment PlantsDIN EN 228, Version August 2017, DIN EN 590, Version October 2017, DIN EN 14214, Version Mai 2019, DIN EN 15293, Version October 2018, DIN EN 589, Version March 2019, DIN EN 16723-2, Version Octobre 2017, DIN 51605, Version January 2016, DIN 51623, Version December 2015, DIN EN 17124, Version Mai 2019, DIN ISO 8217, Version October 2018, DIN EN 14274, Version May 2013, DIN 51750 Part 1, Version December 1990, and Part 2, Version December 1990, DIN EN ISO 3170, Version June 2004, DIN EN ISO 3171, Version November 2000, DIN 51610, Version June 1983, DVGW Arbeitsblatt G 264, Version September 2016, DIN EN 12662, Version July 2008, DIN EN ISO 8754, Version December 2003, DIN EN ISO 14596, Version December 2007, DIN EN 24260, Version May 1994, DIN EN ISO 20846, Version January 2012, DIN EN ISO 20884, Version July 2011, DIN EN ISO 13032, Version June 2012, DIN 51400-3, Version June 2001, DIN EN ISO 3104, Version December 1999, DIN 51562-1, Version January 1999, DIN 51366, Version December 2013, DIN EN ISO 3405, Version April 2011, DIN EN ISO 3924, Version June 2006, DIN 51444, Version November 2003, DIN EN 16942, Version December 2016, DIN EN 17186, Version June 2019, DIN EN ISO 3675, Version November 1999, EN ISO 12185, Version November 1997 and DIN 51757, Version January 2011.Some relevant documents have already been notified in the context of G/TBT/N/DEU/7, G/TBT/N/DEU/12 or G/TBT/N/DEU/12/Rev.1</t>
  </si>
  <si>
    <t>Draft of an Act on the Introduction and Use of an Animal Welfare Label</t>
  </si>
  <si>
    <t>It is intended to introduce a uniform animal welfare label which lays down binding criteria for products of animal origin extending beyond the already existing statutory requirements on a federal level. The use of the animal welfare label is voluntary, but it will be bound to the fulfilment of certain requirements for the keeping, transport and slaughter of animals from which food products are made. These requirements will be defined in detail by a statutory instrument to be enacted on the basis of this Act. Compliance with the requirements will be checked on a regular basis.</t>
  </si>
  <si>
    <t>Food products of animal origin</t>
  </si>
  <si>
    <t>67.120 - Meat, meat products and other animal produce</t>
  </si>
  <si>
    <t>Consumer information, labelling (TBT); Protection of animal or plant life or health (TBT); Quality requirements (TBT)</t>
  </si>
  <si>
    <t>Labelling; Animal welfare</t>
  </si>
  <si>
    <d:r xmlns:d="http://schemas.openxmlformats.org/spreadsheetml/2006/main">
      <d:rPr>
        <d:sz val="11"/>
        <d:rFont val="Calibri"/>
      </d:rPr>
      <d:t xml:space="preserve">https://members.wto.org/crnattachments/2019/TBT/DEU/19_2422_00_e.pdf</d:t>
    </d:r>
  </si>
  <si>
    <t>Draft of an act on the Introduction and Use of an Animal Welfare Label</t>
  </si>
  <si>
    <t>Code of good practice (TBT)</t>
  </si>
  <si>
    <t>Draft Twenty-first Ordinance amending the Ordinance on Consumer Goods</t>
  </si>
  <si>
    <t xml:space="preserve">The Draft Twenty-first Ordinance amending the German Ordinance on Consumer Goods establishes provisions for printed food contact materials. A positive list of evaluated substances permitted to be used in printing inks for food contact materials will be introduced to avoid any negative effects on human health relating to dangerous substances migrating from printed food contact materials into foodstuffs in unacceptable amounts. The positive list will be continuously extended if appropriate toxicological data are made available to the competent authority based on a positive outcome of the risk assessment of these data (even during the notification process). Under specific conditions, other substances not listed in the positive list can be used for food contact materials of which the printed part will not be in direct contact with food; especially migration of these non-evaluated substances into food shall not be detectable (i.e. detection limit 0.01 mg/kg)._x000D_
Printed food contact materials legally placed on the market in accordance with the German provisions applicable before the date of entry into force of this Ordinance can be placed on the market until end of stocks._x000D_
In addition, the possibility to issue exceptions to the rules stated in this Ordinance can be authorised upon request (based on Article 68 of the German Food and Feed Act, LFGB).</t>
  </si>
  <si>
    <t>Materials and articles in contact with food</t>
  </si>
  <si>
    <t>3919 - Self-adhesive plates, sheets, film, foil, tape, strip and other flat shapes, of plastics, whether or not in rolls (excl. floor, wall and ceiling coverings of heading 3918); 3923 - Articles for the conveyance or packaging of goods, of plastics; stoppers, lids, caps and other closures, of plastics; 3924 - Tableware, kitchenware, other household articles and toilet articles, of plastics (excl. baths, shower-baths, wash-basins, bidets, lavatory pans, seats and covers, flushing cisterns and similar sanitary ware); 3920 - Plates, sheets, film, foil and strip, of non-cellular plastics, not reinforced, laminated, supported or similarly combined with other materials, without backing, unworked or merely surface-worked or merely cut into squares or rectangles (excl. self-adhesive products, and floor, wall and ceiling coverings of heading 3918)</t>
  </si>
  <si>
    <t>Human health; Food safety; Packaging; Contaminants</t>
  </si>
  <si>
    <d:r xmlns:d="http://schemas.openxmlformats.org/spreadsheetml/2006/main">
      <d:rPr>
        <d:sz val="11"/>
        <d:rFont val="Calibri"/>
      </d:rPr>
      <d:t xml:space="preserve">http://members.wto.org/crnattachments/2016/SPS/DEU/16_3004_00_e.pdf
http://members.wto.org/crnattachments/2016/SPS/DEU/16_3004_00_x.pdf</d:t>
    </d:r>
  </si>
  <si>
    <t>Draft Second Ordinance amending the Tobacco Products Ordinance (18 pages, in English)</t>
  </si>
  <si>
    <t>Directive 2014/40/EU of the European Parliament and of the Council of 3 April 2014 on the approximation of the laws, regulations and administrative provisions of the Member States concerning the manufacture, presentation and sale of tobacco and related products and repealing Directive 2001/37/EC is to be transposed by 20 May 2016 into national law. The Directive is transposed into German Law by the Tobacco Products Act of 4 April 2016 and the Tobacco Products Ordinance enacted on the basis of this Act of 27 April 2016.In accordance with Article 7(6), in conjunction with Article 20(3c) of Directive 2014/40/EU, tobacco products, electronic cigarettes and refill containers containing the following additives may not be placed on the market:          vitamins or other additives that create the impression that a tobacco product, electronic cigarette or refill container has a health benefit or presents reduced health risks;         caffeine or taurine or other additives and stimulant compounds that are associated with energy and vitality;          additives having colouring properties for emissions;           in the case of tobacco products for smoking, electronic cigarettes and refill containers: additives that facilitate inhalation or nicotine uptake;          additives that have CMR properties in unburnt form.The additives specifically prohibited are listed in Annexes 1 and 2 of the Ordinance.Furthermore, the Draft Second Ordinance ammending Tobacco Products Ordinance provides for regulations to nicotine-free cigarettes and refill containers. </t>
  </si>
  <si>
    <t>Human health</t>
  </si>
  <si>
    <d:r xmlns:d="http://schemas.openxmlformats.org/spreadsheetml/2006/main">
      <d:rPr>
        <d:sz val="11"/>
        <d:rFont val="Calibri"/>
      </d:rPr>
      <d:t xml:space="preserve">https://members.wto.org/crnattachments/2016/TBT/DEU/16_2388_00_e.pdf</d:t>
    </d:r>
  </si>
  <si>
    <t>Tobacco Products Act (BGBl. I S. 569), Tobacco Products Ordinance (BGBl. I S. 980)</t>
  </si>
  <si>
    <t>Draft Act amending the Tobacco Products Act (18 pages, in English)</t>
  </si>
  <si>
    <t>Directive 2014/40/EU of the European Parliament and of the Council of 3 April 2014 on the approximation of the laws, regulations and administrative provisions of the Member States concerning the manufacture, presentation and sale of tobacco and related products and repealing Directive 2001/37/EC obligates Member States to adopt legislation by 20 May 2016 that is necessary in order to transpose Directive 2014/40/EU. Directive 2014/40/EU shall be transposed by the Tobacco Products Act in combination with the Tobacco Products Ordinance into German law. In addition to the stipulations under the directive, nicotine-free electronic cigarettes and refill containers are also to be regulated by equating them with products which contain nicotine if this is necessary in order to protect consumers from adverse health effects. In doing so, provisions on ingredients, labelling, reporting, safety and advertising will be applied to nicotine-free electronic cigarettes and refill containers.Furthermore, provision is to be made for additional bans on advertising in relation to tobacco products, electronic cigarettes and refill containers. The provisions encompass a ban on outdoor advertising, a ban on selling and displaying free of charge as well as restrictions on advertising in cinemas.</t>
  </si>
  <si>
    <d:r xmlns:d="http://schemas.openxmlformats.org/spreadsheetml/2006/main">
      <d:rPr>
        <d:sz val="11"/>
        <d:rFont val="Calibri"/>
      </d:rPr>
      <d:t xml:space="preserve">https://members.wto.org/crnattachments/2016/TBT/DEU/16_0687_00_e.pdf</d:t>
    </d:r>
  </si>
  <si>
    <t>Draft Tobacco Products Act: http://www.bmel.de/SharedDocs/Downloads/Ernaehrung/Gesundheit/Tabakrichtlinie/EntwurfTabakerzGKabinett.pdf?__blob=publicationFile</t>
  </si>
  <si>
    <t>Regulation on the marketing and the sowing of seeds for winter crops treated with certain pesticides</t>
  </si>
  <si>
    <t xml:space="preserve">Seeds for winter crops, which has been treated with a pesticide which comprises the active ingredient Clothianidin, Imidacloprid or Thiamethoxam or containing such active substance or which such pesticides adheres, should not be imported or placed on the market. _x000D_
Objective of the Regulation is to prevent Bees from hazardous contamination</t>
  </si>
  <si>
    <t>Winter grain seed exposed to pesticide containing Clothianidin, Imidacloprid or Thiamethoxam</t>
  </si>
  <si>
    <t>10 - CEREALS</t>
  </si>
  <si>
    <t>Animal health (SPS)</t>
  </si>
  <si>
    <t>Animal health; Pest- or Disease- free Regions / Regionalization; Pesticides</t>
  </si>
  <si>
    <t>Emergency notifications (SPS)</t>
  </si>
  <si>
    <d:r xmlns:d="http://schemas.openxmlformats.org/spreadsheetml/2006/main">
      <d:rPr>
        <d:sz val="11"/>
        <d:rFont val="Calibri"/>
      </d:rPr>
      <d:t xml:space="preserve">http://www.bvl.bund.de/SharedDocs/Downloads/04_Pflanzenschutzmittel/rechtsgrundlagen/02_national/Pflanzenschutz_Getreidesaatgut_Anwendungsverordnung.pdf</d:t>
    </d:r>
  </si>
  <si>
    <t>First Ordinance amending the Ordinance on the Quality and Labelling of Fuels (see Attachment) (24 pages, in German).</t>
  </si>
  <si>
    <t>This ordinance sets - in respect of road vehicles, non-road mobile machinery (including inland waterway vessels when not at sea), agricultural and forestry tractors, and recreational craft when not at sea - technical specifications for fuels to be used with positive ignition and compression-ignition engines and labelling requirements for fuels. The ordinance applies especially to petrol, diesel fuels, gas oil, biodiesel, ethanol fuel, liquid petroleum gas, natural or bio gas as fuel, vegetable oil fuel and fuel oil.The amended ordinance will specify the maximum permissible content of sulphur in marine gasoil more precisely at 1.0 gram per kilogram, compared to the current 1 gram per kilogram. The content of sulphur in marine diesel oil is specified more precisely 15.0 gram per kilogram, compared to the current15 gram per kilogram. Gasoline with 91 octane is removed from the ordinance.The quality requirements for transport fuels are updated to the latest state of the art by citing the latest version of DIN or CEN standards in the Ordinance on the Quality and Labelling of Fuels.Quality requirements for Vegetable oil (all seeds) have been implemented in the ordinance.</t>
  </si>
  <si>
    <t xml:space="preserve">KN-Code: 2710 12 41, KN-Code: 2710 12 45, KN-Code: 2710 12 49, KN-Code: 2710 12 51, KN-Code: 2710 12 59, KN-Code: 2710 20 11, KN-Code: 2710 20 15, KN-Code: 2710 19 48, KN-Code: 3826 00 10, KN-Code: 3826 00 90, KN-Code 22 07, KN-Code 38 26,  KN-Codes: 2711 12 11  2711 19 00, KN-Code: 2711 21 00, KN-Code 2711 29 00, HS: 1507  1518, KN-Codes: 2710 19 62  2710 19 68</t>
  </si>
  <si>
    <t>1517 - Margarine, other edible mixtures or preparations of animal or vegetable fats or oils and edible fractions of different fats or oils (excl. fats, oils and their fractions, partly or wholly hydrogenated, inter-esterified, re-esterified or elaidinized, whether or not refined, but not further prepared, and mixtures of olive oils and their fractions); 1518 -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271113 - Butanes, liquefied (excl. of a purity of &gt;= 95% of N-butane or isobutane); 271119 - Gaseous hydrocarbons, liquefied, n.e.s. (excl. natural gas, propane, butane, ethylene, propylene, butylene and butadiene); 1509 - Olive oil and its fractions obtained from the fruit of the olive tree solely by mechanical or other physical means under conditions that do not lead to deterioration of the oil, whether or not refined, but not chemically modified; 1510 - Other oils and their fractions, obtained solely from olives, whether or not refined, but not chemically modified, incl. blends of these oils or fractions with oils or fractions of heading 1509; 1516 - Animal or vegetable fats and oils and their fractions, partly or wholly hydrogenated, inter-esterified, re-esterified or elaidinized, whether or not refined, but not further prepared; 2207 - Undenatured ethyl alcohol of an alcoholic strength by volume of &gt;= 80%; ethyl alcohol and other spirits, denatured, of any strength; 271019 - Medium oils and preparations, of petroleum or bituminous minerals, n.e.s.; 1507 - Soya-bean oil and its fractions, whether or not refined (excl. chemically modified); 1508 - Ground-nut oil and its fractions, whether or not refined, but not chemically modified; 1511 - Palm oil and its fractions, whether or not refined (excl. chemically modified); 1512 - Sunflower-seed, safflower or cotton-seed oil and fractions thereof, whether or not refined, but not chemically modified; 2710 - Petroleum oils and oils obtained from bituminous minerals (excl. crude); preparations containing &gt;= 70% by weight of petroleum oils or of oils obtained from bituminous minerals, these oils being the basic constituents of the preparations, n.e.s.; waste oils containing mainly petroleum or bituminous minerals; 271112 - Propane, liquefied; 1513 - Coconut "copra", palm kernel or babassu oil and fractions thereof, whether or not refined, but not chemically modified; 1514 - Rape, colza or mustard oil and fractions thereof, whether or not refined, but not chemically modified; 1515 - Fixed vegetable fats and oils, incl. jojoba oil, and their fractions, whether or not refined, but not chemically modified (excl. soya-bean, ground-nut, olive, palm, sunflower-seed, safflower, cotton-seed, coconut, palm kernel, babassu, rape, colza and mustard oil); 271114 - Ethylene, propylene, butylene and butadiene, liquefied (excl. ethylene of a purity of &gt;= 95% and propylene, butylene and butadiene of a purity of &gt;= 90%); 271129 - Hydrocarbons in gaseous state, n.e.s. (excl. natural gas); 271121 - Natural gas in gaseous state</t>
  </si>
  <si>
    <t>Quality requirements (TBT)</t>
  </si>
  <si>
    <t>Labelling</t>
  </si>
  <si>
    <d:r xmlns:d="http://schemas.openxmlformats.org/spreadsheetml/2006/main">
      <d:rPr>
        <d:sz val="11"/>
        <d:rFont val="Calibri"/>
      </d:rPr>
      <d:t xml:space="preserve">https://members.wto.org/crnattachments/2014/TBT/DEU/14_2638_00_x.pdf</d:t>
    </d:r>
  </si>
  <si>
    <t>      Zehnte Verordnung zur Durchführung des Bundes-Immissionsschutzgesetzes (Verordnung über die Beschaffenheit und die Auszeichnung der Qualitäten von Kraft- und Brennstoffen  10. BImSchV) - notifiziert unter G/TBT/N/DEU/12  [10th Ordinance on the Implementation of the Federal Immission Control Act (Ordinance on the Quality and Labelling of Fuels, 10th BImSchV),  notified under G/TBT/N/DEU/12]      DIN EN 228, Version October 2014, DIN EN 228, Version January 2013 incl draft DIN EN 228/A1, Version June 2014,  DIN EN 590, Version April 2014, DIN EN 14214, Version June 2014, DIN 51625, Version August 2008, DIN EN 589, Version June 2012,  DIN 51624, Version February 2008, DIN 51605, Version September 2010,  DIN SPEC 51623, Version June 2012,  DIN ISO 8217, Version December 2013, DIN EN 14274, Version May 2013, DIN 51750 Part 1, Version December 1990, and Part 2, Version December 1990, DIN 51610, Version June 1983, DVGW Arbeitsblatt G 264, Version May 2009, DIN EN ISO 8754, Version December 2003, DIN EN ISO 14596, Version December 2007, DIN EN 24260, Version May 1994, DIN EN ISO 20846, Version January 2012, DIN EN ISO 20884, Version July 2011, DIN EN ISO 13032, Version June 2012, DIN 51400-3, Version June 2001, DIN EN ISO 3104, Version December 1999, DIN 51562-1, Version January 1999, DIN 51366, Version December 2013, DIN EN ISO 3405, Version April 2011 and DIN EN ISO 3924, Version June 2006.Some relevant documents have already been notified in the context of G/TBT/N/DEU/7 or G/TBT/N/DEU/12.</t>
  </si>
  <si>
    <t xml:space="preserve">Erste Verordnung zur Änderung strahlenschutzrechtlicher Verordnungen (First Ordinance for the Modification of Ordinances relating to Radiation Protection) ;
</t>
  </si>
  <si>
    <t xml:space="preserve">The First Ordinance for the Modification of Ordinances relating to Radiation Protection (herein referred to as: Ordinance) modifies numerous existing provisions of the Radiation Protection Ordinance (Strahlenschutzverordnung) of 20 July 2001 (Federal Law Gazette I page 1714), as last amended by Article 2 of the Act of 29 August 2008 (Federal Law Gazette I page 1793), and of the X-Ray Ordinance (Röntgenverordnung), as amended and promulgated on 30 April 2001 (Federal Law Gazette I page 604), in order to adapt to technical developments and, in general, to improve radiation protection of man. The Ordinance modifies the following regulations: ;
 ;
Section 105 of the Radiation Protection Ordinance: Prohibited Addition of Radioactive Substances and Prohibited Activation ;
This provision prohibits  ;
_x0009_the addition of radioactive substances in the production of certain consumer goods,  ;
_x0009_the transboundary shipment of such goods according to Section 108 and ;
_x0009_the introduction of such goods into trade. ;
Additionally to the existing provisions, the following goods will in the future be covered by these prohibitions:  ;
_x0009_Gas glue lights (Gasglühstrümpfe), if not intended to be used for illumination of public streets; ;
_x0009_Systems of lightning protection (Blitzschutzsysteme);  ;
_x0009_Glassware if a contact of the product with foodstuffs cannot be excluded. ;
 ;
Section 107 of the Radiation Protection Ordinance: Licensing Requirements for the Addition of Radioactive Substances and the Activation ;
This provision lists the licensing requirements for the addition of radioactive substances in the production of consumer goods that are not prohibited by Section 105. These requirements must also be fulfilled if the goods have been produced abroad and are imported to Germany.  ;
The modification concerns the requirements for the addition of the radionuclide H-3 in the production of consumer goods.  ;
Current Section 107 provides that if the value of the specific activity of an added radionuclide exceeds the value given in Appendix III, Table 1, Column 5 (e. g. 1000 becquerel per gram for the radionuclide H-3), it must be assured  ;
(1) that it has been stated in a return concept that the consumer good can be returned free of charge to the applicant or to a body designated by him after use and  ;
(2) that the consumer good is provided with information explaining the addition  of the radionuclide, the intended usage and information referring to the return obligation and to the body required to accept the return. ;
 ;
The First Ordinance for the Modification of Ordinances relating to Radiation Protection reduces the threshold value for the addition of the radionuclide H-3 in the production of consumer goods from 1000 to 100 becquerel per gram for which the abovementioned obligations on the return concept and on information apply (Section 107 paragraph 1 new sentence 2.). ;
</t>
  </si>
  <si>
    <t xml:space="preserve">Certain gas glue lights (Gasglühstrümpfe); systems of lightning protection; certain glassware; certain watches (for details see below at 6. and 7.). Consumer goods to which the radionuclide H-3 has been added (for details see below at 6. and 7.). ;
</t>
  </si>
  <si>
    <t>13.280 - Radiation protection</t>
  </si>
  <si>
    <t>Consumer information, labelling (TBT); Prevention of deceptive practices and consumer protection (TBT); Protection of human health or safety (TBT)</t>
  </si>
  <si>
    <d:r xmlns:d="http://schemas.openxmlformats.org/spreadsheetml/2006/main">
      <d:rPr>
        <d:sz val="11"/>
        <d:rFont val="Calibri"/>
      </d:rPr>
      <d:t xml:space="preserve">https://members.wto.org/crnattachments/2011/TBT/DEU/11_0149_00_x.pdf</d:t>
    </d:r>
  </si>
  <si>
    <t xml:space="preserve">Radiation Protection Ordinance (Strahlenschutzverordnung) of 20 July 2001 (Federal Law Gazette I page 1714), as last amended by Article 2 of the Act of 29 August 2008 (Federal Law Gazette I page 1793);  ;
X-Ray Ordinance (Röntgenverordnung), as amended and promulgated on 30 April 2001 (Federal Law Gazette I page 604) ;
</t>
  </si>
  <si>
    <t>Zehnte Verordnung zur Durchführung des Bundes-Immissionsschutzgesetzes (Verordnung über die Beschaffenheit und die Auszeichnung der Qualitäten von Kraft- und Brennstoffen  10. BImSchV) (10th Ordinance on the Implementation of the Federal Immission Control Act (Ordinance on the Quality and Labelling of Fuels, 10th BImSchV)), 10 pages, German</t>
  </si>
  <si>
    <t xml:space="preserve">Implementing the European Fuel Quality Directive 98/70/EC this ordinance sets - in respect of road vehicles, non-road mobile machinery (including inland waterway vessels when not at sea), agricultural and forestry tractors, and recreational craft when not at sea - technical specifications for fuels to be used with positive ignition and compression-ignition engines and labelling requirements for fuels. The ordinance applies especially to petrol, diesel fuels, gas oil, biodiesel, ethanol fuel, liquid petroleum gas, natural or bio gas as fuel, vegetable oil fuel and fuel oil. ;
 ;
The ordinance increases in particular the maximum permissible percentage of ethanol in petrol fuel from the current 5 per cent by volume of ethanol to 10 per cent by volume. The quality requirements for transport fuels are standardized in DIN or CEN standards and have been incorporated into the Ordinance on the Quality and Labelling of Fuels. ;
 ;
Implementing the European limit for the maximum permissible sulphur content of gas oils intended for use by non-road mobile machinery (including inland waterway vessels), agricultural and forestry tractors, and recreational craft will be reduced to 10 mg/kg from 1 January 2011.   ;
</t>
  </si>
  <si>
    <t xml:space="preserve">KN-Code: 2710 11 41, KN-Code: 2710 11 45, KN-Code: 2710 11 49, KN-Code: 2710 11 51, KN-Code: 2710 11 59, KN-Code: 2710 19 41, KN-Code: 2710 19 45, KN-Code: 2710 19 49, KN-Code: 3824 90 91, KN-Code: 3824 90 97, KN-Code 22 07, KN-Code 38 24,  KN-Codes: 2711 12 11  2711 19 00, KN-Code: 2711 21 00, HS: 1507  1518, KN-Codes: 2710 19 61  2710 19 69</t>
  </si>
  <si>
    <t>1507 - Soya-bean oil and its fractions, whether or not refined (excl. chemically modified); 1508 - Ground-nut oil and its fractions, whether or not refined, but not chemically modified; 1509 - Olive oil and its fractions obtained from the fruit of the olive tree solely by mechanical or other physical means under conditions that do not lead to deterioration of the oil, whether or not refined, but not chemically modified; 1510 - Other oils and their fractions, obtained solely from olives, whether or not refined, but not chemically modified, incl. blends of these oils or fractions with oils or fractions of heading 1509; 1516 - Animal or vegetable fats and oils and their fractions, partly or wholly hydrogenated, inter-esterified, re-esterified or elaidinized, whether or not refined, but not further prepared; 2207 - Undenatured ethyl alcohol of an alcoholic strength by volume of &gt;= 80%; ethyl alcohol and other spirits, denatured, of any strength; 271019 - Medium oils and preparations, of petroleum or bituminous minerals, n.e.s.; 1517 - Margarine, other edible mixtures or preparations of animal or vegetable fats or oils and edible fractions of different fats or oils (excl. fats, oils and their fractions, partly or wholly hydrogenated, inter-esterified, re-esterified or elaidinized, whether or not refined, but not further prepared, and mixtures of olive oils and their fractions); 1518 -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271119 - Gaseous hydrocarbons, liquefied, n.e.s. (excl. natural gas, propane, butane, ethylene, propylene, butylene and butadiene); 1511 - Palm oil and its fractions, whether or not refined (excl. chemically modified); 1512 - Sunflower-seed, safflower or cotton-seed oil and fractions thereof, whether or not refined, but not chemically modified; 271112 - Propane, liquefied; 3824 - Prepared binders for foundry moulds or cores; chemical products and preparations for the chemical or allied industries, incl. mixtures of natural products, n.e.s.; 1513 - Coconut "copra", palm kernel or babassu oil and fractions thereof, whether or not refined, but not chemically modified; 1514 - Rape, colza or mustard oil and fractions thereof, whether or not refined, but not chemically modified; 1515 - Fixed vegetable fats and oils, incl. jojoba oil, and their fractions, whether or not refined, but not chemically modified (excl. soya-bean, ground-nut, olive, palm, sunflower-seed, safflower, cotton-seed, coconut, palm kernel, babassu, rape, colza and mustard oil); 382490 - Chemical products and preparations of the chemical or allied industries, incl. those consisting of mixtures of natural products, n.e.s.; 271011 - Light oils and preparations, of petroleum or bituminous minerals which &gt;= 90% by volume distil at 210°C; 271121 - Natural gas in gaseous state</t>
  </si>
  <si>
    <t>Protection of the environment (TBT)</t>
  </si>
  <si>
    <d:r xmlns:d="http://schemas.openxmlformats.org/spreadsheetml/2006/main">
      <d:rPr>
        <d:sz val="11"/>
        <d:rFont val="Calibri"/>
      </d:rPr>
      <d:t xml:space="preserve">https://members.wto.org/crnattachments/2010/TBT/DEU/10_4435_00_x.pdf</d:t>
    </d:r>
  </si>
  <si>
    <t xml:space="preserve">Zehnte Verordnung zur Durchführung des Bundes-Immissionsschutzgesetzes (Verordnung über die Beschaffenheit und die Auszeichnung der Qualitäten von Kraft- und Brennstoffen  10. BImSchV) (10th Ordinance on the Implementation of the Federal Immission Control Act (Ordinance on the Quality and Labelling of Fuels, 10th BImSchV)), E-DIN 51625-1, Version November 2010; DIN EN 228, Version November 2008; DIN EN 590, Version Mai 2010; DIN EN 14214, Version April 2010, DIN EN 589, Version November 2008 DIN ISO 8217, Version August 2009, DIN EN ISO 3405, Version August 2001,  DIN EN 14274, Version Mai 2004, DIN 51750 Part 1, Version December 1990, and Part 2, Version December 1990, DIN 51610, Version June 1983, DVGW Arbeitsblatt G 264, Version Mai 2009, DIN EN ISO 8754, Version December 2003, DIN EN ISO 14596, Version December 2007, DIN EN 24260, Version Mai 1994.  ;
Some relevant documents have already been notified in the context of G/TBT/N/DEU/7 ;
</t>
  </si>
  <si>
    <t>18th Ordinance amending the Ordinance on Commodities (2 pages, in German)</t>
  </si>
  <si>
    <t>Chromate is considered one of the most important allergens. Prevention, i.e. avoiding any contact with products containing allergens, especially with regard to contact eczema, is therefore the core intervention. Therefore, this Ordinance states that leather products which are meant to come into contact with the human body, such as bags, rucksacks, textiles, watch straps, shoes and toys made of leather, are only allowed to be processed in a way that results in chromate not being measurable in the final product.</t>
  </si>
  <si>
    <t>Chromate / leather products</t>
  </si>
  <si>
    <t>59.140.35 - Leather products</t>
  </si>
  <si>
    <d:r xmlns:d="http://schemas.openxmlformats.org/spreadsheetml/2006/main">
      <d:rPr>
        <d:sz val="11"/>
        <d:rFont val="Calibri"/>
      </d:rPr>
      <d:t xml:space="preserve">https://members.wto.org/crnattachments/2010/TBT/DEU/10_1431_00_e.pdf
https://members.wto.org/crnattachments/2010/TBT/DEU/10_1431_00_x.pdf</d:t>
    </d:r>
  </si>
  <si>
    <t>-</t>
  </si>
  <si>
    <t xml:space="preserve">Verordnung über Anforderungen an eine nachhaltige Herstellung von Biokraftstoffen (Biokraftstoff-Nachhaltigkeitsverordnung – Biokraft-NachV) ;
Ordinance on Requirements Pertaining to Sustainable Production of Biofuels (31 pages, German).  ;
</t>
  </si>
  <si>
    <t xml:space="preserve">In the past, biofuel production has been responsible for considerable environmental damage (involving such activities as slash-and-burn clearing of rain forests, and such impacts as loss of biodiversity). The notified ordinance is aimed at ensuring that biofuels, eligible for tax relief under section 50 of the Energy Tax Act (ETA) or the quota set forth in the Federal Immission Control Act (FICA), are always produced in full compliance with binding EU-provisions for ecological sustainability. Consequently, biofuels that are produced in non-sustainable ways will in future no longer be eligible for the tax relief under section 50 of the ETA or the quota set forth in the FICA. This will ensure that intensified energy-related use of biomass does not have undesirable impacts on natural systems and climate. ;
As of 1 July 2010, therefore, eligibility (with regard to biofuels) for tax relief under section 50 of the ETA or the quota set forth in the FICA will be tied to compliance with specific requirements pertaining to sustainable management of agricultural land and to conservation of landscapes worthy of special protection. Furthermore, biofuels eligible for tax relief under section 50 of the ETA or the quota set forth in the FICA must show a specified potential, in light of the entire relevant value-creation chain, for reducing greenhouse-gas emissions. These requirements conform to the standardised European requirements approved by the European Union in Directive 2009/28/EC (G/TBT/N/EEC/200). In addition, the Ordinance will establish effective private-economic certification and control systems that guarantee compliance with the prescribed provisions, throughout all parts of the value-creation chain, and that enable all stakeholders to review the quality of their goods clearly and completely, at all times. ;
</t>
  </si>
  <si>
    <t>Biofuels and fossil fuels</t>
  </si>
  <si>
    <t>27.190 - Biological sources and alternative sources of energy; 75.160 - Fuels</t>
  </si>
  <si>
    <d:r xmlns:d="http://schemas.openxmlformats.org/spreadsheetml/2006/main">
      <d:rPr>
        <d:sz val="11"/>
        <d:rFont val="Calibri"/>
      </d:rPr>
      <d:t xml:space="preserve">https://members.wto.org/crnattachments/2009/TBT/DEU/09_3816_00_x.pdf</d:t>
    </d:r>
  </si>
  <si>
    <t xml:space="preserve">- Biomasseverordnung vom 21. Juni 2001 (BGBl. I S. 1234), geändert durch Artikel 1 der Verordnung vom 9. August 2005 (BGBl. I S. 2419) ;
(Biomass Ordinance of 21 June 2001 (Federal Law Gazette I p. 1234), as amended by Article 1 of the Ordinance of 9 August 2005 (Federal Law Gazette I p. 2419)), ;
- Bundesdatenschutzgesetz in der Fassung der Bekanntmachung vom 14. Januar 2003 (BGBl. I S. 66), zuletzt geändert durch Artikel 1 des Gesetzes vom 14. August 2009 (BGBl. I S. 2814) ;
(Federal Data Protection Act as announced on 14 January 2003 (Federal Law Gazette I p. 66), as last amended by Article 1 of the Act of 14 August 2009 (Federal Law Gazette I p. 2814)), ;
- Bundes-Immissionsschutzgesetz in der Fassung der Bekanntmachung vom 26. September 2002 (BGBl. I S. 3830), zuletzt geändert durch Artikel 2 des Gesetzes vom 11. August 2009 (BGBl. I S. 1273) ;
(Federal Immission Control Act as announced on 26 September 2002 (Federal Law Gazette I p. 3830), as last amended by Article 2 of the Act of 11 August 2009 (Federal Law Gazette I p. 1273)), ;
- Energiesteuergesetz vom 15. Juli 2006 (BGBl. I S. 1534), zuletzt geändert durch Gesetz vom 17. Juli 2009 (BGBl. I S. 2444) ;
(Energy Taxation Act of 15 July 2006 (Federal Law Gazette I p. 1534), as last amended by the Act of 17 July 2009 (Federal Law Gazette I p. 1534)), ;
- Umweltauditgesetz in der Fassung der Bekanntmachung vom 4. September 2002 (BGBl. I S. 3490), zuletzt geändert durch Artikel 11 des Gesetzes vom 17. März 2008 (BGBl. I S. 399) ;
(Eco-management and Audit Scheme Act as announced on 4 September 2002 (Federal Law Gazette I p. 3490), as last amended by Article 11 of the Act of 17 March 2008 (Federal Law Gazette I p. 399)), ;
- Umweltinformationsgesetz vom 22. Dezember 2004 (BGBl. I S. 3704) ;
(Environmental Information Act of 22 December 2004 (Federal Law Gazette I p. 3704)), ;
- Verwaltungsverfahrensgesetz in der Fassung der Bekanntmachung vom 23. Januar 2003 (BGBl. I S. 102), zuletzt geändert durch Artikel 2 Absatz 1 des Gesetzes vom 14. August 2009 (BGBl. I S. 2827) ;
(Administrative Procedures Act as announced on 23 January 2003 (Federal Law Gazette I p. 102), as last amended by Article 2 paragraph 1 of the Act of 14 August 2008 (Federal Law Gazette I p. 2827)), ;
- Biomassestrom-Nachhaltigkeitsverordnung vom 23. Juli 2009 (BGBl. I S. 2174) (Biomass-electricity-sustainability-ordinance of 23 Juli 2009 (Federal Law Gazette I p. 2174) ;
- Verordnung (EG) Nr. 761/2001 des Europäischen Parlaments und des Rates vom 19. März 2001 über die freiwillige Beteiligung von Organisationen an einem Gemeinschaftssystem für das Umweltmanagement und die Umweltbetriebsprüfung (EMAS) (ABl. EG Nr. L 114 S. 1) ;
(Regulation (EC) No 761/2001 of the European Parliament and of the Council of 19 March 2001 allowing voluntary participation by organisations in a Community eco-management and audit scheme (EMAS) (OJ L 114 of 24 April 2001, p. 1)), ;
- Verordnung (EG) Nr. 1698/2005 des Rates vom 20. September 2005 über die Förderung der Entwicklung des ländlichen Raums durch den Europäischen Landwirtschaftsfonds für die Entwicklung des ländlichen Raums (ABl. EG Nr. L 277 S. 1) ;
(Council Regulation (EC) No 1698/2005 of 20 September 2005 on support for rural development by the European Agricultural Fund for Rural Development (OJ L 277 of 21 October 2005, p. 1)), ;
- Verordnung (EG) Nummer 73/2009 des Rates vom 19. Januar 2009 mit gemeinsamen Regeln für Direktzahlungen im Rahmen der Gemeinsamen Agrarpolitik und mit bestimmten Stützungsregelungen für Inhaber landwirtschaftlicher Betriebe (ABl. L 30 vom 31.1.2009, S. 16) ;
(Council Regulation (EC) No 73/2009 of 19 January 2009 establishing common rules for direct support schemes for farmers under the common agricultural policy and establishing certain support schemes for farmers (OJ L 30 of 31 January 2009, p. 16)), ;
- Richtlinie 2009/28/EG des Europäischen Parlaments und des Rates vom 23. April 2009 zur Förderung der Nutzung von Energie aus erneuerbaren Quellen und zur Änderung und anschließenden Aufhebung der Richtlinien 2001/77/EG und 2003/30/EG (ABl. L 140 vom 5.6.2009, S. 16) ;
(Directive 2009/28/EC of the European Parliament and of the Council of 23 April 2009 on the promotion of the use of energy from renewable sources and amending and subsequently repealing Directives 2001/77/EC and 2003/30/EC (OJ L 140 of 5 June 2009, p. 16)), ;
- Europäische Norm EN 45011, Guides ISO 65:1996, ISO/IEC 60:2004, ISO 19011:2002 ;
(European Standard EN 45011, Guides ISO 65: 1996, ISO/IEC 60: 2004, ISO 19011: 2002). ;
 ;
- Internationales Übereinkommen über Feuchtgebiete, insbesondere als Lebensraum für Wasser- und Watvögel von internationaler Bedeutung vom 2. Februar 1971 ;
(International Convention on Wetlands of International Importance Especially as Waterfowl Habitat of 2 February 1971), ;
- Übereinkommen über technische Handelshemmnisse (ABl. EG Nr. L 336 vom 23.12.1994, S. 68) ;
(Technical Barriers to Trade Agreement (OJ L 336 of 23 December 1994, p. 68)). ;
</t>
  </si>
  <si>
    <t xml:space="preserve">Draft Ordinance on requirements pertaining to sustainable production of bioliquids for electricity production ;
129 pages, language: German. ;
A non-binding english translation will be published on the homepage http://www.erneuerbare-energien.de/inhalt/40712/ within short time ;
</t>
  </si>
  <si>
    <t xml:space="preserve">In the past, bioliquids production has been responsible for considerable environ-mental damage (involving such activities as slash-and-burn clearing of rain forests, and such impacts as loss of biodiversity). The notified ordinance is aimed at ensur-ing that bioliquids used for electricity production and eligible for the pertinent pay-ment framework under the Renewable Energy Sources Act (EEG), are always pro-duced in full compliance with binding standards for ecological and social sustain-ability. Consequently, bioliquids that are produced in non-sustainable ways will in future no longer be eligible for the pertinent payment framework under the EEG. This will ensure that intensified energy-related use of biomass does not have unde-sirable impacts on natural systems, on climate and on social aspects. ;
As of 1 January 2010, therefore, eligibility (with regard to bioliquids) for the basic tariff pursuant to the EEG will be tied to compliance with specific requirements per-taining to sustainable management of agricultural land and to conservation of land-scapes worthy of special protection. Furthermore, bioliquids for electricity produc-tion must show a specified potential, in light of the entire relevant value-creation chain, for reducing greenhouse-gas emissions. These requirements conform to the standardised European requirements approved by the European Union in Directive 2009/28/EC. A stricter standard is being enacted for the extra bonus for electricity from energy crops (energy crops bonus), in the interest of environmental protection and nature conservation. In addition, the Ordinance will provide establishing effec-tive private-economic certification and control systems that guarantee compliance with the prescribed standards, throughout all parts of the value-creation chain, and that enable all stakeholders to review the quality of their goods clearly and com-pletely, at all times. ;
</t>
  </si>
  <si>
    <t>bioliquids and fossil fuels are affected by the draft legislation</t>
  </si>
  <si>
    <d:r xmlns:d="http://schemas.openxmlformats.org/spreadsheetml/2006/main">
      <d:rPr>
        <d:sz val="11"/>
        <d:rFont val="Calibri"/>
      </d:rPr>
      <d:t xml:space="preserve">https://members.wto.org/crnattachments/2009/TBT/DEU/09_2465_00_x.pdf</d:t>
    </d:r>
  </si>
  <si>
    <t xml:space="preserve">- Biomasseverordnung vom 21. Juni 2001 (BGBl. I S. 1234), geändert durch Ar-tikel 1 der Verordnung vom 9. August 2005 (BGBl. I S. 2419) ;
(Biomass Ordinance of 21 June 2001 (Federal Law Gazette I p. 1234), as amended by Article 1 of the Ordinance of 9 August 2005 (Federal Law Gazette I p. 2419)), ;
- Bundesdatenschutzgesetz in der Fassung der Bekanntmachung vom 14. Januar 2003 (BGBl. I S. 66), zuletzt geändert durch Artikel 1 des Gesetzes vom 22. August 2006 (BGBl. I S. 1970) ;
(Federal Data Protection Act as announced on 14 January 2003 (Federal Law Gazette I p. 66), as last amended by Article 1 of the Act of 22 August 2006 (Federal Law Gazette I p. 1970)), ;
- Bundes-Immissionsschutzgesetz in der Fassung der Bekanntmachung vom 26. September 2002 (BGBl. I S. 3830), zuletzt geändert durch Artikel 1 des Gesetzes vom 23. Oktober 2007 (BGBl. I S. 2470) ;
(Federal Immission Control Act as announced on 26 September 2002 (Federal Law Gazette I p. 3830), as last amended by Article 1 of the Act of 23 October 2007 (Fed-eral Law Gazette I p. 2470)), ;
- Energiesteuergesetz vom 15. Juli 2006 (BGBl. I S. 1534), geändert durch Artikel 1 des Gesetzes vom 18. Dezember 2006 (BGBl. I S. 3180) ;
(Energy Taxation Act of 15 July 2006 (Federal Law Gazette I p. 1534), as amended by Article 1 of the Act of 18 December 2006 (Federal Law Gazette I p. 3180)), ;
- Erneuerbare-Energien-Gesetz vom 25. Oktober 2008 (BGBl. I S. 2008) ;
(Renewable Energy Sources Act of 25 October 2008 (Federal Law Gazette I p. 2008)), ;
- Umweltauditgesetz in der Fassung der Bekanntmachung vom 4. September 2002 (BGBl. I S. 3490), zuletzt geändert durch Artikel 11 des Gesetzes vom 17. März 2008 (BGBl. I S. 399) ;
(Eco-management and Audit Scheme Act as announced on 4 September 2002 (Fed-eral Law Gazette I p. 3490), as last amended by Article 11 of the Act of 17 March 2008 (Federal Law Gazette I p. 399)), ;
- Umweltinformationsgesetz vom 22. Dezember 2004 (BGBl. I S. 3704) ;
(Environmental Information Act of 22 December 2004 (Federal Law Gazette I p. 3704)), ;
- Verwaltungsverfahrensgesetz in der Fassung der Bekanntmachung vom 23. Januar 2003 (BGBl. I S. 102), zuletzt geändert durch Artikel 10 des Gesetzes vom 17. Dezember 2008 (BGBl. I S. 2586) ;
(Administrative Procedures Act as announced on 23 January 2003 (Federal Law Gazette I p. 102), as last amended by Article 10 of the Act of 17 December 2008 (Federal Law Gazette I p. 2586)), ;
 ;
- Verordnung (EG) Nr. 761/2001 des Europäischen Parlaments und des Rates vom 19. März 2001 über die freiwillige Beteiligung von Organisationen an einem Gemeinschaftssystem für das Umweltmanagement und die Umweltbetriebsprüfung (EMAS) (ABl. EG Nr. L 114 S. 1) ;
(Regulation (EC) No 761/2001 of the European Parliament and of the Council of 19 March 2001 allowing voluntary participation by organisations in a Community eco-management and audit scheme (EMAS) (OJ L 114 of 24 April 2001, p. 1)), ;
- Verordnung (EG) Nr. 1698/2005 des Rates vom 20. September 2005 über die Förderung der Entwicklung des ländlichen Raums durch den Europäischen Landwirtschaftsfonds für die Entwicklung des ländlichen Raums (ABl. EG Nr. L 277 S. 1) ;
(Council Regulation (EC) No 1698/2005 of 20 September 2005 on support for rural development by the European Agricultural Fund for Rural Development (OJ L 277 of 21 October 2005, p. 1)), ;
- Verordnung (EG) Nummer 73/2009 des Rates vom 19. Januar 2009 mit gemeinsamen Regeln für Direktzahlungen im Rahmen der Gemeinsamen Agrarpoli-tik und mit bestimmten Stützungsregelungen für Inhaber landwirtschaftlicher Betriebe (ABl. L 30 vom 31.1.2009, S. 16) ;
(Council Regulation (EC) No 73/2009 of 19 January 2009 establishing common rules for direct support schemes for farmers under the common agricultural policy and establishing certain support schemes for farmers (OJ L 30 of 31 January 2009, p. 16)), ;
- Richtlinie 2009/28/EG des Europäischen Parlaments und des Rates vom 23. April 2009 zur Förderung der Nutzung von Energie aus erneuerbaren Quellen und zur Änderung und anschließenden Aufhebung der Richtlinien 2001/77/EG und 2003/30/EG (ABl. L 140 vom 5.6.2009, S. 16) ;
(Directive 2009/28/EC of the European Parliament and of the Council of 23 April 2009 on the promotion of the use of energy from renewable sources and amending and subsequently repealing Directives 2001/77/EC and 2003/30/EC (OJ L 140 of 5 June 2009, p. 16)), ;
- Europäische Norm EN 45011, Guides ISO 65:1996, ISO/IEC 60:2004, ISO 19011:2002 ;
(European Standard EN 45011, Guides ISO 65: 1996, ISO/IEC 60: 2004, ISO 19011: 2002). ;
 ;
- Internationales Übereinkommen über Feuchtgebiete, insbesondere als Lebensraum für Wasser- und Watvögel von internationaler Bedeutung vom 2. Februar 1971 ;
(International Convention on Wetlands of International Importance Especially as Waterfowl Habitat of 2 February 1971), ;
- Übereinkommen über technische Handelshemmnisse (ABl. EG Nr. L 336 vom 23.12.1994, S. 68) ;
(Technical Barriers to Trade Agreement (OJ L 336 of 23 December 1994, p. 68)), ;
</t>
  </si>
  <si>
    <t xml:space="preserve">Draft legislation to amend the provisions on the promotion of the use of biofuels) ;
, language:</t>
  </si>
  <si>
    <t xml:space="preserve">The increased use of biofuels will be phased in at a slower pace for the following reasons: ;
•_x0009_Sustainability criteria have to be in place first to ensure a sustainable production of biomass for biofuel use. ;
•_x0009_To avoid competition with food or feedstuffs, a delay in introducing an increased biofuel quota will allow for more time to derive biomass from other sources. ;
•_x0009_For a transitional period it will not be possible to add 10% vol of ethanol to petrol because it cannot be used in engines of older cars. ;
•_x0009_The climate balance of second generation biofuels is much better than that of first generation biofuels, but unfortunately they are not available in sufficient quantities. ;
 ;
Furthermore, the Federal Immission Control Act, the Energy Taxation Act and the Renewable Energies Heat Act each include an authorisation basis to enact ordinances making it possible to require compliance with sustainability criteria for recognition as biofuel. The authorisation basis included in those legislations will have to be amended to make their implementation practicable. ;
</t>
  </si>
  <si>
    <t>Fossil fuels and biofuels are affected by the draft legislation</t>
  </si>
  <si>
    <t>75.160.20 - Liquid fuels</t>
  </si>
  <si>
    <d:r xmlns:d="http://schemas.openxmlformats.org/spreadsheetml/2006/main">
      <d:rPr>
        <d:sz val="11"/>
        <d:rFont val="Calibri"/>
      </d:rPr>
      <d:t xml:space="preserve">https://members.wto.org/crnattachments/2009/TBT/09_1223_00_e.pdf</d:t>
    </d:r>
  </si>
  <si>
    <t xml:space="preserve">Bundes-Immissionsschutzgesetz in der Fassung der Bekanntmachung vom 26. September 2002 (BGBl. I S. 3830), zuletzt geändert durch Artikel 1 des Gesetzes vom 23. Oktober 2007 (BGBl. I S. 2470) ;
(Federal Imission Control Act as announced on 26 September 2002 (Federal Law Gazette I, p. 3830), last amended by Article 1 of the Act on 23 October 2007 (Federal Law Gazette I, p. 2470)) ;
Energiesteuergesetz vom 15. Juli 2006 (BGBl. I S. 1534), geändert durch Artikel 1 des Gesetzes vom 18. Dezember 2006 (BGBl. I S. 3180) ;
(Energy Taxation Act of 15 July 2006 (Federal Law Gazette I, p. 1534), as amended by Article 1 of the Act on 18 December 2006 (Federal Law Gazette I, p. 3180)) ;
</t>
  </si>
  <si>
    <t>Ordinance on the Amendment of the 10th Ordinance on the Implementation of the Federal Immission Control Act (Ordinance on the Quality and Labelling of Fuels, 10th BImSchV) (10 pages, in German).</t>
  </si>
  <si>
    <t xml:space="preserve">KN-Code: 2710 19 41, KN-Code: 3824 90 91, KN-Code: 3824 90 97, KN-Codes: 2711 12 11 – 2711 19 00,  KN-Code: 2711 21 00, HS: 1507 - 1518</t>
  </si>
  <si>
    <t>1509 - Olive oil and its fractions obtained from the fruit of the olive tree solely by mechanical or other physical means under conditions that do not lead to deterioration of the oil, whether or not refined, but not chemically modified; 1510 - Other oils and their fractions, obtained solely from olives, whether or not refined, but not chemically modified, incl. blends of these oils or fractions with oils or fractions of heading 1509; 1516 - Animal or vegetable fats and oils and their fractions, partly or wholly hydrogenated, inter-esterified, re-esterified or elaidinized, whether or not refined, but not further prepared; 271019 - Medium oils and preparations, of petroleum or bituminous minerals, n.e.s.; 1511 - Palm oil and its fractions, whether or not refined (excl. chemically modified); 1512 - Sunflower-seed, safflower or cotton-seed oil and fractions thereof, whether or not refined, but not chemically modified; 271112 - Propane, liquefied; 1517 - Margarine, other edible mixtures or preparations of animal or vegetable fats or oils and edible fractions of different fats or oils (excl. fats, oils and their fractions, partly or wholly hydrogenated, inter-esterified, re-esterified or elaidinized, whether or not refined, but not further prepared, and mixtures of olive oils and their fractions); 1518 -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271119 - Gaseous hydrocarbons, liquefied, n.e.s. (excl. natural gas, propane, butane, ethylene, propylene, butylene and butadiene); 1507 - Soya-bean oil and its fractions, whether or not refined (excl. chemically modified); 1508 - Ground-nut oil and its fractions, whether or not refined, but not chemically modified; 382490 - Chemical products and preparations of the chemical or allied industries, incl. those consisting of mixtures of natural products, n.e.s.; 271121 - Natural gas in gaseous state; 1513 - Coconut "copra", palm kernel or babassu oil and fractions thereof, whether or not refined, but not chemically modified; 1514 - Rape, colza or mustard oil and fractions thereof, whether or not refined, but not chemically modified; 1515 - Fixed vegetable fats and oils, incl. jojoba oil, and their fractions, whether or not refined, but not chemically modified (excl. soya-bean, ground-nut, olive, palm, sunflower-seed, safflower, cotton-seed, coconut, palm kernel, babassu, rape, colza and mustard oil)</t>
  </si>
  <si>
    <t>13.020.40 - Pollution, pollution control and conservation; 27.190 - Biological sources and alternative sources of energy; 75.060 - Natural gas; 75.160.20 - Liquid fuels</t>
  </si>
  <si>
    <d:r xmlns:d="http://schemas.openxmlformats.org/spreadsheetml/2006/main">
      <d:rPr>
        <d:sz val="11"/>
        <d:rFont val="Calibri"/>
      </d:rPr>
      <d:t xml:space="preserve">https://members.wto.org/crnattachments/2008/TBT/DEU/08_2941_00_x.pdf</d:t>
    </d:r>
  </si>
  <si>
    <t>Products of seals (Pinnipedia)</t>
  </si>
  <si>
    <t>65.145 - Hunting</t>
  </si>
  <si>
    <t>Addendum to Regular Notification</t>
  </si>
  <si>
    <d:r xmlns:d="http://schemas.openxmlformats.org/spreadsheetml/2006/main">
      <d:rPr>
        <d:sz val="11"/>
        <d:rFont val="Calibri"/>
      </d:rPr>
      <d:t xml:space="preserve">https://members.wto.org/crnattachments/2008/TBT/DEU/08_1818_00_x.pdf</d:t>
    </d:r>
  </si>
  <si>
    <t>Ordinance on tattooing agents, including specific comparable substances and preparations from substances (Tattooing Agent Ordinance) (12 pages, in German).</t>
  </si>
  <si>
    <t>Agent for tattooing and comparable substances and preparations</t>
  </si>
  <si>
    <t>71.100 - Products of the chemical industry</t>
  </si>
  <si>
    <d:r xmlns:d="http://schemas.openxmlformats.org/spreadsheetml/2006/main">
      <d:rPr>
        <d:sz val="11"/>
        <d:rFont val="Calibri"/>
      </d:rPr>
      <d:t xml:space="preserve">https://members.wto.org/crnattachments/2008/TBT/DEU/08_0992_00_x.pdf</d:t>
    </d:r>
  </si>
  <si>
    <t>Act concerning the prohibition of the importation, processing and marketing of products derived from seals _x000B_(17 pages, in German).</t>
  </si>
  <si>
    <t>Animal welfare</t>
  </si>
  <si>
    <d:r xmlns:d="http://schemas.openxmlformats.org/spreadsheetml/2006/main">
      <d:rPr>
        <d:sz val="11"/>
        <d:rFont val="Calibri"/>
      </d:rPr>
      <d:t xml:space="preserve">https://members.wto.org/crnattachments/2008/TBT/DEU/08_0594_00_x.pdf</d:t>
    </d:r>
  </si>
  <si>
    <t>Information from the Market Surveillance Working Group for marketers of magnetic toys – additional requirements pertaining to magnetic toys –(1 page in German)</t>
  </si>
  <si>
    <t>Toys containing magnets</t>
  </si>
  <si>
    <t>97.200.50 - Toys</t>
  </si>
  <si>
    <d:r xmlns:d="http://schemas.openxmlformats.org/spreadsheetml/2006/main">
      <d:rPr>
        <d:sz val="11"/>
        <d:rFont val="Calibri"/>
      </d:rPr>
      <d:t xml:space="preserve">https://members.wto.org/crnattachments/2008/TBT/DEU/08_0154_00_x.pdf</d:t>
    </d:r>
  </si>
  <si>
    <t>Fourteenth Ordinance amending the German Ordinance on Commodities (5 pages, in German)</t>
  </si>
  <si>
    <t>Toys made from natural or synthetic rubber, balloons</t>
  </si>
  <si>
    <t>220210 - Waters, incl. mineral and aerated, with added sugar, sweetener or flavour, for direct consumption as a beverage</t>
  </si>
  <si>
    <t>Human health; Beverages; Food safety; Heavy metals; Contaminants</t>
  </si>
  <si>
    <t>Corrigendum to Regular Notification</t>
  </si>
  <si>
    <t>Human health; Heavy metals; Contaminants; Beverages; Food safety</t>
  </si>
  <si>
    <t>Human health; Pesticides; Food safety; Plant health; Maximum residue limits (MRLs)</t>
  </si>
  <si>
    <t>Act on the regulation of food, feed and commodities (extract 2 pages)</t>
  </si>
  <si>
    <t>Permanent make up and  tattooing colours</t>
  </si>
  <si>
    <t>Third Ordinance amending the Tobacco Ordinance (5 pages)</t>
  </si>
  <si>
    <t>Cigars, cigarettes</t>
  </si>
  <si>
    <t>0901 - Coffee, whether or not roasted or decaffeinated; coffee husks and skins; coffee substitutes containing coffee in any proportion; 2101 - Extracts, essences and concentrates, of coffee, tea or mate and preparations with a basis of these products or with a basis of coffee, tea or mate; roasted chicory and other roasted coffee substitutes, and extracts, essences and concentrates thereof</t>
  </si>
  <si>
    <t>Modification of final date for comments</t>
  </si>
  <si>
    <t xml:space="preserve">Ordinance amending the ordinance laying down maximum levels for mycotoxins in foodstuffs and the ordinance of dietetic foodstuffs.  (Language:  German.  Summary available in English, 5 pages.)</t>
  </si>
  <si>
    <t>The ordinance amends the ordinance laying down maximum levels for mycotoxins in foodstuffs and the ordinance on dietetic foodstuffs lays down maximum levels for certain mycotoxins (Ochratoxin A, Deoxynivalenol, Zearalenone, and Fumonisins) in certain foodstuffs on the basis of recent findings.</t>
  </si>
  <si>
    <t xml:space="preserve">Instant and roasted coffee, dried fruit (not including grapes);  cereals and cereal based products intended for human consumption, not including durum wheat and durum_x001E_based products;  dietetic foodstuffs for infants and small children</t>
  </si>
  <si>
    <t>Human health; Food safety; Mycotoxins; Toxins; Contaminants</t>
  </si>
  <si>
    <t xml:space="preserve">Eighth Ordinance to Amend the Maximum Residue Limits Ordinance (5 pages).  Summaries available in English and French.</t>
  </si>
  <si>
    <t xml:space="preserve">Fixing and deletion of national maximum residue limits for plant protection products and pesticides, fertilizers and other agents in or on foodstuffs of animal and plant origin.  Notice:  Previous amendment (7th Ordinance) was notified to SPS in G/SPS/DEU/6 Rev.1 (13 November 2002).</t>
  </si>
  <si>
    <t>Foodstuffs of animal and plant origin.</t>
  </si>
  <si>
    <t>Food safety; Human health; Pesticides; Maximum residue limits (MRLs); Plant health</t>
  </si>
  <si>
    <t>Second Ordinance Amending the Ordinance on Mineral and Table Waters (5 pages)</t>
  </si>
  <si>
    <t xml:space="preserve">Restriction of activity concentration of radium 226 and radium 228 in natural mineral waters, spring waters and table waters with reference to suitability for making baby food.  Reduction of maximum level of lead in natural mineral waters.</t>
  </si>
  <si>
    <t>Natural mineral waters, spring waters, table waters (CN 2202.10)</t>
  </si>
  <si>
    <t>Human health; Heavy metals; Beverages; Food safety; Contaminants</t>
  </si>
  <si>
    <t>Seventh Ordinance to Amend the Maximum Residue Limits Ordinance</t>
  </si>
  <si>
    <t xml:space="preserve">Fixation and deletion of national maximum residue limits for plant protection products and pesticides, fertilizers and other agents in or on foodstuffs of animal and plant origin and implementation of Directives 2001/39/EC, 2001/48/EC and 2001/57/EC. The Seventh Ordinance contains among other changes a codified list of MRLs for food of plant origin.  The changed positions (101 active agents) are marked in bold;  furthermore, these changes are listed in an explanatory document attached to the ordinance for clarification.</t>
  </si>
  <si>
    <t>Foodstuffs</t>
  </si>
  <si>
    <t>Food safety; Human health; Pesticides; Plant health; Maximum residue limits (MRLs)</t>
  </si>
  <si>
    <t>Feedingstuffs</t>
  </si>
  <si>
    <t>2309 - Preparations of a kind used in animal feeding</t>
  </si>
  <si>
    <t>Animal feed; Animal health; Human health; Food safety; Feed additives</t>
  </si>
  <si>
    <t>Teething rings and certain toys for children up to 36 months</t>
  </si>
  <si>
    <t>Food safety; Human health; Pesticides; Maximum residue limits (MRLs)</t>
  </si>
  <si>
    <t>Food standards; Labelling</t>
  </si>
  <si>
    <t xml:space="preserve">Ships and ship safety
equipment</t>
  </si>
  <si>
    <t>Dritte Verordnung zur Änderung der Rückstands-Höchstmengenverordnung (RHmV), (Third Ordinance to Amend the Maximum Residue Limits Ordinance), 18 pages.</t>
  </si>
  <si>
    <t xml:space="preserve">Implementation of Regulation EEC/95/38, EEC/95/39, EEC/95/61, EEC/96/32 and EEC/96/33.  Moreover fixation of national maximum residue limits for plant protection products and pesticides, fertilizers and other agents in or on foodstuffs.</t>
  </si>
  <si>
    <t>Human health; Pesticides; Food safety; Maximum residue limits (MRLs)</t>
  </si>
  <si>
    <t>Codex Maximum Residue Limits exist for some active ingredients.</t>
  </si>
  <si>
    <t xml:space="preserve">Azo colourants in specific
consumer articles having prolonged contact with the human body, such as clothing and
bed linen</t>
  </si>
  <si>
    <t>Verordnung zur Änderung der Schadstoff-Höchstmengenverordnung (SHmV), (Ordinance to amend the Maximum Limits of Pollutants) (6 pages)</t>
  </si>
  <si>
    <t>Fixing of maximum limits for mercury in fish, supplement to the legal basis to achieve a fixing of maximum limits independent of input.</t>
  </si>
  <si>
    <t>Foodstuffs of animal origin and fish</t>
  </si>
  <si>
    <t>0302 - Fish, fresh or chilled (excl. fish fillets and other fish meat of heading 0304)</t>
  </si>
  <si>
    <t>Food safety; Human health; Contaminants; Heavy metals</t>
  </si>
  <si>
    <t>Maximum limits for mercury in fish are under discussion within the framework of the Codex Alimentarius.</t>
  </si>
  <si>
    <t>Second ordinance to amend the Maximum Residue Limits Ordinance, 8 pages</t>
  </si>
  <si>
    <t>Fixation of maximum residue limits for plant protection products and pesticides, fertilizers and other agents in or on foodstuffs</t>
  </si>
</sst>
</file>

<file path=xl/styles.xml><?xml version="1.0" encoding="utf-8"?>
<styleSheet xmlns="http://schemas.openxmlformats.org/spreadsheetml/2006/main">
  <numFmts count="1">
    <numFmt numFmtId="164" formatCode="dd/MM/yyyy"/>
  </numFmts>
  <fonts count="3">
    <font>
      <sz val="11"/>
      <name val="Calibri"/>
    </font>
    <font>
      <b/>
      <sz val="11"/>
      <name val="Calibri"/>
    </font>
    <font>
      <u/>
      <sz val="11"/>
      <color rgb="FF0000FF" tint="0"/>
      <name val="Calibri"/>
    </font>
  </fonts>
  <fills count="2">
    <fill>
      <patternFill patternType="none"/>
    </fill>
    <fill>
      <patternFill patternType="gray125"/>
    </fill>
  </fills>
  <borders count="1">
    <border>
      <left/>
      <right/>
      <top/>
      <bottom/>
      <diagonal/>
    </border>
  </borders>
  <cellStyleXfs count="1">
    <xf numFmtId="0" fontId="0"/>
  </cellStyleXfs>
  <cellXfs count="1">
    <xf numFmtId="0" applyNumberFormat="1" fontId="0" applyFont="1" xfId="0" applyProtection="1"/>
    <xf numFmtId="0" applyNumberFormat="1" fontId="1" applyFont="1" xfId="0" applyProtection="1" applyAlignment="1">
      <alignment horizontal="center" vertical="center"/>
    </xf>
    <xf numFmtId="0" applyNumberFormat="1" fontId="0" applyFont="1" xfId="0" applyProtection="1">
      <alignment wrapText="1"/>
    </xf>
    <xf numFmtId="0" applyNumberFormat="1" fontId="1" applyFont="1" xfId="0" applyProtection="1" applyAlignment="1">
      <alignment horizontal="center" vertical="center" wrapText="1"/>
    </xf>
    <xf numFmtId="164" applyNumberFormat="1" fontId="0" applyFont="1" xfId="0" applyProtection="1"/>
    <xf numFmtId="164" applyNumberFormat="1" fontId="1" applyFont="1" xfId="0" applyProtection="1" applyAlignment="1">
      <alignment horizontal="center" vertical="center"/>
    </xf>
    <xf numFmtId="0" applyNumberFormat="1" fontId="0" applyFont="1" xfId="0" applyProtection="1" applyAlignment="1">
      <alignment vertical="top"/>
    </xf>
    <xf numFmtId="164" applyNumberFormat="1" fontId="0" applyFont="1" xfId="0" applyProtection="1" applyAlignment="1">
      <alignment vertical="top"/>
    </xf>
    <xf numFmtId="0" applyNumberFormat="1" fontId="0" applyFont="1" xfId="0" applyProtection="1" applyAlignment="1">
      <alignment vertical="top" wrapText="1"/>
    </xf>
    <xf numFmtId="0" applyNumberFormat="1" fontId="2" applyFont="1" xfId="0" applyProtection="1" applyAlignment="1">
      <alignment vertical="top"/>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sharedStrings" Target="sharedStrings.xml"/></Relationships>
</file>

<file path=xl/worksheets/sheet1.xml><?xml version="1.0" encoding="utf-8"?>
<worksheet xmlns:r="http://schemas.openxmlformats.org/officeDocument/2006/relationships" xmlns="http://schemas.openxmlformats.org/spreadsheetml/2006/main" xmlns:xr="http://schemas.microsoft.com/office/spreadsheetml/2014/revision" xmlns:mc="http://schemas.openxmlformats.org/markup-compatibility/2006" mc:Ignorable="xr">
  <dimension ref="A1:AE51"/>
  <sheetViews>
    <sheetView workbookViewId="0"/>
  </sheetViews>
  <sheetFormatPr defaultRowHeight="15"/>
  <cols>
    <col min="1" max="1" width="30" customWidth="1"/>
    <col min="2" max="2" width="20" customWidth="1" style="4"/>
    <col min="3" max="3" width="50" customWidth="1"/>
    <col min="4" max="4" width="100" customWidth="1" style="2"/>
    <col min="5" max="5" width="100" customWidth="1" style="2"/>
    <col min="6" max="6" width="100" customWidth="1" style="2"/>
    <col min="7" max="7" width="100" customWidth="1" style="2"/>
    <col min="8" max="8" width="100" customWidth="1" style="2"/>
    <col min="9" max="9" width="100" customWidth="1" style="2"/>
    <col min="10" max="10" width="100" customWidth="1" style="2"/>
    <col min="11" max="11" width="100" customWidth="1"/>
    <col min="12" max="12" width="30" customWidth="1" style="4"/>
    <col min="13" max="13" width="100" customWidth="1"/>
    <col min="14" max="14" width="100" customWidth="1"/>
    <col min="15" max="15" width="100" customWidth="1"/>
    <col min="16" max="16" width="100" customWidth="1"/>
    <col min="17" max="17" width="100" customWidth="1"/>
    <col min="18" max="18" width="100" customWidth="1"/>
    <col min="19" max="19" width="100" customWidth="1"/>
    <col min="20" max="20" width="100" customWidth="1"/>
    <col min="21" max="21" width="100" customWidth="1"/>
    <col min="22" max="22" width="100" customWidth="1"/>
    <col min="23" max="23" width="100" customWidth="1"/>
    <col min="24" max="24" width="100" customWidth="1"/>
    <col min="25" max="25" width="100" customWidth="1" style="2"/>
    <col min="26" max="26" width="100" customWidth="1"/>
    <col min="27" max="27" width="100" customWidth="1"/>
    <col min="28" max="28" width="100" customWidth="1"/>
    <col min="29" max="29" width="100" customWidth="1"/>
    <col min="30" max="30" width="100" customWidth="1"/>
    <col min="31" max="31" width="100" customWidth="1" style="2"/>
  </cols>
  <sheetData>
    <row r="1" ht="30" customHeight="1">
      <c r="A1" s="1" t="s">
        <v>0</v>
      </c>
      <c r="B1" s="5" t="s">
        <v>1</v>
      </c>
      <c r="C1" s="1" t="s">
        <v>2</v>
      </c>
      <c r="D1" s="3" t="s">
        <v>3</v>
      </c>
      <c r="E1" s="3" t="s">
        <v>4</v>
      </c>
      <c r="F1" s="3" t="s">
        <v>5</v>
      </c>
      <c r="G1" s="3" t="s">
        <v>6</v>
      </c>
      <c r="H1" s="3" t="s">
        <v>7</v>
      </c>
      <c r="I1" s="3" t="s">
        <v>8</v>
      </c>
      <c r="J1" s="3" t="s">
        <v>9</v>
      </c>
      <c r="K1" s="1" t="s">
        <v>10</v>
      </c>
      <c r="L1" s="5" t="s">
        <v>11</v>
      </c>
      <c r="M1" s="1" t="s">
        <v>12</v>
      </c>
      <c r="N1" s="1" t="s">
        <v>13</v>
      </c>
      <c r="O1" s="1" t="s">
        <v>14</v>
      </c>
      <c r="P1" s="1" t="s">
        <v>15</v>
      </c>
      <c r="Q1" s="1" t="s">
        <v>16</v>
      </c>
      <c r="R1" s="1" t="s">
        <v>17</v>
      </c>
      <c r="S1" s="1" t="s">
        <v>18</v>
      </c>
      <c r="T1" s="1" t="s">
        <v>19</v>
      </c>
      <c r="U1" s="1" t="s">
        <v>20</v>
      </c>
      <c r="V1" s="1" t="s">
        <v>21</v>
      </c>
      <c r="W1" s="1" t="s">
        <v>22</v>
      </c>
      <c r="X1" s="1" t="s">
        <v>23</v>
      </c>
      <c r="Y1" s="3" t="s">
        <v>24</v>
      </c>
      <c r="Z1" s="1" t="s">
        <v>25</v>
      </c>
      <c r="AA1" s="1" t="s">
        <v>26</v>
      </c>
      <c r="AB1" s="1" t="s">
        <v>27</v>
      </c>
      <c r="AC1" s="1" t="s">
        <v>28</v>
      </c>
      <c r="AD1" s="1" t="s">
        <v>29</v>
      </c>
      <c r="AE1" s="3" t="s">
        <v>30</v>
      </c>
    </row>
    <row r="2">
      <c r="A2" s="6" t="s">
        <v>31</v>
      </c>
      <c r="B2" s="7">
        <v>45138</v>
      </c>
      <c r="C2" s="9">
        <f>HYPERLINK("https://www.epingalert.org/en/Search?viewData= G/TBT/N/DEU/19"," G/TBT/N/DEU/19")</f>
      </c>
      <c r="D2" s="8" t="s">
        <v>32</v>
      </c>
      <c r="E2" s="8" t="s">
        <v>33</v>
      </c>
      <c r="F2" s="8" t="s">
        <v>34</v>
      </c>
      <c r="G2" s="8" t="s">
        <v>35</v>
      </c>
      <c r="H2" s="8" t="s">
        <v>36</v>
      </c>
      <c r="I2" s="8" t="s">
        <v>37</v>
      </c>
      <c r="J2" s="8" t="s">
        <v>36</v>
      </c>
      <c r="K2" s="6"/>
      <c r="L2" s="7">
        <v>45198</v>
      </c>
      <c r="M2" s="6" t="s">
        <v>38</v>
      </c>
      <c r="N2" s="6"/>
      <c r="O2" s="6">
        <f>HYPERLINK("https://docs.wto.org/imrd/directdoc.asp?DDFDocuments/t/G/TBTN23/DEU19.DOCX", "https://docs.wto.org/imrd/directdoc.asp?DDFDocuments/t/G/TBTN23/DEU19.DOCX")</f>
      </c>
      <c r="P2" s="6">
        <f>HYPERLINK("https://docs.wto.org/imrd/directdoc.asp?DDFDocuments/u/G/TBTN23/DEU19.DOCX", "https://docs.wto.org/imrd/directdoc.asp?DDFDocuments/u/G/TBTN23/DEU19.DOCX")</f>
      </c>
      <c r="Q2" s="6">
        <f>HYPERLINK("https://docs.wto.org/imrd/directdoc.asp?DDFDocuments/v/G/TBTN23/DEU19.DOCX", "https://docs.wto.org/imrd/directdoc.asp?DDFDocuments/v/G/TBTN23/DEU19.DOCX")</f>
      </c>
      <c r="R2" s="0" t="s">
        <v>39</v>
      </c>
      <c r="S2" s="0" t="s">
        <v>40</v>
      </c>
      <c r="T2" s="0" t="s">
        <v>40</v>
      </c>
      <c r="U2" s="0" t="s">
        <v>40</v>
      </c>
      <c r="V2" s="0" t="s">
        <v>40</v>
      </c>
      <c r="W2" s="0" t="s">
        <v>40</v>
      </c>
      <c r="X2" s="0" t="s">
        <v>40</v>
      </c>
      <c r="Y2" s="2" t="s">
        <v>41</v>
      </c>
      <c r="Z2" s="0" t="s">
        <v>36</v>
      </c>
      <c r="AA2" s="0" t="s">
        <v>36</v>
      </c>
      <c r="AB2" s="0" t="s">
        <v>36</v>
      </c>
      <c r="AC2" s="0" t="s">
        <v>36</v>
      </c>
      <c r="AD2" s="0" t="s">
        <v>36</v>
      </c>
      <c r="AE2" s="2" t="s">
        <v>36</v>
      </c>
    </row>
    <row r="3">
      <c r="A3" s="6" t="s">
        <v>31</v>
      </c>
      <c r="B3" s="7">
        <v>44883</v>
      </c>
      <c r="C3" s="9">
        <f>HYPERLINK("https://www.epingalert.org/en/Search?viewData= G/TBT/N/DEU/18"," G/TBT/N/DEU/18")</f>
      </c>
      <c r="D3" s="8" t="s">
        <v>42</v>
      </c>
      <c r="E3" s="8" t="s">
        <v>43</v>
      </c>
      <c r="F3" s="8" t="s">
        <v>44</v>
      </c>
      <c r="G3" s="8" t="s">
        <v>45</v>
      </c>
      <c r="H3" s="8" t="s">
        <v>36</v>
      </c>
      <c r="I3" s="8" t="s">
        <v>46</v>
      </c>
      <c r="J3" s="8" t="s">
        <v>47</v>
      </c>
      <c r="K3" s="6"/>
      <c r="L3" s="7">
        <v>44943</v>
      </c>
      <c r="M3" s="6" t="s">
        <v>38</v>
      </c>
      <c r="N3" s="6"/>
      <c r="O3" s="6">
        <f>HYPERLINK("https://docs.wto.org/imrd/directdoc.asp?DDFDocuments/t/G/TBTN22/DEU18.DOCX", "https://docs.wto.org/imrd/directdoc.asp?DDFDocuments/t/G/TBTN22/DEU18.DOCX")</f>
      </c>
      <c r="P3" s="6">
        <f>HYPERLINK("https://docs.wto.org/imrd/directdoc.asp?DDFDocuments/u/G/TBTN22/DEU18.DOCX", "https://docs.wto.org/imrd/directdoc.asp?DDFDocuments/u/G/TBTN22/DEU18.DOCX")</f>
      </c>
      <c r="Q3" s="6">
        <f>HYPERLINK("https://docs.wto.org/imrd/directdoc.asp?DDFDocuments/v/G/TBTN22/DEU18.DOCX", "https://docs.wto.org/imrd/directdoc.asp?DDFDocuments/v/G/TBTN22/DEU18.DOCX")</f>
      </c>
      <c r="R3" s="0" t="s">
        <v>39</v>
      </c>
      <c r="S3" s="0" t="s">
        <v>40</v>
      </c>
      <c r="T3" s="0" t="s">
        <v>40</v>
      </c>
      <c r="U3" s="0" t="s">
        <v>40</v>
      </c>
      <c r="V3" s="0" t="s">
        <v>40</v>
      </c>
      <c r="W3" s="0" t="s">
        <v>40</v>
      </c>
      <c r="X3" s="0" t="s">
        <v>40</v>
      </c>
      <c r="Y3" s="2" t="s">
        <v>48</v>
      </c>
      <c r="Z3" s="0" t="s">
        <v>36</v>
      </c>
      <c r="AA3" s="0" t="s">
        <v>36</v>
      </c>
      <c r="AB3" s="0" t="s">
        <v>36</v>
      </c>
      <c r="AC3" s="0" t="s">
        <v>36</v>
      </c>
      <c r="AD3" s="0" t="s">
        <v>36</v>
      </c>
      <c r="AE3" s="2" t="s">
        <v>36</v>
      </c>
    </row>
    <row r="4">
      <c r="A4" s="6" t="s">
        <v>31</v>
      </c>
      <c r="B4" s="7">
        <v>44277</v>
      </c>
      <c r="C4" s="9">
        <f>HYPERLINK("https://www.epingalert.org/en/Search?viewData= G/SPS/N/DEU/12"," G/SPS/N/DEU/12")</f>
      </c>
      <c r="D4" s="8" t="s">
        <v>49</v>
      </c>
      <c r="E4" s="8" t="s">
        <v>50</v>
      </c>
      <c r="F4" s="8" t="s">
        <v>51</v>
      </c>
      <c r="G4" s="8" t="s">
        <v>52</v>
      </c>
      <c r="H4" s="8" t="s">
        <v>36</v>
      </c>
      <c r="I4" s="8" t="s">
        <v>53</v>
      </c>
      <c r="J4" s="8" t="s">
        <v>54</v>
      </c>
      <c r="K4" s="6"/>
      <c r="L4" s="7">
        <v>44337</v>
      </c>
      <c r="M4" s="6" t="s">
        <v>38</v>
      </c>
      <c r="N4" s="8" t="s">
        <v>55</v>
      </c>
      <c r="O4" s="6">
        <f>HYPERLINK("https://docs.wto.org/imrd/directdoc.asp?DDFDocuments/t/G/SPS/NDEU12.DOCX", "https://docs.wto.org/imrd/directdoc.asp?DDFDocuments/t/G/SPS/NDEU12.DOCX")</f>
      </c>
      <c r="P4" s="6">
        <f>HYPERLINK("https://docs.wto.org/imrd/directdoc.asp?DDFDocuments/u/G/SPS/NDEU12.DOCX", "https://docs.wto.org/imrd/directdoc.asp?DDFDocuments/u/G/SPS/NDEU12.DOCX")</f>
      </c>
      <c r="Q4" s="6">
        <f>HYPERLINK("https://docs.wto.org/imrd/directdoc.asp?DDFDocuments/v/G/SPS/NDEU12.DOCX", "https://docs.wto.org/imrd/directdoc.asp?DDFDocuments/v/G/SPS/NDEU12.DOCX")</f>
      </c>
      <c r="R4" s="0" t="s">
        <v>36</v>
      </c>
      <c r="S4" s="0" t="s">
        <v>36</v>
      </c>
      <c r="T4" s="0" t="s">
        <v>36</v>
      </c>
      <c r="U4" s="0" t="s">
        <v>36</v>
      </c>
      <c r="V4" s="0" t="s">
        <v>36</v>
      </c>
      <c r="W4" s="0" t="s">
        <v>36</v>
      </c>
      <c r="X4" s="0" t="s">
        <v>36</v>
      </c>
      <c r="Y4" s="2" t="s">
        <v>36</v>
      </c>
      <c r="Z4" s="0" t="s">
        <v>40</v>
      </c>
      <c r="AA4" s="0" t="s">
        <v>40</v>
      </c>
      <c r="AB4" s="0" t="s">
        <v>40</v>
      </c>
      <c r="AC4" s="0" t="s">
        <v>39</v>
      </c>
      <c r="AD4" s="0" t="s">
        <v>56</v>
      </c>
      <c r="AE4" s="2" t="s">
        <v>36</v>
      </c>
    </row>
    <row r="5">
      <c r="A5" s="6" t="s">
        <v>31</v>
      </c>
      <c r="B5" s="7">
        <v>44029</v>
      </c>
      <c r="C5" s="9">
        <f>HYPERLINK("https://www.epingalert.org/en/Search?viewData= G/TBT/N/DEU/14/Rev.1"," G/TBT/N/DEU/14/Rev.1")</f>
      </c>
      <c r="D5" s="8" t="s">
        <v>57</v>
      </c>
      <c r="E5" s="8" t="s">
        <v>58</v>
      </c>
      <c r="F5" s="8" t="s">
        <v>59</v>
      </c>
      <c r="G5" s="8" t="s">
        <v>60</v>
      </c>
      <c r="H5" s="8" t="s">
        <v>61</v>
      </c>
      <c r="I5" s="8" t="s">
        <v>62</v>
      </c>
      <c r="J5" s="8" t="s">
        <v>36</v>
      </c>
      <c r="K5" s="6"/>
      <c r="L5" s="7">
        <v>44089</v>
      </c>
      <c r="M5" s="6" t="s">
        <v>63</v>
      </c>
      <c r="N5" s="8" t="s">
        <v>64</v>
      </c>
      <c r="O5" s="6">
        <f>HYPERLINK("https://docs.wto.org/imrd/directdoc.asp?DDFDocuments/t/G/TBTN16/DEU14R1.DOCX", "https://docs.wto.org/imrd/directdoc.asp?DDFDocuments/t/G/TBTN16/DEU14R1.DOCX")</f>
      </c>
      <c r="P5" s="6">
        <f>HYPERLINK("https://docs.wto.org/imrd/directdoc.asp?DDFDocuments/u/G/TBTN16/DEU14R1.DOCX", "https://docs.wto.org/imrd/directdoc.asp?DDFDocuments/u/G/TBTN16/DEU14R1.DOCX")</f>
      </c>
      <c r="Q5" s="6">
        <f>HYPERLINK("https://docs.wto.org/imrd/directdoc.asp?DDFDocuments/v/G/TBTN16/DEU14R1.DOCX", "https://docs.wto.org/imrd/directdoc.asp?DDFDocuments/v/G/TBTN16/DEU14R1.DOCX")</f>
      </c>
      <c r="R5" s="0" t="s">
        <v>39</v>
      </c>
      <c r="S5" s="0" t="s">
        <v>40</v>
      </c>
      <c r="T5" s="0" t="s">
        <v>40</v>
      </c>
      <c r="U5" s="0" t="s">
        <v>40</v>
      </c>
      <c r="V5" s="0" t="s">
        <v>40</v>
      </c>
      <c r="W5" s="0" t="s">
        <v>40</v>
      </c>
      <c r="X5" s="0" t="s">
        <v>40</v>
      </c>
      <c r="Y5" s="2" t="s">
        <v>65</v>
      </c>
      <c r="Z5" s="0" t="s">
        <v>36</v>
      </c>
      <c r="AA5" s="0" t="s">
        <v>36</v>
      </c>
      <c r="AB5" s="0" t="s">
        <v>36</v>
      </c>
      <c r="AC5" s="0" t="s">
        <v>36</v>
      </c>
      <c r="AD5" s="0" t="s">
        <v>36</v>
      </c>
      <c r="AE5" s="2" t="s">
        <v>36</v>
      </c>
    </row>
    <row r="6">
      <c r="A6" s="6" t="s">
        <v>31</v>
      </c>
      <c r="B6" s="7">
        <v>43613</v>
      </c>
      <c r="C6" s="9">
        <f>HYPERLINK("https://www.epingalert.org/en/Search?viewData= G/TBT/N/DEU/17"," G/TBT/N/DEU/17")</f>
      </c>
      <c r="D6" s="8" t="s">
        <v>66</v>
      </c>
      <c r="E6" s="8" t="s">
        <v>67</v>
      </c>
      <c r="F6" s="8" t="s">
        <v>68</v>
      </c>
      <c r="G6" s="8" t="s">
        <v>69</v>
      </c>
      <c r="H6" s="8" t="s">
        <v>70</v>
      </c>
      <c r="I6" s="8" t="s">
        <v>71</v>
      </c>
      <c r="J6" s="8" t="s">
        <v>36</v>
      </c>
      <c r="K6" s="6"/>
      <c r="L6" s="7">
        <v>43673</v>
      </c>
      <c r="M6" s="6" t="s">
        <v>38</v>
      </c>
      <c r="N6" s="6"/>
      <c r="O6" s="6">
        <f>HYPERLINK("https://docs.wto.org/imrd/directdoc.asp?DDFDocuments/t/G/TBTN19/DEU17.DOCX", "https://docs.wto.org/imrd/directdoc.asp?DDFDocuments/t/G/TBTN19/DEU17.DOCX")</f>
      </c>
      <c r="P6" s="6">
        <f>HYPERLINK("https://docs.wto.org/imrd/directdoc.asp?DDFDocuments/u/G/TBTN19/DEU17.DOCX", "https://docs.wto.org/imrd/directdoc.asp?DDFDocuments/u/G/TBTN19/DEU17.DOCX")</f>
      </c>
      <c r="Q6" s="6">
        <f>HYPERLINK("https://docs.wto.org/imrd/directdoc.asp?DDFDocuments/v/G/TBTN19/DEU17.DOCX", "https://docs.wto.org/imrd/directdoc.asp?DDFDocuments/v/G/TBTN19/DEU17.DOCX")</f>
      </c>
      <c r="R6" s="0" t="s">
        <v>39</v>
      </c>
      <c r="S6" s="0" t="s">
        <v>40</v>
      </c>
      <c r="T6" s="0" t="s">
        <v>40</v>
      </c>
      <c r="U6" s="0" t="s">
        <v>40</v>
      </c>
      <c r="V6" s="0" t="s">
        <v>40</v>
      </c>
      <c r="W6" s="0" t="s">
        <v>40</v>
      </c>
      <c r="X6" s="0" t="s">
        <v>40</v>
      </c>
      <c r="Y6" s="2" t="s">
        <v>72</v>
      </c>
      <c r="Z6" s="0" t="s">
        <v>36</v>
      </c>
      <c r="AA6" s="0" t="s">
        <v>36</v>
      </c>
      <c r="AB6" s="0" t="s">
        <v>36</v>
      </c>
      <c r="AC6" s="0" t="s">
        <v>36</v>
      </c>
      <c r="AD6" s="0" t="s">
        <v>36</v>
      </c>
      <c r="AE6" s="2" t="s">
        <v>36</v>
      </c>
    </row>
    <row r="7">
      <c r="A7" s="6" t="s">
        <v>31</v>
      </c>
      <c r="B7" s="7">
        <v>43579</v>
      </c>
      <c r="C7" s="9">
        <f>HYPERLINK("https://www.epingalert.org/en/Search?viewData= G/TBT/N/DEU/16"," G/TBT/N/DEU/16")</f>
      </c>
      <c r="D7" s="8" t="s">
        <v>73</v>
      </c>
      <c r="E7" s="8" t="s">
        <v>74</v>
      </c>
      <c r="F7" s="8" t="s">
        <v>75</v>
      </c>
      <c r="G7" s="8" t="s">
        <v>36</v>
      </c>
      <c r="H7" s="8" t="s">
        <v>76</v>
      </c>
      <c r="I7" s="8" t="s">
        <v>77</v>
      </c>
      <c r="J7" s="8" t="s">
        <v>78</v>
      </c>
      <c r="K7" s="6"/>
      <c r="L7" s="7">
        <v>43639</v>
      </c>
      <c r="M7" s="6" t="s">
        <v>38</v>
      </c>
      <c r="N7" s="8" t="s">
        <v>79</v>
      </c>
      <c r="O7" s="6">
        <f>HYPERLINK("https://docs.wto.org/imrd/directdoc.asp?DDFDocuments/t/G/TBTN19/DEU16.DOCX", "https://docs.wto.org/imrd/directdoc.asp?DDFDocuments/t/G/TBTN19/DEU16.DOCX")</f>
      </c>
      <c r="P7" s="6">
        <f>HYPERLINK("https://docs.wto.org/imrd/directdoc.asp?DDFDocuments/u/G/TBTN19/DEU16.DOCX", "https://docs.wto.org/imrd/directdoc.asp?DDFDocuments/u/G/TBTN19/DEU16.DOCX")</f>
      </c>
      <c r="Q7" s="6">
        <f>HYPERLINK("https://docs.wto.org/imrd/directdoc.asp?DDFDocuments/v/G/TBTN19/DEU16.DOCX", "https://docs.wto.org/imrd/directdoc.asp?DDFDocuments/v/G/TBTN19/DEU16.DOCX")</f>
      </c>
      <c r="R7" s="0" t="s">
        <v>39</v>
      </c>
      <c r="S7" s="0" t="s">
        <v>40</v>
      </c>
      <c r="T7" s="0" t="s">
        <v>40</v>
      </c>
      <c r="U7" s="0" t="s">
        <v>40</v>
      </c>
      <c r="V7" s="0" t="s">
        <v>40</v>
      </c>
      <c r="W7" s="0" t="s">
        <v>40</v>
      </c>
      <c r="X7" s="0" t="s">
        <v>40</v>
      </c>
      <c r="Y7" s="2" t="s">
        <v>80</v>
      </c>
      <c r="Z7" s="0" t="s">
        <v>36</v>
      </c>
      <c r="AA7" s="0" t="s">
        <v>36</v>
      </c>
      <c r="AB7" s="0" t="s">
        <v>36</v>
      </c>
      <c r="AC7" s="0" t="s">
        <v>36</v>
      </c>
      <c r="AD7" s="0" t="s">
        <v>36</v>
      </c>
      <c r="AE7" s="2" t="s">
        <v>36</v>
      </c>
    </row>
    <row r="8">
      <c r="A8" s="6" t="s">
        <v>31</v>
      </c>
      <c r="B8" s="7">
        <v>43308</v>
      </c>
      <c r="C8" s="9">
        <f>HYPERLINK("https://www.epingalert.org/en/Search?viewData= G/TBT/CS/N/196"," G/TBT/CS/N/196")</f>
      </c>
      <c r="D8" s="8" t="s">
        <v>36</v>
      </c>
      <c r="E8" s="8" t="s">
        <v>36</v>
      </c>
      <c r="F8" s="8" t="s">
        <v>36</v>
      </c>
      <c r="G8" s="8" t="s">
        <v>36</v>
      </c>
      <c r="H8" s="8" t="s">
        <v>36</v>
      </c>
      <c r="I8" s="8" t="s">
        <v>36</v>
      </c>
      <c r="J8" s="8" t="s">
        <v>36</v>
      </c>
      <c r="K8" s="6"/>
      <c r="L8" s="7" t="s">
        <v>36</v>
      </c>
      <c r="M8" s="6" t="s">
        <v>81</v>
      </c>
      <c r="N8" s="6"/>
      <c r="O8" s="6">
        <f>HYPERLINK("https://docs.wto.org/imrd/directdoc.asp?DDFDocuments/t/G/TBT/CSN196.DOCX", "https://docs.wto.org/imrd/directdoc.asp?DDFDocuments/t/G/TBT/CSN196.DOCX")</f>
      </c>
      <c r="P8" s="6">
        <f>HYPERLINK("https://docs.wto.org/imrd/directdoc.asp?DDFDocuments/u/G/TBT/CSN196.DOCX", "https://docs.wto.org/imrd/directdoc.asp?DDFDocuments/u/G/TBT/CSN196.DOCX")</f>
      </c>
      <c r="Q8" s="6">
        <f>HYPERLINK("https://docs.wto.org/imrd/directdoc.asp?DDFDocuments/v/G/TBT/CSN196.DOCX", "https://docs.wto.org/imrd/directdoc.asp?DDFDocuments/v/G/TBT/CSN196.DOCX")</f>
      </c>
      <c r="R8" s="0" t="s">
        <v>36</v>
      </c>
      <c r="S8" s="0" t="s">
        <v>36</v>
      </c>
      <c r="T8" s="0" t="s">
        <v>36</v>
      </c>
      <c r="U8" s="0" t="s">
        <v>36</v>
      </c>
      <c r="V8" s="0" t="s">
        <v>36</v>
      </c>
      <c r="W8" s="0" t="s">
        <v>36</v>
      </c>
      <c r="X8" s="0" t="s">
        <v>36</v>
      </c>
      <c r="Y8" s="2" t="s">
        <v>36</v>
      </c>
      <c r="Z8" s="0" t="s">
        <v>36</v>
      </c>
      <c r="AA8" s="0" t="s">
        <v>36</v>
      </c>
      <c r="AB8" s="0" t="s">
        <v>36</v>
      </c>
      <c r="AC8" s="0" t="s">
        <v>36</v>
      </c>
      <c r="AD8" s="0" t="s">
        <v>36</v>
      </c>
      <c r="AE8" s="2" t="s">
        <v>36</v>
      </c>
    </row>
    <row r="9">
      <c r="A9" s="6" t="s">
        <v>31</v>
      </c>
      <c r="B9" s="7">
        <v>42583</v>
      </c>
      <c r="C9" s="9">
        <f>HYPERLINK("https://www.epingalert.org/en/Search?viewData= G/SPS/N/DEU/11"," G/SPS/N/DEU/11")</f>
      </c>
      <c r="D9" s="8" t="s">
        <v>82</v>
      </c>
      <c r="E9" s="8" t="s">
        <v>83</v>
      </c>
      <c r="F9" s="8" t="s">
        <v>84</v>
      </c>
      <c r="G9" s="8" t="s">
        <v>85</v>
      </c>
      <c r="H9" s="8" t="s">
        <v>36</v>
      </c>
      <c r="I9" s="8" t="s">
        <v>53</v>
      </c>
      <c r="J9" s="8" t="s">
        <v>86</v>
      </c>
      <c r="K9" s="6"/>
      <c r="L9" s="7">
        <v>42643</v>
      </c>
      <c r="M9" s="6" t="s">
        <v>38</v>
      </c>
      <c r="N9" s="8" t="s">
        <v>87</v>
      </c>
      <c r="O9" s="6">
        <f>HYPERLINK("https://docs.wto.org/imrd/directdoc.asp?DDFDocuments/t/G/SPS/NDEU11.pdf", "https://docs.wto.org/imrd/directdoc.asp?DDFDocuments/t/G/SPS/NDEU11.pdf")</f>
      </c>
      <c r="P9" s="6">
        <f>HYPERLINK("https://docs.wto.org/imrd/directdoc.asp?DDFDocuments/u/G/SPS/NDEU11.pdf", "https://docs.wto.org/imrd/directdoc.asp?DDFDocuments/u/G/SPS/NDEU11.pdf")</f>
      </c>
      <c r="Q9" s="6">
        <f>HYPERLINK("https://docs.wto.org/imrd/directdoc.asp?DDFDocuments/v/G/SPS/NDEU11.pdf", "https://docs.wto.org/imrd/directdoc.asp?DDFDocuments/v/G/SPS/NDEU11.pdf")</f>
      </c>
      <c r="R9" s="0" t="s">
        <v>36</v>
      </c>
      <c r="S9" s="0" t="s">
        <v>36</v>
      </c>
      <c r="T9" s="0" t="s">
        <v>36</v>
      </c>
      <c r="U9" s="0" t="s">
        <v>36</v>
      </c>
      <c r="V9" s="0" t="s">
        <v>36</v>
      </c>
      <c r="W9" s="0" t="s">
        <v>36</v>
      </c>
      <c r="X9" s="0" t="s">
        <v>36</v>
      </c>
      <c r="Y9" s="2" t="s">
        <v>36</v>
      </c>
      <c r="Z9" s="0" t="s">
        <v>40</v>
      </c>
      <c r="AA9" s="0" t="s">
        <v>40</v>
      </c>
      <c r="AB9" s="0" t="s">
        <v>40</v>
      </c>
      <c r="AC9" s="0" t="s">
        <v>39</v>
      </c>
      <c r="AD9" s="0" t="s">
        <v>56</v>
      </c>
      <c r="AE9" s="2"/>
    </row>
    <row r="10">
      <c r="A10" s="6" t="s">
        <v>31</v>
      </c>
      <c r="B10" s="7">
        <v>42538</v>
      </c>
      <c r="C10" s="9">
        <f>HYPERLINK("https://www.epingalert.org/en/Search?viewData= G/TBT/N/DEU/15"," G/TBT/N/DEU/15")</f>
      </c>
      <c r="D10" s="8" t="s">
        <v>88</v>
      </c>
      <c r="E10" s="8" t="s">
        <v>89</v>
      </c>
      <c r="F10" s="8" t="s">
        <v>59</v>
      </c>
      <c r="G10" s="8" t="s">
        <v>36</v>
      </c>
      <c r="H10" s="8" t="s">
        <v>61</v>
      </c>
      <c r="I10" s="8" t="s">
        <v>62</v>
      </c>
      <c r="J10" s="8" t="s">
        <v>90</v>
      </c>
      <c r="K10" s="6"/>
      <c r="L10" s="7">
        <v>42598</v>
      </c>
      <c r="M10" s="6" t="s">
        <v>38</v>
      </c>
      <c r="N10" s="8" t="s">
        <v>91</v>
      </c>
      <c r="O10" s="6">
        <f>HYPERLINK("https://docs.wto.org/imrd/directdoc.asp?DDFDocuments/t/G/TBTN16/DEU15.DOC", "https://docs.wto.org/imrd/directdoc.asp?DDFDocuments/t/G/TBTN16/DEU15.DOC")</f>
      </c>
      <c r="P10" s="6">
        <f>HYPERLINK("https://docs.wto.org/imrd/directdoc.asp?DDFDocuments/u/G/TBTN16/DEU15.DOC", "https://docs.wto.org/imrd/directdoc.asp?DDFDocuments/u/G/TBTN16/DEU15.DOC")</f>
      </c>
      <c r="Q10" s="6">
        <f>HYPERLINK("https://docs.wto.org/imrd/directdoc.asp?DDFDocuments/v/G/TBTN16/DEU15.DOC", "https://docs.wto.org/imrd/directdoc.asp?DDFDocuments/v/G/TBTN16/DEU15.DOC")</f>
      </c>
      <c r="R10" s="0" t="s">
        <v>39</v>
      </c>
      <c r="S10" s="0" t="s">
        <v>40</v>
      </c>
      <c r="T10" s="0" t="s">
        <v>40</v>
      </c>
      <c r="U10" s="0" t="s">
        <v>40</v>
      </c>
      <c r="V10" s="0" t="s">
        <v>40</v>
      </c>
      <c r="W10" s="0" t="s">
        <v>40</v>
      </c>
      <c r="X10" s="0" t="s">
        <v>40</v>
      </c>
      <c r="Y10" s="2" t="s">
        <v>92</v>
      </c>
      <c r="Z10" s="0" t="s">
        <v>36</v>
      </c>
      <c r="AA10" s="0" t="s">
        <v>36</v>
      </c>
      <c r="AB10" s="0" t="s">
        <v>36</v>
      </c>
      <c r="AC10" s="0" t="s">
        <v>36</v>
      </c>
      <c r="AD10" s="0" t="s">
        <v>36</v>
      </c>
      <c r="AE10" s="2" t="s">
        <v>36</v>
      </c>
    </row>
    <row r="11">
      <c r="A11" s="6" t="s">
        <v>31</v>
      </c>
      <c r="B11" s="7">
        <v>42419</v>
      </c>
      <c r="C11" s="9">
        <f>HYPERLINK("https://www.epingalert.org/en/Search?viewData= G/TBT/N/DEU/14"," G/TBT/N/DEU/14")</f>
      </c>
      <c r="D11" s="8" t="s">
        <v>93</v>
      </c>
      <c r="E11" s="8" t="s">
        <v>94</v>
      </c>
      <c r="F11" s="8" t="s">
        <v>59</v>
      </c>
      <c r="G11" s="8" t="s">
        <v>36</v>
      </c>
      <c r="H11" s="8" t="s">
        <v>61</v>
      </c>
      <c r="I11" s="8" t="s">
        <v>62</v>
      </c>
      <c r="J11" s="8" t="s">
        <v>90</v>
      </c>
      <c r="K11" s="6"/>
      <c r="L11" s="7">
        <v>42479</v>
      </c>
      <c r="M11" s="6" t="s">
        <v>38</v>
      </c>
      <c r="N11" s="8" t="s">
        <v>95</v>
      </c>
      <c r="O11" s="6">
        <f>HYPERLINK("https://docs.wto.org/imrd/directdoc.asp?DDFDocuments/t/G/TBTN16/DEU14.DOC", "https://docs.wto.org/imrd/directdoc.asp?DDFDocuments/t/G/TBTN16/DEU14.DOC")</f>
      </c>
      <c r="P11" s="6">
        <f>HYPERLINK("https://docs.wto.org/imrd/directdoc.asp?DDFDocuments/u/G/TBTN16/DEU14.DOC", "https://docs.wto.org/imrd/directdoc.asp?DDFDocuments/u/G/TBTN16/DEU14.DOC")</f>
      </c>
      <c r="Q11" s="6">
        <f>HYPERLINK("https://docs.wto.org/imrd/directdoc.asp?DDFDocuments/v/G/TBTN16/DEU14.DOC", "https://docs.wto.org/imrd/directdoc.asp?DDFDocuments/v/G/TBTN16/DEU14.DOC")</f>
      </c>
      <c r="R11" s="0" t="s">
        <v>39</v>
      </c>
      <c r="S11" s="0" t="s">
        <v>40</v>
      </c>
      <c r="T11" s="0" t="s">
        <v>40</v>
      </c>
      <c r="U11" s="0" t="s">
        <v>40</v>
      </c>
      <c r="V11" s="0" t="s">
        <v>40</v>
      </c>
      <c r="W11" s="0" t="s">
        <v>40</v>
      </c>
      <c r="X11" s="0" t="s">
        <v>40</v>
      </c>
      <c r="Y11" s="2" t="s">
        <v>96</v>
      </c>
      <c r="Z11" s="0" t="s">
        <v>36</v>
      </c>
      <c r="AA11" s="0" t="s">
        <v>36</v>
      </c>
      <c r="AB11" s="0" t="s">
        <v>36</v>
      </c>
      <c r="AC11" s="0" t="s">
        <v>36</v>
      </c>
      <c r="AD11" s="0" t="s">
        <v>36</v>
      </c>
      <c r="AE11" s="2" t="s">
        <v>36</v>
      </c>
    </row>
    <row r="12">
      <c r="A12" s="6" t="s">
        <v>31</v>
      </c>
      <c r="B12" s="7">
        <v>42215</v>
      </c>
      <c r="C12" s="9">
        <f>HYPERLINK("https://www.epingalert.org/en/Search?viewData= G/SPS/N/DEU/10"," G/SPS/N/DEU/10")</f>
      </c>
      <c r="D12" s="8" t="s">
        <v>97</v>
      </c>
      <c r="E12" s="8" t="s">
        <v>98</v>
      </c>
      <c r="F12" s="8" t="s">
        <v>99</v>
      </c>
      <c r="G12" s="8" t="s">
        <v>100</v>
      </c>
      <c r="H12" s="8" t="s">
        <v>36</v>
      </c>
      <c r="I12" s="8" t="s">
        <v>101</v>
      </c>
      <c r="J12" s="8" t="s">
        <v>102</v>
      </c>
      <c r="K12" s="6"/>
      <c r="L12" s="7" t="s">
        <v>36</v>
      </c>
      <c r="M12" s="6" t="s">
        <v>103</v>
      </c>
      <c r="N12" s="8" t="s">
        <v>104</v>
      </c>
      <c r="O12" s="6">
        <f>HYPERLINK("https://docs.wto.org/imrd/directdoc.asp?DDFDocuments/t/G/SPS/NDEU10.pdf", "https://docs.wto.org/imrd/directdoc.asp?DDFDocuments/t/G/SPS/NDEU10.pdf")</f>
      </c>
      <c r="P12" s="6">
        <f>HYPERLINK("https://docs.wto.org/imrd/directdoc.asp?DDFDocuments/u/G/SPS/NDEU10.pdf", "https://docs.wto.org/imrd/directdoc.asp?DDFDocuments/u/G/SPS/NDEU10.pdf")</f>
      </c>
      <c r="Q12" s="6">
        <f>HYPERLINK("https://docs.wto.org/imrd/directdoc.asp?DDFDocuments/v/G/SPS/NDEU10.pdf", "https://docs.wto.org/imrd/directdoc.asp?DDFDocuments/v/G/SPS/NDEU10.pdf")</f>
      </c>
      <c r="R12" s="0" t="s">
        <v>36</v>
      </c>
      <c r="S12" s="0" t="s">
        <v>36</v>
      </c>
      <c r="T12" s="0" t="s">
        <v>36</v>
      </c>
      <c r="U12" s="0" t="s">
        <v>36</v>
      </c>
      <c r="V12" s="0" t="s">
        <v>36</v>
      </c>
      <c r="W12" s="0" t="s">
        <v>36</v>
      </c>
      <c r="X12" s="0" t="s">
        <v>36</v>
      </c>
      <c r="Y12" s="2" t="s">
        <v>36</v>
      </c>
      <c r="Z12" s="0" t="s">
        <v>40</v>
      </c>
      <c r="AA12" s="0" t="s">
        <v>40</v>
      </c>
      <c r="AB12" s="0" t="s">
        <v>40</v>
      </c>
      <c r="AC12" s="0" t="s">
        <v>39</v>
      </c>
      <c r="AD12" s="0" t="s">
        <v>56</v>
      </c>
      <c r="AE12" s="2"/>
    </row>
    <row r="13">
      <c r="A13" s="6" t="s">
        <v>31</v>
      </c>
      <c r="B13" s="7">
        <v>41801</v>
      </c>
      <c r="C13" s="9">
        <f>HYPERLINK("https://www.epingalert.org/en/Search?viewData= G/TBT/N/DEU/12/Rev.1"," G/TBT/N/DEU/12/Rev.1")</f>
      </c>
      <c r="D13" s="8" t="s">
        <v>105</v>
      </c>
      <c r="E13" s="8" t="s">
        <v>106</v>
      </c>
      <c r="F13" s="8" t="s">
        <v>107</v>
      </c>
      <c r="G13" s="8" t="s">
        <v>108</v>
      </c>
      <c r="H13" s="8" t="s">
        <v>70</v>
      </c>
      <c r="I13" s="8" t="s">
        <v>109</v>
      </c>
      <c r="J13" s="8" t="s">
        <v>110</v>
      </c>
      <c r="K13" s="6"/>
      <c r="L13" s="7">
        <v>41861</v>
      </c>
      <c r="M13" s="6" t="s">
        <v>63</v>
      </c>
      <c r="N13" s="8" t="s">
        <v>111</v>
      </c>
      <c r="O13" s="6">
        <f>HYPERLINK("https://docs.wto.org/imrd/directdoc.asp?DDFDocuments/t/G/TBTN10/DEU12R1.DOC", "https://docs.wto.org/imrd/directdoc.asp?DDFDocuments/t/G/TBTN10/DEU12R1.DOC")</f>
      </c>
      <c r="P13" s="6">
        <f>HYPERLINK("https://docs.wto.org/imrd/directdoc.asp?DDFDocuments/u/G/TBTN10/DEU12R1.DOC", "https://docs.wto.org/imrd/directdoc.asp?DDFDocuments/u/G/TBTN10/DEU12R1.DOC")</f>
      </c>
      <c r="Q13" s="6">
        <f>HYPERLINK("https://docs.wto.org/imrd/directdoc.asp?DDFDocuments/v/G/TBTN10/DEU12R1.DOC", "https://docs.wto.org/imrd/directdoc.asp?DDFDocuments/v/G/TBTN10/DEU12R1.DOC")</f>
      </c>
      <c r="R13" s="0" t="s">
        <v>39</v>
      </c>
      <c r="S13" s="0" t="s">
        <v>40</v>
      </c>
      <c r="T13" s="0" t="s">
        <v>40</v>
      </c>
      <c r="U13" s="0" t="s">
        <v>40</v>
      </c>
      <c r="V13" s="0" t="s">
        <v>40</v>
      </c>
      <c r="W13" s="0" t="s">
        <v>40</v>
      </c>
      <c r="X13" s="0" t="s">
        <v>40</v>
      </c>
      <c r="Y13" s="2" t="s">
        <v>112</v>
      </c>
      <c r="Z13" s="0" t="s">
        <v>36</v>
      </c>
      <c r="AA13" s="0" t="s">
        <v>36</v>
      </c>
      <c r="AB13" s="0" t="s">
        <v>36</v>
      </c>
      <c r="AC13" s="0" t="s">
        <v>36</v>
      </c>
      <c r="AD13" s="0" t="s">
        <v>36</v>
      </c>
      <c r="AE13" s="2" t="s">
        <v>36</v>
      </c>
    </row>
    <row r="14">
      <c r="A14" s="6" t="s">
        <v>31</v>
      </c>
      <c r="B14" s="7">
        <v>40564</v>
      </c>
      <c r="C14" s="9">
        <f>HYPERLINK("https://www.epingalert.org/en/Search?viewData= G/TBT/N/DEU/13"," G/TBT/N/DEU/13")</f>
      </c>
      <c r="D14" s="8" t="s">
        <v>113</v>
      </c>
      <c r="E14" s="8" t="s">
        <v>114</v>
      </c>
      <c r="F14" s="8" t="s">
        <v>115</v>
      </c>
      <c r="G14" s="8" t="s">
        <v>36</v>
      </c>
      <c r="H14" s="8" t="s">
        <v>116</v>
      </c>
      <c r="I14" s="8" t="s">
        <v>117</v>
      </c>
      <c r="J14" s="8" t="s">
        <v>90</v>
      </c>
      <c r="K14" s="6"/>
      <c r="L14" s="7">
        <v>40624</v>
      </c>
      <c r="M14" s="6" t="s">
        <v>38</v>
      </c>
      <c r="N14" s="8" t="s">
        <v>118</v>
      </c>
      <c r="O14" s="6">
        <f>HYPERLINK("https://docs.wto.org/imrd/directdoc.asp?DDFDocuments/t/G/TBTN11/DEU13.DOC", "https://docs.wto.org/imrd/directdoc.asp?DDFDocuments/t/G/TBTN11/DEU13.DOC")</f>
      </c>
      <c r="P14" s="6">
        <f>HYPERLINK("https://docs.wto.org/imrd/directdoc.asp?DDFDocuments/u/G/TBTN11/DEU13.DOC", "https://docs.wto.org/imrd/directdoc.asp?DDFDocuments/u/G/TBTN11/DEU13.DOC")</f>
      </c>
      <c r="Q14" s="6">
        <f>HYPERLINK("https://docs.wto.org/imrd/directdoc.asp?DDFDocuments/v/G/TBTN11/DEU13.DOC", "https://docs.wto.org/imrd/directdoc.asp?DDFDocuments/v/G/TBTN11/DEU13.DOC")</f>
      </c>
      <c r="R14" s="0" t="s">
        <v>39</v>
      </c>
      <c r="S14" s="0" t="s">
        <v>40</v>
      </c>
      <c r="T14" s="0" t="s">
        <v>40</v>
      </c>
      <c r="U14" s="0" t="s">
        <v>40</v>
      </c>
      <c r="V14" s="0" t="s">
        <v>40</v>
      </c>
      <c r="W14" s="0" t="s">
        <v>40</v>
      </c>
      <c r="X14" s="0" t="s">
        <v>40</v>
      </c>
      <c r="Y14" s="2" t="s">
        <v>119</v>
      </c>
      <c r="Z14" s="0" t="s">
        <v>36</v>
      </c>
      <c r="AA14" s="0" t="s">
        <v>36</v>
      </c>
      <c r="AB14" s="0" t="s">
        <v>36</v>
      </c>
      <c r="AC14" s="0" t="s">
        <v>36</v>
      </c>
      <c r="AD14" s="0" t="s">
        <v>36</v>
      </c>
      <c r="AE14" s="2" t="s">
        <v>36</v>
      </c>
    </row>
    <row r="15">
      <c r="A15" s="6" t="s">
        <v>31</v>
      </c>
      <c r="B15" s="7">
        <v>40515</v>
      </c>
      <c r="C15" s="9">
        <f>HYPERLINK("https://www.epingalert.org/en/Search?viewData= G/TBT/N/DEU/12"," G/TBT/N/DEU/12")</f>
      </c>
      <c r="D15" s="8" t="s">
        <v>120</v>
      </c>
      <c r="E15" s="8" t="s">
        <v>121</v>
      </c>
      <c r="F15" s="8" t="s">
        <v>122</v>
      </c>
      <c r="G15" s="8" t="s">
        <v>123</v>
      </c>
      <c r="H15" s="8" t="s">
        <v>70</v>
      </c>
      <c r="I15" s="8" t="s">
        <v>124</v>
      </c>
      <c r="J15" s="8" t="s">
        <v>36</v>
      </c>
      <c r="K15" s="6"/>
      <c r="L15" s="7">
        <v>40575</v>
      </c>
      <c r="M15" s="6" t="s">
        <v>38</v>
      </c>
      <c r="N15" s="8" t="s">
        <v>125</v>
      </c>
      <c r="O15" s="6">
        <f>HYPERLINK("https://docs.wto.org/imrd/directdoc.asp?DDFDocuments/t/G/TBTN10/DEU12.DOC", "https://docs.wto.org/imrd/directdoc.asp?DDFDocuments/t/G/TBTN10/DEU12.DOC")</f>
      </c>
      <c r="P15" s="6">
        <f>HYPERLINK("https://docs.wto.org/imrd/directdoc.asp?DDFDocuments/u/G/TBTN10/DEU12.DOC", "https://docs.wto.org/imrd/directdoc.asp?DDFDocuments/u/G/TBTN10/DEU12.DOC")</f>
      </c>
      <c r="Q15" s="6">
        <f>HYPERLINK("https://docs.wto.org/imrd/directdoc.asp?DDFDocuments/v/G/TBTN10/DEU12.DOC", "https://docs.wto.org/imrd/directdoc.asp?DDFDocuments/v/G/TBTN10/DEU12.DOC")</f>
      </c>
      <c r="R15" s="0" t="s">
        <v>39</v>
      </c>
      <c r="S15" s="0" t="s">
        <v>40</v>
      </c>
      <c r="T15" s="0" t="s">
        <v>40</v>
      </c>
      <c r="U15" s="0" t="s">
        <v>40</v>
      </c>
      <c r="V15" s="0" t="s">
        <v>40</v>
      </c>
      <c r="W15" s="0" t="s">
        <v>40</v>
      </c>
      <c r="X15" s="0" t="s">
        <v>40</v>
      </c>
      <c r="Y15" s="2" t="s">
        <v>126</v>
      </c>
      <c r="Z15" s="0" t="s">
        <v>36</v>
      </c>
      <c r="AA15" s="0" t="s">
        <v>36</v>
      </c>
      <c r="AB15" s="0" t="s">
        <v>36</v>
      </c>
      <c r="AC15" s="0" t="s">
        <v>36</v>
      </c>
      <c r="AD15" s="0" t="s">
        <v>36</v>
      </c>
      <c r="AE15" s="2" t="s">
        <v>36</v>
      </c>
    </row>
    <row r="16">
      <c r="A16" s="6" t="s">
        <v>31</v>
      </c>
      <c r="B16" s="7">
        <v>40287</v>
      </c>
      <c r="C16" s="9">
        <f>HYPERLINK("https://www.epingalert.org/en/Search?viewData= G/TBT/N/DEU/11"," G/TBT/N/DEU/11")</f>
      </c>
      <c r="D16" s="8" t="s">
        <v>127</v>
      </c>
      <c r="E16" s="8" t="s">
        <v>128</v>
      </c>
      <c r="F16" s="8" t="s">
        <v>129</v>
      </c>
      <c r="G16" s="8" t="s">
        <v>36</v>
      </c>
      <c r="H16" s="8" t="s">
        <v>130</v>
      </c>
      <c r="I16" s="8" t="s">
        <v>62</v>
      </c>
      <c r="J16" s="8" t="s">
        <v>90</v>
      </c>
      <c r="K16" s="6"/>
      <c r="L16" s="7">
        <v>40347</v>
      </c>
      <c r="M16" s="6" t="s">
        <v>38</v>
      </c>
      <c r="N16" s="8" t="s">
        <v>131</v>
      </c>
      <c r="O16" s="6">
        <f>HYPERLINK("https://docs.wto.org/imrd/directdoc.asp?DDFDocuments/t/G/TBTN10/DEU11.DOC", "https://docs.wto.org/imrd/directdoc.asp?DDFDocuments/t/G/TBTN10/DEU11.DOC")</f>
      </c>
      <c r="P16" s="6">
        <f>HYPERLINK("https://docs.wto.org/imrd/directdoc.asp?DDFDocuments/u/G/TBTN10/DEU11.DOC", "https://docs.wto.org/imrd/directdoc.asp?DDFDocuments/u/G/TBTN10/DEU11.DOC")</f>
      </c>
      <c r="Q16" s="6">
        <f>HYPERLINK("https://docs.wto.org/imrd/directdoc.asp?DDFDocuments/v/G/TBTN10/DEU11.DOC", "https://docs.wto.org/imrd/directdoc.asp?DDFDocuments/v/G/TBTN10/DEU11.DOC")</f>
      </c>
      <c r="R16" s="0" t="s">
        <v>39</v>
      </c>
      <c r="S16" s="0" t="s">
        <v>40</v>
      </c>
      <c r="T16" s="0" t="s">
        <v>40</v>
      </c>
      <c r="U16" s="0" t="s">
        <v>40</v>
      </c>
      <c r="V16" s="0" t="s">
        <v>40</v>
      </c>
      <c r="W16" s="0" t="s">
        <v>40</v>
      </c>
      <c r="X16" s="0" t="s">
        <v>40</v>
      </c>
      <c r="Y16" s="2" t="s">
        <v>132</v>
      </c>
      <c r="Z16" s="0" t="s">
        <v>36</v>
      </c>
      <c r="AA16" s="0" t="s">
        <v>36</v>
      </c>
      <c r="AB16" s="0" t="s">
        <v>36</v>
      </c>
      <c r="AC16" s="0" t="s">
        <v>36</v>
      </c>
      <c r="AD16" s="0" t="s">
        <v>36</v>
      </c>
      <c r="AE16" s="2" t="s">
        <v>36</v>
      </c>
    </row>
    <row r="17">
      <c r="A17" s="6" t="s">
        <v>31</v>
      </c>
      <c r="B17" s="7">
        <v>40116</v>
      </c>
      <c r="C17" s="9">
        <f>HYPERLINK("https://www.epingalert.org/en/Search?viewData= G/TBT/N/DEU/10"," G/TBT/N/DEU/10")</f>
      </c>
      <c r="D17" s="8" t="s">
        <v>133</v>
      </c>
      <c r="E17" s="8" t="s">
        <v>134</v>
      </c>
      <c r="F17" s="8" t="s">
        <v>135</v>
      </c>
      <c r="G17" s="8" t="s">
        <v>36</v>
      </c>
      <c r="H17" s="8" t="s">
        <v>136</v>
      </c>
      <c r="I17" s="8" t="s">
        <v>124</v>
      </c>
      <c r="J17" s="8" t="s">
        <v>36</v>
      </c>
      <c r="K17" s="6"/>
      <c r="L17" s="7">
        <v>40176</v>
      </c>
      <c r="M17" s="6" t="s">
        <v>38</v>
      </c>
      <c r="N17" s="8" t="s">
        <v>137</v>
      </c>
      <c r="O17" s="6">
        <f>HYPERLINK("https://docs.wto.org/imrd/directdoc.asp?DDFDocuments/t/G/Tbtn09/DEU10.pdf", "https://docs.wto.org/imrd/directdoc.asp?DDFDocuments/t/G/Tbtn09/DEU10.pdf")</f>
      </c>
      <c r="P17" s="6">
        <f>HYPERLINK("https://docs.wto.org/imrd/directdoc.asp?DDFDocuments/u/G/Tbtn09/DEU10.pdf", "https://docs.wto.org/imrd/directdoc.asp?DDFDocuments/u/G/Tbtn09/DEU10.pdf")</f>
      </c>
      <c r="Q17" s="6">
        <f>HYPERLINK("https://docs.wto.org/imrd/directdoc.asp?DDFDocuments/v/G/Tbtn09/DEU10.pdf", "https://docs.wto.org/imrd/directdoc.asp?DDFDocuments/v/G/Tbtn09/DEU10.pdf")</f>
      </c>
      <c r="R17" s="0" t="s">
        <v>39</v>
      </c>
      <c r="S17" s="0" t="s">
        <v>40</v>
      </c>
      <c r="T17" s="0" t="s">
        <v>40</v>
      </c>
      <c r="U17" s="0" t="s">
        <v>40</v>
      </c>
      <c r="V17" s="0" t="s">
        <v>40</v>
      </c>
      <c r="W17" s="0" t="s">
        <v>40</v>
      </c>
      <c r="X17" s="0" t="s">
        <v>40</v>
      </c>
      <c r="Y17" s="2" t="s">
        <v>138</v>
      </c>
      <c r="Z17" s="0" t="s">
        <v>36</v>
      </c>
      <c r="AA17" s="0" t="s">
        <v>36</v>
      </c>
      <c r="AB17" s="0" t="s">
        <v>36</v>
      </c>
      <c r="AC17" s="0" t="s">
        <v>36</v>
      </c>
      <c r="AD17" s="0" t="s">
        <v>36</v>
      </c>
      <c r="AE17" s="2" t="s">
        <v>36</v>
      </c>
    </row>
    <row r="18">
      <c r="A18" s="6" t="s">
        <v>31</v>
      </c>
      <c r="B18" s="7">
        <v>40009</v>
      </c>
      <c r="C18" s="9">
        <f>HYPERLINK("https://www.epingalert.org/en/Search?viewData= G/TBT/N/DEU/9"," G/TBT/N/DEU/9")</f>
      </c>
      <c r="D18" s="8" t="s">
        <v>139</v>
      </c>
      <c r="E18" s="8" t="s">
        <v>140</v>
      </c>
      <c r="F18" s="8" t="s">
        <v>141</v>
      </c>
      <c r="G18" s="8" t="s">
        <v>36</v>
      </c>
      <c r="H18" s="8" t="s">
        <v>70</v>
      </c>
      <c r="I18" s="8" t="s">
        <v>124</v>
      </c>
      <c r="J18" s="8" t="s">
        <v>36</v>
      </c>
      <c r="K18" s="6"/>
      <c r="L18" s="7">
        <v>40069</v>
      </c>
      <c r="M18" s="6" t="s">
        <v>38</v>
      </c>
      <c r="N18" s="8" t="s">
        <v>142</v>
      </c>
      <c r="O18" s="6">
        <f>HYPERLINK("https://docs.wto.org/imrd/directdoc.asp?DDFDocuments/t/G/Tbtn09/DEU9.pdf", "https://docs.wto.org/imrd/directdoc.asp?DDFDocuments/t/G/Tbtn09/DEU9.pdf")</f>
      </c>
      <c r="P18" s="6">
        <f>HYPERLINK("https://docs.wto.org/imrd/directdoc.asp?DDFDocuments/u/G/Tbtn09/DEU9.pdf", "https://docs.wto.org/imrd/directdoc.asp?DDFDocuments/u/G/Tbtn09/DEU9.pdf")</f>
      </c>
      <c r="Q18" s="6">
        <f>HYPERLINK("https://docs.wto.org/imrd/directdoc.asp?DDFDocuments/v/G/Tbtn09/DEU9.pdf", "https://docs.wto.org/imrd/directdoc.asp?DDFDocuments/v/G/Tbtn09/DEU9.pdf")</f>
      </c>
      <c r="R18" s="0" t="s">
        <v>39</v>
      </c>
      <c r="S18" s="0" t="s">
        <v>40</v>
      </c>
      <c r="T18" s="0" t="s">
        <v>40</v>
      </c>
      <c r="U18" s="0" t="s">
        <v>40</v>
      </c>
      <c r="V18" s="0" t="s">
        <v>40</v>
      </c>
      <c r="W18" s="0" t="s">
        <v>40</v>
      </c>
      <c r="X18" s="0" t="s">
        <v>40</v>
      </c>
      <c r="Y18" s="2" t="s">
        <v>143</v>
      </c>
      <c r="Z18" s="0" t="s">
        <v>36</v>
      </c>
      <c r="AA18" s="0" t="s">
        <v>36</v>
      </c>
      <c r="AB18" s="0" t="s">
        <v>36</v>
      </c>
      <c r="AC18" s="0" t="s">
        <v>36</v>
      </c>
      <c r="AD18" s="0" t="s">
        <v>36</v>
      </c>
      <c r="AE18" s="2" t="s">
        <v>36</v>
      </c>
    </row>
    <row r="19">
      <c r="A19" s="6" t="s">
        <v>31</v>
      </c>
      <c r="B19" s="7">
        <v>39902</v>
      </c>
      <c r="C19" s="9">
        <f>HYPERLINK("https://www.epingalert.org/en/Search?viewData= G/TBT/N/DEU/8"," G/TBT/N/DEU/8")</f>
      </c>
      <c r="D19" s="8" t="s">
        <v>144</v>
      </c>
      <c r="E19" s="8" t="s">
        <v>145</v>
      </c>
      <c r="F19" s="8" t="s">
        <v>146</v>
      </c>
      <c r="G19" s="8" t="s">
        <v>36</v>
      </c>
      <c r="H19" s="8" t="s">
        <v>147</v>
      </c>
      <c r="I19" s="8" t="s">
        <v>124</v>
      </c>
      <c r="J19" s="8" t="s">
        <v>36</v>
      </c>
      <c r="K19" s="6"/>
      <c r="L19" s="7">
        <v>39962</v>
      </c>
      <c r="M19" s="6" t="s">
        <v>38</v>
      </c>
      <c r="N19" s="8" t="s">
        <v>148</v>
      </c>
      <c r="O19" s="6">
        <f>HYPERLINK("https://docs.wto.org/imrd/directdoc.asp?DDFDocuments/t/G/Tbtn09/DEU8.pdf", "https://docs.wto.org/imrd/directdoc.asp?DDFDocuments/t/G/Tbtn09/DEU8.pdf")</f>
      </c>
      <c r="P19" s="6">
        <f>HYPERLINK("https://docs.wto.org/imrd/directdoc.asp?DDFDocuments/u/G/Tbtn09/DEU8.pdf", "https://docs.wto.org/imrd/directdoc.asp?DDFDocuments/u/G/Tbtn09/DEU8.pdf")</f>
      </c>
      <c r="Q19" s="6">
        <f>HYPERLINK("https://docs.wto.org/imrd/directdoc.asp?DDFDocuments/v/G/Tbtn09/DEU8.pdf", "https://docs.wto.org/imrd/directdoc.asp?DDFDocuments/v/G/Tbtn09/DEU8.pdf")</f>
      </c>
      <c r="R19" s="0" t="s">
        <v>39</v>
      </c>
      <c r="S19" s="0" t="s">
        <v>40</v>
      </c>
      <c r="T19" s="0" t="s">
        <v>40</v>
      </c>
      <c r="U19" s="0" t="s">
        <v>40</v>
      </c>
      <c r="V19" s="0" t="s">
        <v>40</v>
      </c>
      <c r="W19" s="0" t="s">
        <v>40</v>
      </c>
      <c r="X19" s="0" t="s">
        <v>40</v>
      </c>
      <c r="Y19" s="2" t="s">
        <v>149</v>
      </c>
      <c r="Z19" s="0" t="s">
        <v>36</v>
      </c>
      <c r="AA19" s="0" t="s">
        <v>36</v>
      </c>
      <c r="AB19" s="0" t="s">
        <v>36</v>
      </c>
      <c r="AC19" s="0" t="s">
        <v>36</v>
      </c>
      <c r="AD19" s="0" t="s">
        <v>36</v>
      </c>
      <c r="AE19" s="2" t="s">
        <v>36</v>
      </c>
    </row>
    <row r="20">
      <c r="A20" s="6" t="s">
        <v>31</v>
      </c>
      <c r="B20" s="7">
        <v>39709</v>
      </c>
      <c r="C20" s="9">
        <f>HYPERLINK("https://www.epingalert.org/en/Search?viewData= G/TBT/N/DEU/7"," G/TBT/N/DEU/7")</f>
      </c>
      <c r="D20" s="8" t="s">
        <v>150</v>
      </c>
      <c r="E20" s="8"/>
      <c r="F20" s="8" t="s">
        <v>151</v>
      </c>
      <c r="G20" s="8" t="s">
        <v>152</v>
      </c>
      <c r="H20" s="8" t="s">
        <v>153</v>
      </c>
      <c r="I20" s="8" t="s">
        <v>36</v>
      </c>
      <c r="J20" s="8" t="s">
        <v>36</v>
      </c>
      <c r="K20" s="6"/>
      <c r="L20" s="7" t="s">
        <v>36</v>
      </c>
      <c r="M20" s="6" t="s">
        <v>38</v>
      </c>
      <c r="N20" s="8" t="s">
        <v>154</v>
      </c>
      <c r="O20" s="6">
        <f>HYPERLINK("https://docs.wto.org/imrd/directdoc.asp?DDFDocuments/t/G/Tbtn08/DEU7.pdf", "https://docs.wto.org/imrd/directdoc.asp?DDFDocuments/t/G/Tbtn08/DEU7.pdf")</f>
      </c>
      <c r="P20" s="6">
        <f>HYPERLINK("https://docs.wto.org/imrd/directdoc.asp?DDFDocuments/u/G/Tbtn08/DEU7.pdf", "https://docs.wto.org/imrd/directdoc.asp?DDFDocuments/u/G/Tbtn08/DEU7.pdf")</f>
      </c>
      <c r="Q20" s="6">
        <f>HYPERLINK("https://docs.wto.org/imrd/directdoc.asp?DDFDocuments/v/G/Tbtn08/DEU7.pdf", "https://docs.wto.org/imrd/directdoc.asp?DDFDocuments/v/G/Tbtn08/DEU7.pdf")</f>
      </c>
      <c r="R20" s="0" t="s">
        <v>39</v>
      </c>
      <c r="S20" s="0" t="s">
        <v>40</v>
      </c>
      <c r="T20" s="0" t="s">
        <v>40</v>
      </c>
      <c r="U20" s="0" t="s">
        <v>40</v>
      </c>
      <c r="V20" s="0" t="s">
        <v>40</v>
      </c>
      <c r="W20" s="0" t="s">
        <v>40</v>
      </c>
      <c r="X20" s="0" t="s">
        <v>40</v>
      </c>
      <c r="Y20" s="2"/>
      <c r="Z20" s="0" t="s">
        <v>36</v>
      </c>
      <c r="AA20" s="0" t="s">
        <v>36</v>
      </c>
      <c r="AB20" s="0" t="s">
        <v>36</v>
      </c>
      <c r="AC20" s="0" t="s">
        <v>36</v>
      </c>
      <c r="AD20" s="0" t="s">
        <v>36</v>
      </c>
      <c r="AE20" s="2" t="s">
        <v>36</v>
      </c>
    </row>
    <row r="21">
      <c r="A21" s="6" t="s">
        <v>31</v>
      </c>
      <c r="B21" s="7">
        <v>39619</v>
      </c>
      <c r="C21" s="9">
        <f>HYPERLINK("https://www.epingalert.org/en/Search?viewData= G/TBT/N/DEU/5/Add.1"," G/TBT/N/DEU/5/Add.1")</f>
      </c>
      <c r="D21" s="8"/>
      <c r="E21" s="8"/>
      <c r="F21" s="8" t="s">
        <v>155</v>
      </c>
      <c r="G21" s="8" t="s">
        <v>36</v>
      </c>
      <c r="H21" s="8" t="s">
        <v>156</v>
      </c>
      <c r="I21" s="8" t="s">
        <v>36</v>
      </c>
      <c r="J21" s="8" t="s">
        <v>36</v>
      </c>
      <c r="K21" s="6"/>
      <c r="L21" s="7" t="s">
        <v>36</v>
      </c>
      <c r="M21" s="6" t="s">
        <v>157</v>
      </c>
      <c r="N21" s="8" t="s">
        <v>158</v>
      </c>
      <c r="O21" s="6">
        <f>HYPERLINK("https://docs.wto.org/imrd/directdoc.asp?DDFDocuments/t/G/Tbtn08/DEU5A1.pdf", "https://docs.wto.org/imrd/directdoc.asp?DDFDocuments/t/G/Tbtn08/DEU5A1.pdf")</f>
      </c>
      <c r="P21" s="6">
        <f>HYPERLINK("https://docs.wto.org/imrd/directdoc.asp?DDFDocuments/u/G/Tbtn08/DEU5A1.pdf", "https://docs.wto.org/imrd/directdoc.asp?DDFDocuments/u/G/Tbtn08/DEU5A1.pdf")</f>
      </c>
      <c r="Q21" s="6">
        <f>HYPERLINK("https://docs.wto.org/imrd/directdoc.asp?DDFDocuments/v/G/Tbtn08/DEU5A1.pdf", "https://docs.wto.org/imrd/directdoc.asp?DDFDocuments/v/G/Tbtn08/DEU5A1.pdf")</f>
      </c>
      <c r="R21" s="0" t="s">
        <v>39</v>
      </c>
      <c r="S21" s="0" t="s">
        <v>40</v>
      </c>
      <c r="T21" s="0" t="s">
        <v>40</v>
      </c>
      <c r="U21" s="0" t="s">
        <v>40</v>
      </c>
      <c r="V21" s="0" t="s">
        <v>40</v>
      </c>
      <c r="W21" s="0" t="s">
        <v>40</v>
      </c>
      <c r="X21" s="0" t="s">
        <v>40</v>
      </c>
      <c r="Y21" s="2" t="s">
        <v>36</v>
      </c>
      <c r="Z21" s="0" t="s">
        <v>36</v>
      </c>
      <c r="AA21" s="0" t="s">
        <v>36</v>
      </c>
      <c r="AB21" s="0" t="s">
        <v>36</v>
      </c>
      <c r="AC21" s="0" t="s">
        <v>36</v>
      </c>
      <c r="AD21" s="0" t="s">
        <v>36</v>
      </c>
      <c r="AE21" s="2" t="s">
        <v>36</v>
      </c>
    </row>
    <row r="22">
      <c r="A22" s="6" t="s">
        <v>31</v>
      </c>
      <c r="B22" s="7">
        <v>39539</v>
      </c>
      <c r="C22" s="9">
        <f>HYPERLINK("https://www.epingalert.org/en/Search?viewData= G/TBT/N/DEU/6"," G/TBT/N/DEU/6")</f>
      </c>
      <c r="D22" s="8" t="s">
        <v>159</v>
      </c>
      <c r="E22" s="8"/>
      <c r="F22" s="8" t="s">
        <v>160</v>
      </c>
      <c r="G22" s="8" t="s">
        <v>36</v>
      </c>
      <c r="H22" s="8" t="s">
        <v>161</v>
      </c>
      <c r="I22" s="8" t="s">
        <v>36</v>
      </c>
      <c r="J22" s="8" t="s">
        <v>36</v>
      </c>
      <c r="K22" s="6"/>
      <c r="L22" s="7" t="s">
        <v>36</v>
      </c>
      <c r="M22" s="6" t="s">
        <v>38</v>
      </c>
      <c r="N22" s="8" t="s">
        <v>162</v>
      </c>
      <c r="O22" s="6">
        <f>HYPERLINK("https://docs.wto.org/imrd/directdoc.asp?DDFDocuments/t/G/Tbtn08/DEU6.pdf", "https://docs.wto.org/imrd/directdoc.asp?DDFDocuments/t/G/Tbtn08/DEU6.pdf")</f>
      </c>
      <c r="P22" s="6">
        <f>HYPERLINK("https://docs.wto.org/imrd/directdoc.asp?DDFDocuments/u/G/Tbtn08/DEU6.pdf", "https://docs.wto.org/imrd/directdoc.asp?DDFDocuments/u/G/Tbtn08/DEU6.pdf")</f>
      </c>
      <c r="Q22" s="6">
        <f>HYPERLINK("https://docs.wto.org/imrd/directdoc.asp?DDFDocuments/v/G/Tbtn08/DEU6.pdf", "https://docs.wto.org/imrd/directdoc.asp?DDFDocuments/v/G/Tbtn08/DEU6.pdf")</f>
      </c>
      <c r="R22" s="0" t="s">
        <v>39</v>
      </c>
      <c r="S22" s="0" t="s">
        <v>40</v>
      </c>
      <c r="T22" s="0" t="s">
        <v>40</v>
      </c>
      <c r="U22" s="0" t="s">
        <v>40</v>
      </c>
      <c r="V22" s="0" t="s">
        <v>40</v>
      </c>
      <c r="W22" s="0" t="s">
        <v>40</v>
      </c>
      <c r="X22" s="0" t="s">
        <v>40</v>
      </c>
      <c r="Y22" s="2"/>
      <c r="Z22" s="0" t="s">
        <v>36</v>
      </c>
      <c r="AA22" s="0" t="s">
        <v>36</v>
      </c>
      <c r="AB22" s="0" t="s">
        <v>36</v>
      </c>
      <c r="AC22" s="0" t="s">
        <v>36</v>
      </c>
      <c r="AD22" s="0" t="s">
        <v>36</v>
      </c>
      <c r="AE22" s="2" t="s">
        <v>36</v>
      </c>
    </row>
    <row r="23">
      <c r="A23" s="6" t="s">
        <v>31</v>
      </c>
      <c r="B23" s="7">
        <v>39506</v>
      </c>
      <c r="C23" s="9">
        <f>HYPERLINK("https://www.epingalert.org/en/Search?viewData= G/TBT/N/DEU/5"," G/TBT/N/DEU/5")</f>
      </c>
      <c r="D23" s="8" t="s">
        <v>163</v>
      </c>
      <c r="E23" s="8"/>
      <c r="F23" s="8" t="s">
        <v>155</v>
      </c>
      <c r="G23" s="8" t="s">
        <v>36</v>
      </c>
      <c r="H23" s="8" t="s">
        <v>156</v>
      </c>
      <c r="I23" s="8" t="s">
        <v>36</v>
      </c>
      <c r="J23" s="8" t="s">
        <v>164</v>
      </c>
      <c r="K23" s="6"/>
      <c r="L23" s="7" t="s">
        <v>36</v>
      </c>
      <c r="M23" s="6" t="s">
        <v>38</v>
      </c>
      <c r="N23" s="8" t="s">
        <v>165</v>
      </c>
      <c r="O23" s="6">
        <f>HYPERLINK("https://docs.wto.org/imrd/directdoc.asp?DDFDocuments/t/G/Tbtn08/DEU5.pdf", "https://docs.wto.org/imrd/directdoc.asp?DDFDocuments/t/G/Tbtn08/DEU5.pdf")</f>
      </c>
      <c r="P23" s="6">
        <f>HYPERLINK("https://docs.wto.org/imrd/directdoc.asp?DDFDocuments/u/G/Tbtn08/DEU5.pdf", "https://docs.wto.org/imrd/directdoc.asp?DDFDocuments/u/G/Tbtn08/DEU5.pdf")</f>
      </c>
      <c r="Q23" s="6">
        <f>HYPERLINK("https://docs.wto.org/imrd/directdoc.asp?DDFDocuments/v/G/Tbtn08/DEU5.pdf", "https://docs.wto.org/imrd/directdoc.asp?DDFDocuments/v/G/Tbtn08/DEU5.pdf")</f>
      </c>
      <c r="R23" s="0" t="s">
        <v>39</v>
      </c>
      <c r="S23" s="0" t="s">
        <v>40</v>
      </c>
      <c r="T23" s="0" t="s">
        <v>40</v>
      </c>
      <c r="U23" s="0" t="s">
        <v>40</v>
      </c>
      <c r="V23" s="0" t="s">
        <v>40</v>
      </c>
      <c r="W23" s="0" t="s">
        <v>40</v>
      </c>
      <c r="X23" s="0" t="s">
        <v>40</v>
      </c>
      <c r="Y23" s="2"/>
      <c r="Z23" s="0" t="s">
        <v>36</v>
      </c>
      <c r="AA23" s="0" t="s">
        <v>36</v>
      </c>
      <c r="AB23" s="0" t="s">
        <v>36</v>
      </c>
      <c r="AC23" s="0" t="s">
        <v>36</v>
      </c>
      <c r="AD23" s="0" t="s">
        <v>36</v>
      </c>
      <c r="AE23" s="2" t="s">
        <v>36</v>
      </c>
    </row>
    <row r="24">
      <c r="A24" s="6" t="s">
        <v>31</v>
      </c>
      <c r="B24" s="7">
        <v>39465</v>
      </c>
      <c r="C24" s="9">
        <f>HYPERLINK("https://www.epingalert.org/en/Search?viewData= G/TBT/N/DEU/4"," G/TBT/N/DEU/4")</f>
      </c>
      <c r="D24" s="8" t="s">
        <v>166</v>
      </c>
      <c r="E24" s="8"/>
      <c r="F24" s="8" t="s">
        <v>167</v>
      </c>
      <c r="G24" s="8" t="s">
        <v>36</v>
      </c>
      <c r="H24" s="8" t="s">
        <v>168</v>
      </c>
      <c r="I24" s="8" t="s">
        <v>36</v>
      </c>
      <c r="J24" s="8" t="s">
        <v>36</v>
      </c>
      <c r="K24" s="6"/>
      <c r="L24" s="7" t="s">
        <v>36</v>
      </c>
      <c r="M24" s="6" t="s">
        <v>38</v>
      </c>
      <c r="N24" s="8" t="s">
        <v>169</v>
      </c>
      <c r="O24" s="6">
        <f>HYPERLINK("https://docs.wto.org/imrd/directdoc.asp?DDFDocuments/t/G/Tbtn08/DEU4.DOC", "https://docs.wto.org/imrd/directdoc.asp?DDFDocuments/t/G/Tbtn08/DEU4.DOC")</f>
      </c>
      <c r="P24" s="6">
        <f>HYPERLINK("https://docs.wto.org/imrd/directdoc.asp?DDFDocuments/u/G/Tbtn08/DEU4.DOC", "https://docs.wto.org/imrd/directdoc.asp?DDFDocuments/u/G/Tbtn08/DEU4.DOC")</f>
      </c>
      <c r="Q24" s="6">
        <f>HYPERLINK("https://docs.wto.org/imrd/directdoc.asp?DDFDocuments/v/G/Tbtn08/DEU4.DOC", "https://docs.wto.org/imrd/directdoc.asp?DDFDocuments/v/G/Tbtn08/DEU4.DOC")</f>
      </c>
      <c r="R24" s="0" t="s">
        <v>40</v>
      </c>
      <c r="S24" s="0" t="s">
        <v>39</v>
      </c>
      <c r="T24" s="0" t="s">
        <v>40</v>
      </c>
      <c r="U24" s="0" t="s">
        <v>40</v>
      </c>
      <c r="V24" s="0" t="s">
        <v>40</v>
      </c>
      <c r="W24" s="0" t="s">
        <v>40</v>
      </c>
      <c r="X24" s="0" t="s">
        <v>40</v>
      </c>
      <c r="Y24" s="2"/>
      <c r="Z24" s="0" t="s">
        <v>36</v>
      </c>
      <c r="AA24" s="0" t="s">
        <v>36</v>
      </c>
      <c r="AB24" s="0" t="s">
        <v>36</v>
      </c>
      <c r="AC24" s="0" t="s">
        <v>36</v>
      </c>
      <c r="AD24" s="0" t="s">
        <v>36</v>
      </c>
      <c r="AE24" s="2" t="s">
        <v>36</v>
      </c>
    </row>
    <row r="25">
      <c r="A25" s="6" t="s">
        <v>31</v>
      </c>
      <c r="B25" s="7">
        <v>39135</v>
      </c>
      <c r="C25" s="9">
        <f>HYPERLINK("https://www.epingalert.org/en/Search?viewData= G/TBT/N/DEU/3"," G/TBT/N/DEU/3")</f>
      </c>
      <c r="D25" s="8" t="s">
        <v>170</v>
      </c>
      <c r="E25" s="8"/>
      <c r="F25" s="8" t="s">
        <v>171</v>
      </c>
      <c r="G25" s="8" t="s">
        <v>36</v>
      </c>
      <c r="H25" s="8" t="s">
        <v>36</v>
      </c>
      <c r="I25" s="8" t="s">
        <v>36</v>
      </c>
      <c r="J25" s="8" t="s">
        <v>36</v>
      </c>
      <c r="K25" s="6"/>
      <c r="L25" s="7" t="s">
        <v>36</v>
      </c>
      <c r="M25" s="6" t="s">
        <v>38</v>
      </c>
      <c r="N25" s="6"/>
      <c r="O25" s="6">
        <f>HYPERLINK("https://docs.wto.org/imrd/directdoc.asp?DDFDocuments/t/G/Tbtn07/DEU3.pdf", "https://docs.wto.org/imrd/directdoc.asp?DDFDocuments/t/G/Tbtn07/DEU3.pdf")</f>
      </c>
      <c r="P25" s="6">
        <f>HYPERLINK("https://docs.wto.org/imrd/directdoc.asp?DDFDocuments/u/G/Tbtn07/DEU3.pdf", "https://docs.wto.org/imrd/directdoc.asp?DDFDocuments/u/G/Tbtn07/DEU3.pdf")</f>
      </c>
      <c r="Q25" s="6">
        <f>HYPERLINK("https://docs.wto.org/imrd/directdoc.asp?DDFDocuments/v/G/Tbtn07/DEU3.pdf", "https://docs.wto.org/imrd/directdoc.asp?DDFDocuments/v/G/Tbtn07/DEU3.pdf")</f>
      </c>
      <c r="R25" s="0" t="s">
        <v>39</v>
      </c>
      <c r="S25" s="0" t="s">
        <v>40</v>
      </c>
      <c r="T25" s="0" t="s">
        <v>40</v>
      </c>
      <c r="U25" s="0" t="s">
        <v>40</v>
      </c>
      <c r="V25" s="0" t="s">
        <v>40</v>
      </c>
      <c r="W25" s="0" t="s">
        <v>40</v>
      </c>
      <c r="X25" s="0" t="s">
        <v>40</v>
      </c>
      <c r="Y25" s="2"/>
      <c r="Z25" s="0" t="s">
        <v>36</v>
      </c>
      <c r="AA25" s="0" t="s">
        <v>36</v>
      </c>
      <c r="AB25" s="0" t="s">
        <v>36</v>
      </c>
      <c r="AC25" s="0" t="s">
        <v>36</v>
      </c>
      <c r="AD25" s="0" t="s">
        <v>36</v>
      </c>
      <c r="AE25" s="2" t="s">
        <v>36</v>
      </c>
    </row>
    <row r="26">
      <c r="A26" s="6" t="s">
        <v>31</v>
      </c>
      <c r="B26" s="7">
        <v>39091</v>
      </c>
      <c r="C26" s="9">
        <f>HYPERLINK("https://www.epingalert.org/en/Search?viewData= G/SPS/N/DEU/7/Add.1/Corr.1"," G/SPS/N/DEU/7/Add.1/Corr.1")</f>
      </c>
      <c r="D26" s="8"/>
      <c r="E26" s="8"/>
      <c r="F26" s="8"/>
      <c r="G26" s="8" t="s">
        <v>172</v>
      </c>
      <c r="H26" s="8" t="s">
        <v>36</v>
      </c>
      <c r="I26" s="8" t="s">
        <v>36</v>
      </c>
      <c r="J26" s="8" t="s">
        <v>173</v>
      </c>
      <c r="K26" s="6"/>
      <c r="L26" s="7" t="s">
        <v>36</v>
      </c>
      <c r="M26" s="6" t="s">
        <v>174</v>
      </c>
      <c r="N26" s="6"/>
      <c r="O26" s="6">
        <f>HYPERLINK("https://docs.wto.org/imrd/directdoc.asp?DDFDocuments/t/G/SPS/NDEU7A1C1.pdf", "https://docs.wto.org/imrd/directdoc.asp?DDFDocuments/t/G/SPS/NDEU7A1C1.pdf")</f>
      </c>
      <c r="P26" s="6">
        <f>HYPERLINK("https://docs.wto.org/imrd/directdoc.asp?DDFDocuments/u/G/SPS/NDEU7A1C1.pdf", "https://docs.wto.org/imrd/directdoc.asp?DDFDocuments/u/G/SPS/NDEU7A1C1.pdf")</f>
      </c>
      <c r="Q26" s="6">
        <f>HYPERLINK("https://docs.wto.org/imrd/directdoc.asp?DDFDocuments/v/G/SPS/NDEU7A1C1.pdf", "https://docs.wto.org/imrd/directdoc.asp?DDFDocuments/v/G/SPS/NDEU7A1C1.pdf")</f>
      </c>
      <c r="R26" s="0" t="s">
        <v>36</v>
      </c>
      <c r="S26" s="0" t="s">
        <v>36</v>
      </c>
      <c r="T26" s="0" t="s">
        <v>36</v>
      </c>
      <c r="U26" s="0" t="s">
        <v>36</v>
      </c>
      <c r="V26" s="0" t="s">
        <v>36</v>
      </c>
      <c r="W26" s="0" t="s">
        <v>36</v>
      </c>
      <c r="X26" s="0" t="s">
        <v>36</v>
      </c>
      <c r="Y26" s="2" t="s">
        <v>36</v>
      </c>
      <c r="Z26" s="0" t="s">
        <v>36</v>
      </c>
      <c r="AA26" s="0" t="s">
        <v>36</v>
      </c>
      <c r="AB26" s="0" t="s">
        <v>36</v>
      </c>
      <c r="AC26" s="0" t="s">
        <v>36</v>
      </c>
      <c r="AD26" s="0" t="s">
        <v>36</v>
      </c>
      <c r="AE26" s="2" t="s">
        <v>36</v>
      </c>
    </row>
    <row r="27">
      <c r="A27" s="6" t="s">
        <v>31</v>
      </c>
      <c r="B27" s="7">
        <v>39043</v>
      </c>
      <c r="C27" s="9">
        <f>HYPERLINK("https://www.epingalert.org/en/Search?viewData= G/SPS/N/DEU/7/Add.1"," G/SPS/N/DEU/7/Add.1")</f>
      </c>
      <c r="D27" s="8"/>
      <c r="E27" s="8"/>
      <c r="F27" s="8"/>
      <c r="G27" s="8" t="s">
        <v>172</v>
      </c>
      <c r="H27" s="8" t="s">
        <v>36</v>
      </c>
      <c r="I27" s="8" t="s">
        <v>36</v>
      </c>
      <c r="J27" s="8" t="s">
        <v>175</v>
      </c>
      <c r="K27" s="6"/>
      <c r="L27" s="7" t="s">
        <v>36</v>
      </c>
      <c r="M27" s="6" t="s">
        <v>157</v>
      </c>
      <c r="N27" s="6"/>
      <c r="O27" s="6">
        <f>HYPERLINK("https://docs.wto.org/imrd/directdoc.asp?DDFDocuments/t/G/SPS/NDEU7A1.pdf", "https://docs.wto.org/imrd/directdoc.asp?DDFDocuments/t/G/SPS/NDEU7A1.pdf")</f>
      </c>
      <c r="P27" s="6">
        <f>HYPERLINK("https://docs.wto.org/imrd/directdoc.asp?DDFDocuments/u/G/SPS/NDEU7A1.pdf", "https://docs.wto.org/imrd/directdoc.asp?DDFDocuments/u/G/SPS/NDEU7A1.pdf")</f>
      </c>
      <c r="Q27" s="6">
        <f>HYPERLINK("https://docs.wto.org/imrd/directdoc.asp?DDFDocuments/v/G/SPS/NDEU7A1.pdf", "https://docs.wto.org/imrd/directdoc.asp?DDFDocuments/v/G/SPS/NDEU7A1.pdf")</f>
      </c>
      <c r="R27" s="0" t="s">
        <v>36</v>
      </c>
      <c r="S27" s="0" t="s">
        <v>36</v>
      </c>
      <c r="T27" s="0" t="s">
        <v>36</v>
      </c>
      <c r="U27" s="0" t="s">
        <v>36</v>
      </c>
      <c r="V27" s="0" t="s">
        <v>36</v>
      </c>
      <c r="W27" s="0" t="s">
        <v>36</v>
      </c>
      <c r="X27" s="0" t="s">
        <v>36</v>
      </c>
      <c r="Y27" s="2" t="s">
        <v>36</v>
      </c>
      <c r="Z27" s="0" t="s">
        <v>36</v>
      </c>
      <c r="AA27" s="0" t="s">
        <v>36</v>
      </c>
      <c r="AB27" s="0" t="s">
        <v>36</v>
      </c>
      <c r="AC27" s="0" t="s">
        <v>36</v>
      </c>
      <c r="AD27" s="0" t="s">
        <v>36</v>
      </c>
      <c r="AE27" s="2" t="s">
        <v>36</v>
      </c>
    </row>
    <row r="28">
      <c r="A28" s="6" t="s">
        <v>31</v>
      </c>
      <c r="B28" s="7">
        <v>38219</v>
      </c>
      <c r="C28" s="9">
        <f>HYPERLINK("https://www.epingalert.org/en/Search?viewData= G/SPS/N/DEU/8/Add.1"," G/SPS/N/DEU/8/Add.1")</f>
      </c>
      <c r="D28" s="8"/>
      <c r="E28" s="8"/>
      <c r="F28" s="8"/>
      <c r="G28" s="8" t="s">
        <v>36</v>
      </c>
      <c r="H28" s="8" t="s">
        <v>36</v>
      </c>
      <c r="I28" s="8" t="s">
        <v>36</v>
      </c>
      <c r="J28" s="8" t="s">
        <v>176</v>
      </c>
      <c r="K28" s="6"/>
      <c r="L28" s="7" t="s">
        <v>36</v>
      </c>
      <c r="M28" s="6" t="s">
        <v>157</v>
      </c>
      <c r="N28" s="6"/>
      <c r="O28" s="6">
        <f>HYPERLINK("https://docs.wto.org/imrd/directdoc.asp?DDFDocuments/t/G/SPS/NDEU8A1.pdf", "https://docs.wto.org/imrd/directdoc.asp?DDFDocuments/t/G/SPS/NDEU8A1.pdf")</f>
      </c>
      <c r="P28" s="6">
        <f>HYPERLINK("https://docs.wto.org/imrd/directdoc.asp?DDFDocuments/u/G/SPS/NDEU8A1.pdf", "https://docs.wto.org/imrd/directdoc.asp?DDFDocuments/u/G/SPS/NDEU8A1.pdf")</f>
      </c>
      <c r="Q28" s="6">
        <f>HYPERLINK("https://docs.wto.org/imrd/directdoc.asp?DDFDocuments/v/G/SPS/NDEU8A1.pdf", "https://docs.wto.org/imrd/directdoc.asp?DDFDocuments/v/G/SPS/NDEU8A1.pdf")</f>
      </c>
      <c r="R28" s="0" t="s">
        <v>36</v>
      </c>
      <c r="S28" s="0" t="s">
        <v>36</v>
      </c>
      <c r="T28" s="0" t="s">
        <v>36</v>
      </c>
      <c r="U28" s="0" t="s">
        <v>36</v>
      </c>
      <c r="V28" s="0" t="s">
        <v>36</v>
      </c>
      <c r="W28" s="0" t="s">
        <v>36</v>
      </c>
      <c r="X28" s="0" t="s">
        <v>36</v>
      </c>
      <c r="Y28" s="2" t="s">
        <v>36</v>
      </c>
      <c r="Z28" s="0" t="s">
        <v>36</v>
      </c>
      <c r="AA28" s="0" t="s">
        <v>36</v>
      </c>
      <c r="AB28" s="0" t="s">
        <v>36</v>
      </c>
      <c r="AC28" s="0" t="s">
        <v>36</v>
      </c>
      <c r="AD28" s="0" t="s">
        <v>36</v>
      </c>
      <c r="AE28" s="2" t="s">
        <v>36</v>
      </c>
    </row>
    <row r="29">
      <c r="A29" s="6" t="s">
        <v>31</v>
      </c>
      <c r="B29" s="7">
        <v>38197</v>
      </c>
      <c r="C29" s="9">
        <f>HYPERLINK("https://www.epingalert.org/en/Search?viewData= G/TBT/N/DEU/2"," G/TBT/N/DEU/2")</f>
      </c>
      <c r="D29" s="8" t="s">
        <v>177</v>
      </c>
      <c r="E29" s="8"/>
      <c r="F29" s="8" t="s">
        <v>178</v>
      </c>
      <c r="G29" s="8" t="s">
        <v>36</v>
      </c>
      <c r="H29" s="8" t="s">
        <v>36</v>
      </c>
      <c r="I29" s="8" t="s">
        <v>36</v>
      </c>
      <c r="J29" s="8" t="s">
        <v>36</v>
      </c>
      <c r="K29" s="6"/>
      <c r="L29" s="7" t="s">
        <v>36</v>
      </c>
      <c r="M29" s="6" t="s">
        <v>38</v>
      </c>
      <c r="N29" s="6"/>
      <c r="O29" s="6">
        <f>HYPERLINK("https://docs.wto.org/imrd/directdoc.asp?DDFDocuments/t/G/Tbtn04/DEU2.pdf", "https://docs.wto.org/imrd/directdoc.asp?DDFDocuments/t/G/Tbtn04/DEU2.pdf")</f>
      </c>
      <c r="P29" s="6">
        <f>HYPERLINK("https://docs.wto.org/imrd/directdoc.asp?DDFDocuments/u/G/Tbtn04/DEU2.pdf", "https://docs.wto.org/imrd/directdoc.asp?DDFDocuments/u/G/Tbtn04/DEU2.pdf")</f>
      </c>
      <c r="Q29" s="6">
        <f>HYPERLINK("https://docs.wto.org/imrd/directdoc.asp?DDFDocuments/v/G/Tbtn04/DEU2.pdf", "https://docs.wto.org/imrd/directdoc.asp?DDFDocuments/v/G/Tbtn04/DEU2.pdf")</f>
      </c>
      <c r="R29" s="0" t="s">
        <v>39</v>
      </c>
      <c r="S29" s="0" t="s">
        <v>40</v>
      </c>
      <c r="T29" s="0" t="s">
        <v>40</v>
      </c>
      <c r="U29" s="0" t="s">
        <v>40</v>
      </c>
      <c r="V29" s="0" t="s">
        <v>40</v>
      </c>
      <c r="W29" s="0" t="s">
        <v>40</v>
      </c>
      <c r="X29" s="0" t="s">
        <v>40</v>
      </c>
      <c r="Y29" s="2"/>
      <c r="Z29" s="0" t="s">
        <v>36</v>
      </c>
      <c r="AA29" s="0" t="s">
        <v>36</v>
      </c>
      <c r="AB29" s="0" t="s">
        <v>36</v>
      </c>
      <c r="AC29" s="0" t="s">
        <v>36</v>
      </c>
      <c r="AD29" s="0" t="s">
        <v>36</v>
      </c>
      <c r="AE29" s="2" t="s">
        <v>36</v>
      </c>
    </row>
    <row r="30">
      <c r="A30" s="6" t="s">
        <v>31</v>
      </c>
      <c r="B30" s="7">
        <v>37993</v>
      </c>
      <c r="C30" s="9">
        <f>HYPERLINK("https://www.epingalert.org/en/Search?viewData= G/TBT/N/DEU/1"," G/TBT/N/DEU/1")</f>
      </c>
      <c r="D30" s="8" t="s">
        <v>179</v>
      </c>
      <c r="E30" s="8"/>
      <c r="F30" s="8" t="s">
        <v>180</v>
      </c>
      <c r="G30" s="8" t="s">
        <v>36</v>
      </c>
      <c r="H30" s="8" t="s">
        <v>36</v>
      </c>
      <c r="I30" s="8" t="s">
        <v>36</v>
      </c>
      <c r="J30" s="8" t="s">
        <v>36</v>
      </c>
      <c r="K30" s="6"/>
      <c r="L30" s="7" t="s">
        <v>36</v>
      </c>
      <c r="M30" s="6" t="s">
        <v>38</v>
      </c>
      <c r="N30" s="6"/>
      <c r="O30" s="6">
        <f>HYPERLINK("https://docs.wto.org/imrd/directdoc.asp?DDFDocuments/t/G/Tbtn04/DEU1.pdf", "https://docs.wto.org/imrd/directdoc.asp?DDFDocuments/t/G/Tbtn04/DEU1.pdf")</f>
      </c>
      <c r="P30" s="6">
        <f>HYPERLINK("https://docs.wto.org/imrd/directdoc.asp?DDFDocuments/u/G/Tbtn04/DEU1.pdf", "https://docs.wto.org/imrd/directdoc.asp?DDFDocuments/u/G/Tbtn04/DEU1.pdf")</f>
      </c>
      <c r="Q30" s="6">
        <f>HYPERLINK("https://docs.wto.org/imrd/directdoc.asp?DDFDocuments/v/G/Tbtn04/DEU1.pdf", "https://docs.wto.org/imrd/directdoc.asp?DDFDocuments/v/G/Tbtn04/DEU1.pdf")</f>
      </c>
      <c r="R30" s="0" t="s">
        <v>39</v>
      </c>
      <c r="S30" s="0" t="s">
        <v>40</v>
      </c>
      <c r="T30" s="0" t="s">
        <v>40</v>
      </c>
      <c r="U30" s="0" t="s">
        <v>40</v>
      </c>
      <c r="V30" s="0" t="s">
        <v>40</v>
      </c>
      <c r="W30" s="0" t="s">
        <v>40</v>
      </c>
      <c r="X30" s="0" t="s">
        <v>40</v>
      </c>
      <c r="Y30" s="2"/>
      <c r="Z30" s="0" t="s">
        <v>36</v>
      </c>
      <c r="AA30" s="0" t="s">
        <v>36</v>
      </c>
      <c r="AB30" s="0" t="s">
        <v>36</v>
      </c>
      <c r="AC30" s="0" t="s">
        <v>36</v>
      </c>
      <c r="AD30" s="0" t="s">
        <v>36</v>
      </c>
      <c r="AE30" s="2" t="s">
        <v>36</v>
      </c>
    </row>
    <row r="31">
      <c r="A31" s="6" t="s">
        <v>31</v>
      </c>
      <c r="B31" s="7">
        <v>37838</v>
      </c>
      <c r="C31" s="9">
        <f>HYPERLINK("https://www.epingalert.org/en/Search?viewData= G/SPS/N/DEU/9/Add.1"," G/SPS/N/DEU/9/Add.1")</f>
      </c>
      <c r="D31" s="8"/>
      <c r="E31" s="8"/>
      <c r="F31" s="8"/>
      <c r="G31" s="8" t="s">
        <v>181</v>
      </c>
      <c r="H31" s="8" t="s">
        <v>36</v>
      </c>
      <c r="I31" s="8" t="s">
        <v>36</v>
      </c>
      <c r="J31" s="8" t="s">
        <v>182</v>
      </c>
      <c r="K31" s="6"/>
      <c r="L31" s="7" t="s">
        <v>36</v>
      </c>
      <c r="M31" s="6" t="s">
        <v>157</v>
      </c>
      <c r="N31" s="6"/>
      <c r="O31" s="6">
        <f>HYPERLINK("https://docs.wto.org/imrd/directdoc.asp?DDFDocuments/t/G/SPS/NDEU9A1.pdf", "https://docs.wto.org/imrd/directdoc.asp?DDFDocuments/t/G/SPS/NDEU9A1.pdf")</f>
      </c>
      <c r="P31" s="6">
        <f>HYPERLINK("https://docs.wto.org/imrd/directdoc.asp?DDFDocuments/u/G/SPS/NDEU9A1.pdf", "https://docs.wto.org/imrd/directdoc.asp?DDFDocuments/u/G/SPS/NDEU9A1.pdf")</f>
      </c>
      <c r="Q31" s="6">
        <f>HYPERLINK("https://docs.wto.org/imrd/directdoc.asp?DDFDocuments/v/G/SPS/NDEU9A1.pdf", "https://docs.wto.org/imrd/directdoc.asp?DDFDocuments/v/G/SPS/NDEU9A1.pdf")</f>
      </c>
      <c r="R31" s="0" t="s">
        <v>36</v>
      </c>
      <c r="S31" s="0" t="s">
        <v>36</v>
      </c>
      <c r="T31" s="0" t="s">
        <v>36</v>
      </c>
      <c r="U31" s="0" t="s">
        <v>36</v>
      </c>
      <c r="V31" s="0" t="s">
        <v>36</v>
      </c>
      <c r="W31" s="0" t="s">
        <v>36</v>
      </c>
      <c r="X31" s="0" t="s">
        <v>36</v>
      </c>
      <c r="Y31" s="2" t="s">
        <v>36</v>
      </c>
      <c r="Z31" s="0" t="s">
        <v>36</v>
      </c>
      <c r="AA31" s="0" t="s">
        <v>36</v>
      </c>
      <c r="AB31" s="0" t="s">
        <v>36</v>
      </c>
      <c r="AC31" s="0" t="s">
        <v>36</v>
      </c>
      <c r="AD31" s="0" t="s">
        <v>36</v>
      </c>
      <c r="AE31" s="2" t="s">
        <v>36</v>
      </c>
    </row>
    <row r="32">
      <c r="A32" s="6" t="s">
        <v>31</v>
      </c>
      <c r="B32" s="7">
        <v>37789</v>
      </c>
      <c r="C32" s="9">
        <f>HYPERLINK("https://www.epingalert.org/en/Search?viewData= G/SPS/N/DEU/9"," G/SPS/N/DEU/9")</f>
      </c>
      <c r="D32" s="8" t="s">
        <v>183</v>
      </c>
      <c r="E32" s="8" t="s">
        <v>184</v>
      </c>
      <c r="F32" s="8" t="s">
        <v>185</v>
      </c>
      <c r="G32" s="8" t="s">
        <v>181</v>
      </c>
      <c r="H32" s="8" t="s">
        <v>36</v>
      </c>
      <c r="I32" s="8" t="s">
        <v>36</v>
      </c>
      <c r="J32" s="8" t="s">
        <v>186</v>
      </c>
      <c r="K32" s="6"/>
      <c r="L32" s="7" t="s">
        <v>36</v>
      </c>
      <c r="M32" s="6" t="s">
        <v>38</v>
      </c>
      <c r="N32" s="6"/>
      <c r="O32" s="6">
        <f>HYPERLINK("https://docs.wto.org/imrd/directdoc.asp?DDFDocuments/t/G/SPS/NDEU9.pdf", "https://docs.wto.org/imrd/directdoc.asp?DDFDocuments/t/G/SPS/NDEU9.pdf")</f>
      </c>
      <c r="P32" s="6">
        <f>HYPERLINK("https://docs.wto.org/imrd/directdoc.asp?DDFDocuments/u/G/SPS/NDEU9.pdf", "https://docs.wto.org/imrd/directdoc.asp?DDFDocuments/u/G/SPS/NDEU9.pdf")</f>
      </c>
      <c r="Q32" s="6">
        <f>HYPERLINK("https://docs.wto.org/imrd/directdoc.asp?DDFDocuments/v/G/SPS/NDEU9.pdf", "https://docs.wto.org/imrd/directdoc.asp?DDFDocuments/v/G/SPS/NDEU9.pdf")</f>
      </c>
      <c r="R32" s="0" t="s">
        <v>36</v>
      </c>
      <c r="S32" s="0" t="s">
        <v>36</v>
      </c>
      <c r="T32" s="0" t="s">
        <v>36</v>
      </c>
      <c r="U32" s="0" t="s">
        <v>36</v>
      </c>
      <c r="V32" s="0" t="s">
        <v>36</v>
      </c>
      <c r="W32" s="0" t="s">
        <v>36</v>
      </c>
      <c r="X32" s="0" t="s">
        <v>36</v>
      </c>
      <c r="Y32" s="2" t="s">
        <v>36</v>
      </c>
      <c r="Z32" s="0" t="s">
        <v>40</v>
      </c>
      <c r="AA32" s="0" t="s">
        <v>40</v>
      </c>
      <c r="AB32" s="0" t="s">
        <v>40</v>
      </c>
      <c r="AC32" s="0" t="s">
        <v>40</v>
      </c>
      <c r="AD32" s="0" t="s">
        <v>56</v>
      </c>
      <c r="AE32" s="2"/>
    </row>
    <row r="33">
      <c r="A33" s="6" t="s">
        <v>31</v>
      </c>
      <c r="B33" s="7">
        <v>37637</v>
      </c>
      <c r="C33" s="9">
        <f>HYPERLINK("https://www.epingalert.org/en/Search?viewData= G/SPS/N/DEU/8"," G/SPS/N/DEU/8")</f>
      </c>
      <c r="D33" s="8" t="s">
        <v>187</v>
      </c>
      <c r="E33" s="8" t="s">
        <v>188</v>
      </c>
      <c r="F33" s="8" t="s">
        <v>189</v>
      </c>
      <c r="G33" s="8" t="s">
        <v>36</v>
      </c>
      <c r="H33" s="8" t="s">
        <v>36</v>
      </c>
      <c r="I33" s="8" t="s">
        <v>36</v>
      </c>
      <c r="J33" s="8" t="s">
        <v>190</v>
      </c>
      <c r="K33" s="6"/>
      <c r="L33" s="7" t="s">
        <v>36</v>
      </c>
      <c r="M33" s="6" t="s">
        <v>38</v>
      </c>
      <c r="N33" s="6"/>
      <c r="O33" s="6">
        <f>HYPERLINK("https://docs.wto.org/imrd/directdoc.asp?DDFDocuments/t/G/SPS/NDEU8.pdf", "https://docs.wto.org/imrd/directdoc.asp?DDFDocuments/t/G/SPS/NDEU8.pdf")</f>
      </c>
      <c r="P33" s="6">
        <f>HYPERLINK("https://docs.wto.org/imrd/directdoc.asp?DDFDocuments/u/G/SPS/NDEU8.pdf", "https://docs.wto.org/imrd/directdoc.asp?DDFDocuments/u/G/SPS/NDEU8.pdf")</f>
      </c>
      <c r="Q33" s="6">
        <f>HYPERLINK("https://docs.wto.org/imrd/directdoc.asp?DDFDocuments/v/G/SPS/NDEU8.pdf", "https://docs.wto.org/imrd/directdoc.asp?DDFDocuments/v/G/SPS/NDEU8.pdf")</f>
      </c>
      <c r="R33" s="0" t="s">
        <v>36</v>
      </c>
      <c r="S33" s="0" t="s">
        <v>36</v>
      </c>
      <c r="T33" s="0" t="s">
        <v>36</v>
      </c>
      <c r="U33" s="0" t="s">
        <v>36</v>
      </c>
      <c r="V33" s="0" t="s">
        <v>36</v>
      </c>
      <c r="W33" s="0" t="s">
        <v>36</v>
      </c>
      <c r="X33" s="0" t="s">
        <v>36</v>
      </c>
      <c r="Y33" s="2" t="s">
        <v>36</v>
      </c>
      <c r="Z33" s="0" t="s">
        <v>40</v>
      </c>
      <c r="AA33" s="0" t="s">
        <v>40</v>
      </c>
      <c r="AB33" s="0" t="s">
        <v>40</v>
      </c>
      <c r="AC33" s="0" t="s">
        <v>40</v>
      </c>
      <c r="AD33" s="0" t="s">
        <v>56</v>
      </c>
      <c r="AE33" s="2"/>
    </row>
    <row r="34">
      <c r="A34" s="6" t="s">
        <v>31</v>
      </c>
      <c r="B34" s="7">
        <v>37634</v>
      </c>
      <c r="C34" s="9">
        <f>HYPERLINK("https://www.epingalert.org/en/Search?viewData= G/SPS/N/DEU/7"," G/SPS/N/DEU/7")</f>
      </c>
      <c r="D34" s="8" t="s">
        <v>191</v>
      </c>
      <c r="E34" s="8" t="s">
        <v>192</v>
      </c>
      <c r="F34" s="8" t="s">
        <v>193</v>
      </c>
      <c r="G34" s="8" t="s">
        <v>172</v>
      </c>
      <c r="H34" s="8" t="s">
        <v>36</v>
      </c>
      <c r="I34" s="8" t="s">
        <v>36</v>
      </c>
      <c r="J34" s="8" t="s">
        <v>194</v>
      </c>
      <c r="K34" s="6"/>
      <c r="L34" s="7" t="s">
        <v>36</v>
      </c>
      <c r="M34" s="6" t="s">
        <v>38</v>
      </c>
      <c r="N34" s="6"/>
      <c r="O34" s="6">
        <f>HYPERLINK("https://docs.wto.org/imrd/directdoc.asp?DDFDocuments/t/G/SPS/NDEU7.pdf", "https://docs.wto.org/imrd/directdoc.asp?DDFDocuments/t/G/SPS/NDEU7.pdf")</f>
      </c>
      <c r="P34" s="6">
        <f>HYPERLINK("https://docs.wto.org/imrd/directdoc.asp?DDFDocuments/u/G/SPS/NDEU7.pdf", "https://docs.wto.org/imrd/directdoc.asp?DDFDocuments/u/G/SPS/NDEU7.pdf")</f>
      </c>
      <c r="Q34" s="6">
        <f>HYPERLINK("https://docs.wto.org/imrd/directdoc.asp?DDFDocuments/v/G/SPS/NDEU7.pdf", "https://docs.wto.org/imrd/directdoc.asp?DDFDocuments/v/G/SPS/NDEU7.pdf")</f>
      </c>
      <c r="R34" s="0" t="s">
        <v>36</v>
      </c>
      <c r="S34" s="0" t="s">
        <v>36</v>
      </c>
      <c r="T34" s="0" t="s">
        <v>36</v>
      </c>
      <c r="U34" s="0" t="s">
        <v>36</v>
      </c>
      <c r="V34" s="0" t="s">
        <v>36</v>
      </c>
      <c r="W34" s="0" t="s">
        <v>36</v>
      </c>
      <c r="X34" s="0" t="s">
        <v>36</v>
      </c>
      <c r="Y34" s="2" t="s">
        <v>36</v>
      </c>
      <c r="Z34" s="0" t="s">
        <v>40</v>
      </c>
      <c r="AA34" s="0" t="s">
        <v>40</v>
      </c>
      <c r="AB34" s="0" t="s">
        <v>40</v>
      </c>
      <c r="AC34" s="0" t="s">
        <v>40</v>
      </c>
      <c r="AD34" s="0" t="s">
        <v>56</v>
      </c>
      <c r="AE34" s="2"/>
    </row>
    <row r="35">
      <c r="A35" s="6" t="s">
        <v>31</v>
      </c>
      <c r="B35" s="7">
        <v>37573</v>
      </c>
      <c r="C35" s="9">
        <f>HYPERLINK("https://www.epingalert.org/en/Search?viewData= G/SPS/N/DEU/6/Rev.1"," G/SPS/N/DEU/6/Rev.1")</f>
      </c>
      <c r="D35" s="8" t="s">
        <v>195</v>
      </c>
      <c r="E35" s="8" t="s">
        <v>196</v>
      </c>
      <c r="F35" s="8"/>
      <c r="G35" s="8" t="s">
        <v>36</v>
      </c>
      <c r="H35" s="8" t="s">
        <v>36</v>
      </c>
      <c r="I35" s="8" t="s">
        <v>36</v>
      </c>
      <c r="J35" s="8" t="s">
        <v>190</v>
      </c>
      <c r="K35" s="6"/>
      <c r="L35" s="7" t="s">
        <v>36</v>
      </c>
      <c r="M35" s="6" t="s">
        <v>63</v>
      </c>
      <c r="N35" s="6"/>
      <c r="O35" s="6">
        <f>HYPERLINK("https://docs.wto.org/imrd/directdoc.asp?DDFDocuments/t/G/SPS/NDEU6R1.pdf", "https://docs.wto.org/imrd/directdoc.asp?DDFDocuments/t/G/SPS/NDEU6R1.pdf")</f>
      </c>
      <c r="P35" s="6">
        <f>HYPERLINK("https://docs.wto.org/imrd/directdoc.asp?DDFDocuments/u/G/SPS/NDEU6R1.pdf", "https://docs.wto.org/imrd/directdoc.asp?DDFDocuments/u/G/SPS/NDEU6R1.pdf")</f>
      </c>
      <c r="Q35" s="6">
        <f>HYPERLINK("https://docs.wto.org/imrd/directdoc.asp?DDFDocuments/v/G/SPS/NDEU6R1.pdf", "https://docs.wto.org/imrd/directdoc.asp?DDFDocuments/v/G/SPS/NDEU6R1.pdf")</f>
      </c>
      <c r="R35" s="0" t="s">
        <v>36</v>
      </c>
      <c r="S35" s="0" t="s">
        <v>36</v>
      </c>
      <c r="T35" s="0" t="s">
        <v>36</v>
      </c>
      <c r="U35" s="0" t="s">
        <v>36</v>
      </c>
      <c r="V35" s="0" t="s">
        <v>36</v>
      </c>
      <c r="W35" s="0" t="s">
        <v>36</v>
      </c>
      <c r="X35" s="0" t="s">
        <v>36</v>
      </c>
      <c r="Y35" s="2" t="s">
        <v>36</v>
      </c>
      <c r="Z35" s="0" t="s">
        <v>40</v>
      </c>
      <c r="AA35" s="0" t="s">
        <v>40</v>
      </c>
      <c r="AB35" s="0" t="s">
        <v>40</v>
      </c>
      <c r="AC35" s="0" t="s">
        <v>40</v>
      </c>
      <c r="AD35" s="0" t="s">
        <v>56</v>
      </c>
      <c r="AE35" s="2"/>
    </row>
    <row r="36">
      <c r="A36" s="6" t="s">
        <v>31</v>
      </c>
      <c r="B36" s="7">
        <v>36790</v>
      </c>
      <c r="C36" s="9">
        <f>HYPERLINK("https://www.epingalert.org/en/Search?viewData= G/SPS/N/DEU/6"," G/SPS/N/DEU/6")</f>
      </c>
      <c r="D36" s="8"/>
      <c r="E36" s="8" t="s">
        <v>197</v>
      </c>
      <c r="F36" s="8" t="s">
        <v>197</v>
      </c>
      <c r="G36" s="8" t="s">
        <v>36</v>
      </c>
      <c r="H36" s="8" t="s">
        <v>36</v>
      </c>
      <c r="I36" s="8" t="s">
        <v>36</v>
      </c>
      <c r="J36" s="8" t="s">
        <v>198</v>
      </c>
      <c r="K36" s="6"/>
      <c r="L36" s="7" t="s">
        <v>36</v>
      </c>
      <c r="M36" s="6" t="s">
        <v>38</v>
      </c>
      <c r="N36" s="6"/>
      <c r="O36" s="6">
        <f>HYPERLINK("https://docs.wto.org/imrd/directdoc.asp?DDFDocuments/t/G/SPS/NDEU6.pdf", "https://docs.wto.org/imrd/directdoc.asp?DDFDocuments/t/G/SPS/NDEU6.pdf")</f>
      </c>
      <c r="P36" s="6">
        <f>HYPERLINK("https://docs.wto.org/imrd/directdoc.asp?DDFDocuments/u/G/SPS/NDEU6.pdf", "https://docs.wto.org/imrd/directdoc.asp?DDFDocuments/u/G/SPS/NDEU6.pdf")</f>
      </c>
      <c r="Q36" s="6">
        <f>HYPERLINK("https://docs.wto.org/imrd/directdoc.asp?DDFDocuments/v/G/SPS/NDEU6.pdf", "https://docs.wto.org/imrd/directdoc.asp?DDFDocuments/v/G/SPS/NDEU6.pdf")</f>
      </c>
      <c r="R36" s="0" t="s">
        <v>36</v>
      </c>
      <c r="S36" s="0" t="s">
        <v>36</v>
      </c>
      <c r="T36" s="0" t="s">
        <v>36</v>
      </c>
      <c r="U36" s="0" t="s">
        <v>36</v>
      </c>
      <c r="V36" s="0" t="s">
        <v>36</v>
      </c>
      <c r="W36" s="0" t="s">
        <v>36</v>
      </c>
      <c r="X36" s="0" t="s">
        <v>36</v>
      </c>
      <c r="Y36" s="2" t="s">
        <v>36</v>
      </c>
      <c r="Z36" s="0" t="s">
        <v>40</v>
      </c>
      <c r="AA36" s="0" t="s">
        <v>40</v>
      </c>
      <c r="AB36" s="0" t="s">
        <v>40</v>
      </c>
      <c r="AC36" s="0" t="s">
        <v>40</v>
      </c>
      <c r="AD36" s="0" t="s">
        <v>56</v>
      </c>
      <c r="AE36" s="2"/>
    </row>
    <row r="37">
      <c r="A37" s="6" t="s">
        <v>31</v>
      </c>
      <c r="B37" s="7">
        <v>36775</v>
      </c>
      <c r="C37" s="9">
        <f>HYPERLINK("https://www.epingalert.org/en/Search?viewData= G/SPS/N/DEU/5"," G/SPS/N/DEU/5")</f>
      </c>
      <c r="D37" s="8"/>
      <c r="E37" s="8" t="s">
        <v>199</v>
      </c>
      <c r="F37" s="8" t="s">
        <v>199</v>
      </c>
      <c r="G37" s="8" t="s">
        <v>200</v>
      </c>
      <c r="H37" s="8" t="s">
        <v>36</v>
      </c>
      <c r="I37" s="8" t="s">
        <v>36</v>
      </c>
      <c r="J37" s="8" t="s">
        <v>201</v>
      </c>
      <c r="K37" s="6"/>
      <c r="L37" s="7" t="s">
        <v>36</v>
      </c>
      <c r="M37" s="6" t="s">
        <v>38</v>
      </c>
      <c r="N37" s="6"/>
      <c r="O37" s="6">
        <f>HYPERLINK("https://docs.wto.org/imrd/directdoc.asp?DDFDocuments/t/G/SPS/NDEU5.pdf", "https://docs.wto.org/imrd/directdoc.asp?DDFDocuments/t/G/SPS/NDEU5.pdf")</f>
      </c>
      <c r="P37" s="6">
        <f>HYPERLINK("https://docs.wto.org/imrd/directdoc.asp?DDFDocuments/u/G/SPS/NDEU5.pdf", "https://docs.wto.org/imrd/directdoc.asp?DDFDocuments/u/G/SPS/NDEU5.pdf")</f>
      </c>
      <c r="Q37" s="6">
        <f>HYPERLINK("https://docs.wto.org/imrd/directdoc.asp?DDFDocuments/v/G/SPS/NDEU5.pdf", "https://docs.wto.org/imrd/directdoc.asp?DDFDocuments/v/G/SPS/NDEU5.pdf")</f>
      </c>
      <c r="R37" s="0" t="s">
        <v>36</v>
      </c>
      <c r="S37" s="0" t="s">
        <v>36</v>
      </c>
      <c r="T37" s="0" t="s">
        <v>36</v>
      </c>
      <c r="U37" s="0" t="s">
        <v>36</v>
      </c>
      <c r="V37" s="0" t="s">
        <v>36</v>
      </c>
      <c r="W37" s="0" t="s">
        <v>36</v>
      </c>
      <c r="X37" s="0" t="s">
        <v>36</v>
      </c>
      <c r="Y37" s="2" t="s">
        <v>36</v>
      </c>
      <c r="Z37" s="0" t="s">
        <v>40</v>
      </c>
      <c r="AA37" s="0" t="s">
        <v>40</v>
      </c>
      <c r="AB37" s="0" t="s">
        <v>40</v>
      </c>
      <c r="AC37" s="0" t="s">
        <v>40</v>
      </c>
      <c r="AD37" s="0" t="s">
        <v>56</v>
      </c>
      <c r="AE37" s="2"/>
    </row>
    <row r="38">
      <c r="A38" s="6" t="s">
        <v>31</v>
      </c>
      <c r="B38" s="7">
        <v>36410</v>
      </c>
      <c r="C38" s="9">
        <f>HYPERLINK("https://www.epingalert.org/en/Search?viewData= G/TBT/Notif.99/452"," G/TBT/Notif.99/452")</f>
      </c>
      <c r="D38" s="8"/>
      <c r="E38" s="8"/>
      <c r="F38" s="8" t="s">
        <v>202</v>
      </c>
      <c r="G38" s="8" t="s">
        <v>36</v>
      </c>
      <c r="H38" s="8" t="s">
        <v>36</v>
      </c>
      <c r="I38" s="8" t="s">
        <v>36</v>
      </c>
      <c r="J38" s="8" t="s">
        <v>36</v>
      </c>
      <c r="K38" s="6"/>
      <c r="L38" s="7" t="s">
        <v>36</v>
      </c>
      <c r="M38" s="6" t="s">
        <v>38</v>
      </c>
      <c r="N38" s="6"/>
      <c r="O38" s="6">
        <f>HYPERLINK("https://docs.wto.org/imrd/directdoc.asp?DDFDocuments/t/G/Tbtnot99/99-452.pdf", "https://docs.wto.org/imrd/directdoc.asp?DDFDocuments/t/G/Tbtnot99/99-452.pdf")</f>
      </c>
      <c r="P38" s="6">
        <f>HYPERLINK("https://docs.wto.org/imrd/directdoc.asp?DDFDocuments/u/G/Tbtnot99/99-452.pdf", "https://docs.wto.org/imrd/directdoc.asp?DDFDocuments/u/G/Tbtnot99/99-452.pdf")</f>
      </c>
      <c r="Q38" s="6">
        <f>HYPERLINK("https://docs.wto.org/imrd/directdoc.asp?DDFDocuments/v/G/Tbtnot99/99-452.pdf", "https://docs.wto.org/imrd/directdoc.asp?DDFDocuments/v/G/Tbtnot99/99-452.pdf")</f>
      </c>
      <c r="R38" s="0" t="s">
        <v>39</v>
      </c>
      <c r="S38" s="0" t="s">
        <v>40</v>
      </c>
      <c r="T38" s="0" t="s">
        <v>40</v>
      </c>
      <c r="U38" s="0" t="s">
        <v>40</v>
      </c>
      <c r="V38" s="0" t="s">
        <v>40</v>
      </c>
      <c r="W38" s="0" t="s">
        <v>40</v>
      </c>
      <c r="X38" s="0" t="s">
        <v>40</v>
      </c>
      <c r="Y38" s="2"/>
      <c r="Z38" s="0" t="s">
        <v>36</v>
      </c>
      <c r="AA38" s="0" t="s">
        <v>36</v>
      </c>
      <c r="AB38" s="0" t="s">
        <v>36</v>
      </c>
      <c r="AC38" s="0" t="s">
        <v>36</v>
      </c>
      <c r="AD38" s="0" t="s">
        <v>36</v>
      </c>
      <c r="AE38" s="2" t="s">
        <v>36</v>
      </c>
    </row>
    <row r="39">
      <c r="A39" s="6" t="s">
        <v>31</v>
      </c>
      <c r="B39" s="7">
        <v>36138</v>
      </c>
      <c r="C39" s="9">
        <f>HYPERLINK("https://www.epingalert.org/en/Search?viewData= G/SPS/N/DEU/4"," G/SPS/N/DEU/4")</f>
      </c>
      <c r="D39" s="8"/>
      <c r="E39" s="8" t="s">
        <v>197</v>
      </c>
      <c r="F39" s="8" t="s">
        <v>197</v>
      </c>
      <c r="G39" s="8" t="s">
        <v>36</v>
      </c>
      <c r="H39" s="8" t="s">
        <v>36</v>
      </c>
      <c r="I39" s="8" t="s">
        <v>36</v>
      </c>
      <c r="J39" s="8" t="s">
        <v>203</v>
      </c>
      <c r="K39" s="6"/>
      <c r="L39" s="7" t="s">
        <v>36</v>
      </c>
      <c r="M39" s="6" t="s">
        <v>38</v>
      </c>
      <c r="N39" s="6"/>
      <c r="O39" s="6">
        <f>HYPERLINK("https://docs.wto.org/imrd/directdoc.asp?DDFDocuments/t/G/SPS/ndeu4.pdf", "https://docs.wto.org/imrd/directdoc.asp?DDFDocuments/t/G/SPS/ndeu4.pdf")</f>
      </c>
      <c r="P39" s="6">
        <f>HYPERLINK("https://docs.wto.org/imrd/directdoc.asp?DDFDocuments/u/G/SPS/ndeu4.pdf", "https://docs.wto.org/imrd/directdoc.asp?DDFDocuments/u/G/SPS/ndeu4.pdf")</f>
      </c>
      <c r="Q39" s="6">
        <f>HYPERLINK("https://docs.wto.org/imrd/directdoc.asp?DDFDocuments/v/G/SPS/ndeu4.pdf", "https://docs.wto.org/imrd/directdoc.asp?DDFDocuments/v/G/SPS/ndeu4.pdf")</f>
      </c>
      <c r="R39" s="0" t="s">
        <v>36</v>
      </c>
      <c r="S39" s="0" t="s">
        <v>36</v>
      </c>
      <c r="T39" s="0" t="s">
        <v>36</v>
      </c>
      <c r="U39" s="0" t="s">
        <v>36</v>
      </c>
      <c r="V39" s="0" t="s">
        <v>36</v>
      </c>
      <c r="W39" s="0" t="s">
        <v>36</v>
      </c>
      <c r="X39" s="0" t="s">
        <v>36</v>
      </c>
      <c r="Y39" s="2" t="s">
        <v>36</v>
      </c>
      <c r="Z39" s="0" t="s">
        <v>40</v>
      </c>
      <c r="AA39" s="0" t="s">
        <v>40</v>
      </c>
      <c r="AB39" s="0" t="s">
        <v>40</v>
      </c>
      <c r="AC39" s="0" t="s">
        <v>40</v>
      </c>
      <c r="AD39" s="0" t="s">
        <v>56</v>
      </c>
      <c r="AE39" s="2"/>
    </row>
    <row r="40">
      <c r="A40" s="6" t="s">
        <v>31</v>
      </c>
      <c r="B40" s="7">
        <v>36035</v>
      </c>
      <c r="C40" s="9">
        <f>HYPERLINK("https://www.epingalert.org/en/Search?viewData= G/TBT/Notif.98/442"," G/TBT/Notif.98/442")</f>
      </c>
      <c r="D40" s="8"/>
      <c r="E40" s="8"/>
      <c r="F40" s="8" t="s">
        <v>197</v>
      </c>
      <c r="G40" s="8" t="s">
        <v>36</v>
      </c>
      <c r="H40" s="8" t="s">
        <v>36</v>
      </c>
      <c r="I40" s="8" t="s">
        <v>36</v>
      </c>
      <c r="J40" s="8" t="s">
        <v>204</v>
      </c>
      <c r="K40" s="6"/>
      <c r="L40" s="7" t="s">
        <v>36</v>
      </c>
      <c r="M40" s="6" t="s">
        <v>38</v>
      </c>
      <c r="N40" s="6"/>
      <c r="O40" s="6">
        <f>HYPERLINK("https://docs.wto.org/imrd/directdoc.asp?DDFDocuments/t/G/TBTNOT98/98-442.DOC", "https://docs.wto.org/imrd/directdoc.asp?DDFDocuments/t/G/TBTNOT98/98-442.DOC")</f>
      </c>
      <c r="P40" s="6">
        <f>HYPERLINK("https://docs.wto.org/imrd/directdoc.asp?DDFDocuments/u/G/TBTNOT98/98-442.DOC", "https://docs.wto.org/imrd/directdoc.asp?DDFDocuments/u/G/TBTNOT98/98-442.DOC")</f>
      </c>
      <c r="Q40" s="6">
        <f>HYPERLINK("https://docs.wto.org/imrd/directdoc.asp?DDFDocuments/v/G/TBTNOT98/98-442.DOC", "https://docs.wto.org/imrd/directdoc.asp?DDFDocuments/v/G/TBTNOT98/98-442.DOC")</f>
      </c>
      <c r="R40" s="0" t="s">
        <v>39</v>
      </c>
      <c r="S40" s="0" t="s">
        <v>40</v>
      </c>
      <c r="T40" s="0" t="s">
        <v>40</v>
      </c>
      <c r="U40" s="0" t="s">
        <v>40</v>
      </c>
      <c r="V40" s="0" t="s">
        <v>40</v>
      </c>
      <c r="W40" s="0" t="s">
        <v>40</v>
      </c>
      <c r="X40" s="0" t="s">
        <v>40</v>
      </c>
      <c r="Y40" s="2"/>
      <c r="Z40" s="0" t="s">
        <v>36</v>
      </c>
      <c r="AA40" s="0" t="s">
        <v>36</v>
      </c>
      <c r="AB40" s="0" t="s">
        <v>36</v>
      </c>
      <c r="AC40" s="0" t="s">
        <v>36</v>
      </c>
      <c r="AD40" s="0" t="s">
        <v>36</v>
      </c>
      <c r="AE40" s="2" t="s">
        <v>36</v>
      </c>
    </row>
    <row r="41">
      <c r="A41" s="6" t="s">
        <v>31</v>
      </c>
      <c r="B41" s="7">
        <v>35928</v>
      </c>
      <c r="C41" s="9">
        <f>HYPERLINK("https://www.epingalert.org/en/Search?viewData= G/TBT/Notif.98/240"," G/TBT/Notif.98/240")</f>
      </c>
      <c r="D41" s="8"/>
      <c r="E41" s="8"/>
      <c r="F41" s="8" t="s">
        <v>205</v>
      </c>
      <c r="G41" s="8" t="s">
        <v>36</v>
      </c>
      <c r="H41" s="8" t="s">
        <v>36</v>
      </c>
      <c r="I41" s="8" t="s">
        <v>36</v>
      </c>
      <c r="J41" s="8" t="s">
        <v>36</v>
      </c>
      <c r="K41" s="6"/>
      <c r="L41" s="7" t="s">
        <v>36</v>
      </c>
      <c r="M41" s="6" t="s">
        <v>38</v>
      </c>
      <c r="N41" s="6"/>
      <c r="O41" s="6">
        <f>HYPERLINK("https://docs.wto.org/imrd/directdoc.asp?DDFDocuments/t/G/TBTNOT98/98-240.PDF", "https://docs.wto.org/imrd/directdoc.asp?DDFDocuments/t/G/TBTNOT98/98-240.PDF")</f>
      </c>
      <c r="P41" s="6">
        <f>HYPERLINK("https://docs.wto.org/imrd/directdoc.asp?DDFDocuments/u/G/TBTNOT98/98-240.PDF", "https://docs.wto.org/imrd/directdoc.asp?DDFDocuments/u/G/TBTNOT98/98-240.PDF")</f>
      </c>
      <c r="Q41" s="6">
        <f>HYPERLINK("https://docs.wto.org/imrd/directdoc.asp?DDFDocuments/v/G/TBTNOT98/98-240.PDF", "https://docs.wto.org/imrd/directdoc.asp?DDFDocuments/v/G/TBTNOT98/98-240.PDF")</f>
      </c>
      <c r="R41" s="0" t="s">
        <v>39</v>
      </c>
      <c r="S41" s="0" t="s">
        <v>40</v>
      </c>
      <c r="T41" s="0" t="s">
        <v>40</v>
      </c>
      <c r="U41" s="0" t="s">
        <v>40</v>
      </c>
      <c r="V41" s="0" t="s">
        <v>40</v>
      </c>
      <c r="W41" s="0" t="s">
        <v>40</v>
      </c>
      <c r="X41" s="0" t="s">
        <v>40</v>
      </c>
      <c r="Y41" s="2"/>
      <c r="Z41" s="0" t="s">
        <v>36</v>
      </c>
      <c r="AA41" s="0" t="s">
        <v>36</v>
      </c>
      <c r="AB41" s="0" t="s">
        <v>36</v>
      </c>
      <c r="AC41" s="0" t="s">
        <v>36</v>
      </c>
      <c r="AD41" s="0" t="s">
        <v>36</v>
      </c>
      <c r="AE41" s="2" t="s">
        <v>36</v>
      </c>
    </row>
    <row r="42">
      <c r="A42" s="6" t="s">
        <v>31</v>
      </c>
      <c r="B42" s="7">
        <v>35629</v>
      </c>
      <c r="C42" s="9">
        <f>HYPERLINK("https://www.epingalert.org/en/Search?viewData= G/SPS/N/DEU/3"," G/SPS/N/DEU/3")</f>
      </c>
      <c r="D42" s="8" t="s">
        <v>206</v>
      </c>
      <c r="E42" s="8" t="s">
        <v>207</v>
      </c>
      <c r="F42" s="8" t="s">
        <v>197</v>
      </c>
      <c r="G42" s="8" t="s">
        <v>36</v>
      </c>
      <c r="H42" s="8" t="s">
        <v>36</v>
      </c>
      <c r="I42" s="8" t="s">
        <v>36</v>
      </c>
      <c r="J42" s="8" t="s">
        <v>208</v>
      </c>
      <c r="K42" s="6"/>
      <c r="L42" s="7" t="s">
        <v>36</v>
      </c>
      <c r="M42" s="6" t="s">
        <v>38</v>
      </c>
      <c r="N42" s="6"/>
      <c r="O42" s="6">
        <f>HYPERLINK("https://docs.wto.org/imrd/directdoc.asp?DDFDocuments/t/G/SPS/NDEU3.pdf", "https://docs.wto.org/imrd/directdoc.asp?DDFDocuments/t/G/SPS/NDEU3.pdf")</f>
      </c>
      <c r="P42" s="6">
        <f>HYPERLINK("https://docs.wto.org/imrd/directdoc.asp?DDFDocuments/u/G/SPS/NDEU3.pdf", "https://docs.wto.org/imrd/directdoc.asp?DDFDocuments/u/G/SPS/NDEU3.pdf")</f>
      </c>
      <c r="Q42" s="6">
        <f>HYPERLINK("https://docs.wto.org/imrd/directdoc.asp?DDFDocuments/v/G/SPS/NDEU3.pdf", "https://docs.wto.org/imrd/directdoc.asp?DDFDocuments/v/G/SPS/NDEU3.pdf")</f>
      </c>
      <c r="R42" s="0" t="s">
        <v>36</v>
      </c>
      <c r="S42" s="0" t="s">
        <v>36</v>
      </c>
      <c r="T42" s="0" t="s">
        <v>36</v>
      </c>
      <c r="U42" s="0" t="s">
        <v>36</v>
      </c>
      <c r="V42" s="0" t="s">
        <v>36</v>
      </c>
      <c r="W42" s="0" t="s">
        <v>36</v>
      </c>
      <c r="X42" s="0" t="s">
        <v>36</v>
      </c>
      <c r="Y42" s="2" t="s">
        <v>36</v>
      </c>
      <c r="Z42" s="0" t="s">
        <v>40</v>
      </c>
      <c r="AA42" s="0" t="s">
        <v>40</v>
      </c>
      <c r="AB42" s="0" t="s">
        <v>40</v>
      </c>
      <c r="AC42" s="0" t="s">
        <v>40</v>
      </c>
      <c r="AD42" s="0" t="s">
        <v>56</v>
      </c>
      <c r="AE42" s="2" t="s">
        <v>209</v>
      </c>
    </row>
    <row r="43">
      <c r="A43" s="6" t="s">
        <v>31</v>
      </c>
      <c r="B43" s="7">
        <v>35444</v>
      </c>
      <c r="C43" s="9">
        <f>HYPERLINK("https://www.epingalert.org/en/Search?viewData= G/TBT/Notif.97/10"," G/TBT/Notif.97/10")</f>
      </c>
      <c r="D43" s="8"/>
      <c r="E43" s="8"/>
      <c r="F43" s="8" t="s">
        <v>210</v>
      </c>
      <c r="G43" s="8" t="s">
        <v>36</v>
      </c>
      <c r="H43" s="8" t="s">
        <v>36</v>
      </c>
      <c r="I43" s="8" t="s">
        <v>36</v>
      </c>
      <c r="J43" s="8" t="s">
        <v>36</v>
      </c>
      <c r="K43" s="6"/>
      <c r="L43" s="7" t="s">
        <v>36</v>
      </c>
      <c r="M43" s="6" t="s">
        <v>38</v>
      </c>
      <c r="N43" s="6"/>
      <c r="O43" s="6">
        <f>HYPERLINK("https://docs.wto.org/imrd/directdoc.asp?DDFDocuments/t/G/TBTNOT97/97-10.pdf", "https://docs.wto.org/imrd/directdoc.asp?DDFDocuments/t/G/TBTNOT97/97-10.pdf")</f>
      </c>
      <c r="P43" s="6">
        <f>HYPERLINK("https://docs.wto.org/imrd/directdoc.asp?DDFDocuments/u/G/TBTNOT97/97-10.pdf", "https://docs.wto.org/imrd/directdoc.asp?DDFDocuments/u/G/TBTNOT97/97-10.pdf")</f>
      </c>
      <c r="Q43" s="6">
        <f>HYPERLINK("https://docs.wto.org/imrd/directdoc.asp?DDFDocuments/v/G/TBTNOT97/97-10.pdf", "https://docs.wto.org/imrd/directdoc.asp?DDFDocuments/v/G/TBTNOT97/97-10.pdf")</f>
      </c>
      <c r="R43" s="0" t="s">
        <v>39</v>
      </c>
      <c r="S43" s="0" t="s">
        <v>40</v>
      </c>
      <c r="T43" s="0" t="s">
        <v>40</v>
      </c>
      <c r="U43" s="0" t="s">
        <v>40</v>
      </c>
      <c r="V43" s="0" t="s">
        <v>40</v>
      </c>
      <c r="W43" s="0" t="s">
        <v>40</v>
      </c>
      <c r="X43" s="0" t="s">
        <v>40</v>
      </c>
      <c r="Y43" s="2"/>
      <c r="Z43" s="0" t="s">
        <v>36</v>
      </c>
      <c r="AA43" s="0" t="s">
        <v>36</v>
      </c>
      <c r="AB43" s="0" t="s">
        <v>36</v>
      </c>
      <c r="AC43" s="0" t="s">
        <v>36</v>
      </c>
      <c r="AD43" s="0" t="s">
        <v>36</v>
      </c>
      <c r="AE43" s="2" t="s">
        <v>36</v>
      </c>
    </row>
    <row r="44">
      <c r="A44" s="6" t="s">
        <v>31</v>
      </c>
      <c r="B44" s="7">
        <v>35422</v>
      </c>
      <c r="C44" s="9">
        <f>HYPERLINK("https://www.epingalert.org/en/Search?viewData= G/TBT/Notif.96/453"," G/TBT/Notif.96/453")</f>
      </c>
      <c r="D44" s="8"/>
      <c r="E44" s="8"/>
      <c r="F44" s="8" t="s">
        <v>205</v>
      </c>
      <c r="G44" s="8" t="s">
        <v>36</v>
      </c>
      <c r="H44" s="8" t="s">
        <v>36</v>
      </c>
      <c r="I44" s="8" t="s">
        <v>36</v>
      </c>
      <c r="J44" s="8" t="s">
        <v>36</v>
      </c>
      <c r="K44" s="6"/>
      <c r="L44" s="7" t="s">
        <v>36</v>
      </c>
      <c r="M44" s="6" t="s">
        <v>38</v>
      </c>
      <c r="N44" s="6"/>
      <c r="O44" s="6">
        <f>HYPERLINK("https://docs.wto.org/imrd/directdoc.asp?DDFDocuments/t/G/TBTNOT96/96-453.PDF", "https://docs.wto.org/imrd/directdoc.asp?DDFDocuments/t/G/TBTNOT96/96-453.PDF")</f>
      </c>
      <c r="P44" s="6">
        <f>HYPERLINK("https://docs.wto.org/imrd/directdoc.asp?DDFDocuments/u/G/TBTNOT96/96-453.PDF", "https://docs.wto.org/imrd/directdoc.asp?DDFDocuments/u/G/TBTNOT96/96-453.PDF")</f>
      </c>
      <c r="Q44" s="6">
        <f>HYPERLINK("https://docs.wto.org/imrd/directdoc.asp?DDFDocuments/v/G/TBTNOT96/96-453.PDF", "https://docs.wto.org/imrd/directdoc.asp?DDFDocuments/v/G/TBTNOT96/96-453.PDF")</f>
      </c>
      <c r="R44" s="0" t="s">
        <v>39</v>
      </c>
      <c r="S44" s="0" t="s">
        <v>40</v>
      </c>
      <c r="T44" s="0" t="s">
        <v>40</v>
      </c>
      <c r="U44" s="0" t="s">
        <v>40</v>
      </c>
      <c r="V44" s="0" t="s">
        <v>40</v>
      </c>
      <c r="W44" s="0" t="s">
        <v>40</v>
      </c>
      <c r="X44" s="0" t="s">
        <v>40</v>
      </c>
      <c r="Y44" s="2"/>
      <c r="Z44" s="0" t="s">
        <v>36</v>
      </c>
      <c r="AA44" s="0" t="s">
        <v>36</v>
      </c>
      <c r="AB44" s="0" t="s">
        <v>36</v>
      </c>
      <c r="AC44" s="0" t="s">
        <v>36</v>
      </c>
      <c r="AD44" s="0" t="s">
        <v>36</v>
      </c>
      <c r="AE44" s="2" t="s">
        <v>36</v>
      </c>
    </row>
    <row r="45">
      <c r="A45" s="6" t="s">
        <v>31</v>
      </c>
      <c r="B45" s="7">
        <v>35391</v>
      </c>
      <c r="C45" s="9">
        <f>HYPERLINK("https://www.epingalert.org/en/Search?viewData= G/SPS/N/DEU/2"," G/SPS/N/DEU/2")</f>
      </c>
      <c r="D45" s="8" t="s">
        <v>211</v>
      </c>
      <c r="E45" s="8" t="s">
        <v>212</v>
      </c>
      <c r="F45" s="8" t="s">
        <v>213</v>
      </c>
      <c r="G45" s="8" t="s">
        <v>214</v>
      </c>
      <c r="H45" s="8" t="s">
        <v>36</v>
      </c>
      <c r="I45" s="8" t="s">
        <v>36</v>
      </c>
      <c r="J45" s="8" t="s">
        <v>215</v>
      </c>
      <c r="K45" s="6"/>
      <c r="L45" s="7" t="s">
        <v>36</v>
      </c>
      <c r="M45" s="6" t="s">
        <v>38</v>
      </c>
      <c r="N45" s="6"/>
      <c r="O45" s="6">
        <f>HYPERLINK("https://docs.wto.org/imrd/directdoc.asp?DDFDocuments/t/G/SPS/NDEU2.pdf", "https://docs.wto.org/imrd/directdoc.asp?DDFDocuments/t/G/SPS/NDEU2.pdf")</f>
      </c>
      <c r="P45" s="6">
        <f>HYPERLINK("https://docs.wto.org/imrd/directdoc.asp?DDFDocuments/u/G/SPS/NDEU2.pdf", "https://docs.wto.org/imrd/directdoc.asp?DDFDocuments/u/G/SPS/NDEU2.pdf")</f>
      </c>
      <c r="Q45" s="6">
        <f>HYPERLINK("https://docs.wto.org/imrd/directdoc.asp?DDFDocuments/v/G/SPS/NDEU2.pdf", "https://docs.wto.org/imrd/directdoc.asp?DDFDocuments/v/G/SPS/NDEU2.pdf")</f>
      </c>
      <c r="R45" s="0" t="s">
        <v>36</v>
      </c>
      <c r="S45" s="0" t="s">
        <v>36</v>
      </c>
      <c r="T45" s="0" t="s">
        <v>36</v>
      </c>
      <c r="U45" s="0" t="s">
        <v>36</v>
      </c>
      <c r="V45" s="0" t="s">
        <v>36</v>
      </c>
      <c r="W45" s="0" t="s">
        <v>36</v>
      </c>
      <c r="X45" s="0" t="s">
        <v>36</v>
      </c>
      <c r="Y45" s="2" t="s">
        <v>36</v>
      </c>
      <c r="Z45" s="0" t="s">
        <v>40</v>
      </c>
      <c r="AA45" s="0" t="s">
        <v>40</v>
      </c>
      <c r="AB45" s="0" t="s">
        <v>40</v>
      </c>
      <c r="AC45" s="0" t="s">
        <v>40</v>
      </c>
      <c r="AD45" s="0" t="s">
        <v>56</v>
      </c>
      <c r="AE45" s="2" t="s">
        <v>216</v>
      </c>
    </row>
    <row r="46">
      <c r="A46" s="6" t="s">
        <v>31</v>
      </c>
      <c r="B46" s="7">
        <v>35143</v>
      </c>
      <c r="C46" s="9">
        <f>HYPERLINK("https://www.epingalert.org/en/Search?viewData= G/TBT/Notif.96/59"," G/TBT/Notif.96/59")</f>
      </c>
      <c r="D46" s="8"/>
      <c r="E46" s="8"/>
      <c r="F46" s="8" t="s">
        <v>205</v>
      </c>
      <c r="G46" s="8" t="s">
        <v>36</v>
      </c>
      <c r="H46" s="8" t="s">
        <v>36</v>
      </c>
      <c r="I46" s="8" t="s">
        <v>36</v>
      </c>
      <c r="J46" s="8" t="s">
        <v>36</v>
      </c>
      <c r="K46" s="6"/>
      <c r="L46" s="7" t="s">
        <v>36</v>
      </c>
      <c r="M46" s="6" t="s">
        <v>38</v>
      </c>
      <c r="N46" s="6"/>
      <c r="O46" s="6">
        <f>HYPERLINK("https://docs.wto.org/imrd/directdoc.asp?DDFDocuments/t/G/TBTNOT96/96-59.PDF", "https://docs.wto.org/imrd/directdoc.asp?DDFDocuments/t/G/TBTNOT96/96-59.PDF")</f>
      </c>
      <c r="P46" s="6">
        <f>HYPERLINK("https://docs.wto.org/imrd/directdoc.asp?DDFDocuments/u/G/TBTNOT96/96-59.PDF", "https://docs.wto.org/imrd/directdoc.asp?DDFDocuments/u/G/TBTNOT96/96-59.PDF")</f>
      </c>
      <c r="Q46" s="6">
        <f>HYPERLINK("https://docs.wto.org/imrd/directdoc.asp?DDFDocuments/v/G/TBTNOT96/96-59.PDF", "https://docs.wto.org/imrd/directdoc.asp?DDFDocuments/v/G/TBTNOT96/96-59.PDF")</f>
      </c>
      <c r="R46" s="0" t="s">
        <v>40</v>
      </c>
      <c r="S46" s="0" t="s">
        <v>40</v>
      </c>
      <c r="T46" s="0" t="s">
        <v>40</v>
      </c>
      <c r="U46" s="0" t="s">
        <v>40</v>
      </c>
      <c r="V46" s="0" t="s">
        <v>40</v>
      </c>
      <c r="W46" s="0" t="s">
        <v>40</v>
      </c>
      <c r="X46" s="0" t="s">
        <v>40</v>
      </c>
      <c r="Y46" s="2"/>
      <c r="Z46" s="0" t="s">
        <v>36</v>
      </c>
      <c r="AA46" s="0" t="s">
        <v>36</v>
      </c>
      <c r="AB46" s="0" t="s">
        <v>36</v>
      </c>
      <c r="AC46" s="0" t="s">
        <v>36</v>
      </c>
      <c r="AD46" s="0" t="s">
        <v>36</v>
      </c>
      <c r="AE46" s="2" t="s">
        <v>36</v>
      </c>
    </row>
    <row r="47">
      <c r="A47" s="6" t="s">
        <v>31</v>
      </c>
      <c r="B47" s="7">
        <v>35107</v>
      </c>
      <c r="C47" s="9">
        <f>HYPERLINK("https://www.epingalert.org/en/Search?viewData= G/SPS/N/DFA/1/Add.1"," G/SPS/N/DFA/1/Add.1")</f>
      </c>
      <c r="D47" s="8"/>
      <c r="E47" s="8"/>
      <c r="F47" s="8"/>
      <c r="G47" s="8" t="s">
        <v>36</v>
      </c>
      <c r="H47" s="8" t="s">
        <v>36</v>
      </c>
      <c r="I47" s="8" t="s">
        <v>36</v>
      </c>
      <c r="J47" s="8" t="s">
        <v>182</v>
      </c>
      <c r="K47" s="6"/>
      <c r="L47" s="7" t="s">
        <v>36</v>
      </c>
      <c r="M47" s="6" t="s">
        <v>157</v>
      </c>
      <c r="N47" s="6"/>
      <c r="O47" s="6">
        <f>HYPERLINK("https://docs.wto.org/imrd/directdoc.asp?DDFDocuments/t/G/SPS/NDFA1A1.pdf", "https://docs.wto.org/imrd/directdoc.asp?DDFDocuments/t/G/SPS/NDFA1A1.pdf")</f>
      </c>
      <c r="P47" s="6">
        <f>HYPERLINK("https://docs.wto.org/imrd/directdoc.asp?DDFDocuments/u/G/SPS/NDFA1A1.pdf", "https://docs.wto.org/imrd/directdoc.asp?DDFDocuments/u/G/SPS/NDFA1A1.pdf")</f>
      </c>
      <c r="Q47" s="6">
        <f>HYPERLINK("https://docs.wto.org/imrd/directdoc.asp?DDFDocuments/v/G/SPS/NDFA1A1.pdf", "https://docs.wto.org/imrd/directdoc.asp?DDFDocuments/v/G/SPS/NDFA1A1.pdf")</f>
      </c>
      <c r="R47" s="0" t="s">
        <v>36</v>
      </c>
      <c r="S47" s="0" t="s">
        <v>36</v>
      </c>
      <c r="T47" s="0" t="s">
        <v>36</v>
      </c>
      <c r="U47" s="0" t="s">
        <v>36</v>
      </c>
      <c r="V47" s="0" t="s">
        <v>36</v>
      </c>
      <c r="W47" s="0" t="s">
        <v>36</v>
      </c>
      <c r="X47" s="0" t="s">
        <v>36</v>
      </c>
      <c r="Y47" s="2" t="s">
        <v>36</v>
      </c>
      <c r="Z47" s="0" t="s">
        <v>36</v>
      </c>
      <c r="AA47" s="0" t="s">
        <v>36</v>
      </c>
      <c r="AB47" s="0" t="s">
        <v>36</v>
      </c>
      <c r="AC47" s="0" t="s">
        <v>36</v>
      </c>
      <c r="AD47" s="0" t="s">
        <v>36</v>
      </c>
      <c r="AE47" s="2" t="s">
        <v>36</v>
      </c>
    </row>
    <row r="48">
      <c r="A48" s="6" t="s">
        <v>31</v>
      </c>
      <c r="B48" s="7">
        <v>35051</v>
      </c>
      <c r="C48" s="9">
        <f>HYPERLINK("https://www.epingalert.org/en/Search?viewData= G/SPS/N/DFA/1"," G/SPS/N/DFA/1")</f>
      </c>
      <c r="D48" s="8" t="s">
        <v>217</v>
      </c>
      <c r="E48" s="8" t="s">
        <v>218</v>
      </c>
      <c r="F48" s="8" t="s">
        <v>197</v>
      </c>
      <c r="G48" s="8" t="s">
        <v>36</v>
      </c>
      <c r="H48" s="8" t="s">
        <v>36</v>
      </c>
      <c r="I48" s="8" t="s">
        <v>36</v>
      </c>
      <c r="J48" s="8" t="s">
        <v>203</v>
      </c>
      <c r="K48" s="6"/>
      <c r="L48" s="7" t="s">
        <v>36</v>
      </c>
      <c r="M48" s="6" t="s">
        <v>38</v>
      </c>
      <c r="N48" s="6"/>
      <c r="O48" s="6">
        <f>HYPERLINK("https://docs.wto.org/imrd/directdoc.asp?DDFDocuments/t/G/SPS/NDFA1.pdf", "https://docs.wto.org/imrd/directdoc.asp?DDFDocuments/t/G/SPS/NDFA1.pdf")</f>
      </c>
      <c r="P48" s="6">
        <f>HYPERLINK("https://docs.wto.org/imrd/directdoc.asp?DDFDocuments/u/G/SPS/NDFA1.pdf", "https://docs.wto.org/imrd/directdoc.asp?DDFDocuments/u/G/SPS/NDFA1.pdf")</f>
      </c>
      <c r="Q48" s="6">
        <f>HYPERLINK("https://docs.wto.org/imrd/directdoc.asp?DDFDocuments/v/G/SPS/NDFA1.pdf", "https://docs.wto.org/imrd/directdoc.asp?DDFDocuments/v/G/SPS/NDFA1.pdf")</f>
      </c>
      <c r="R48" s="0" t="s">
        <v>36</v>
      </c>
      <c r="S48" s="0" t="s">
        <v>36</v>
      </c>
      <c r="T48" s="0" t="s">
        <v>36</v>
      </c>
      <c r="U48" s="0" t="s">
        <v>36</v>
      </c>
      <c r="V48" s="0" t="s">
        <v>36</v>
      </c>
      <c r="W48" s="0" t="s">
        <v>36</v>
      </c>
      <c r="X48" s="0" t="s">
        <v>36</v>
      </c>
      <c r="Y48" s="2" t="s">
        <v>36</v>
      </c>
      <c r="Z48" s="0" t="s">
        <v>40</v>
      </c>
      <c r="AA48" s="0" t="s">
        <v>40</v>
      </c>
      <c r="AB48" s="0" t="s">
        <v>40</v>
      </c>
      <c r="AC48" s="0" t="s">
        <v>40</v>
      </c>
      <c r="AD48" s="0" t="s">
        <v>56</v>
      </c>
      <c r="AE48" s="2" t="s">
        <v>209</v>
      </c>
    </row>
    <row r="49">
      <c r="A49" s="6" t="s">
        <v>31</v>
      </c>
      <c r="B49" s="7">
        <v>34948</v>
      </c>
      <c r="C49" s="9">
        <f>HYPERLINK("https://www.epingalert.org/en/Search?viewData= G/TBT/Notif.95/264"," G/TBT/Notif.95/264")</f>
      </c>
      <c r="D49" s="8"/>
      <c r="E49" s="8"/>
      <c r="F49" s="8"/>
      <c r="G49" s="8" t="s">
        <v>36</v>
      </c>
      <c r="H49" s="8" t="s">
        <v>36</v>
      </c>
      <c r="I49" s="8" t="s">
        <v>36</v>
      </c>
      <c r="J49" s="8" t="s">
        <v>36</v>
      </c>
      <c r="K49" s="6"/>
      <c r="L49" s="7" t="s">
        <v>36</v>
      </c>
      <c r="M49" s="6" t="s">
        <v>38</v>
      </c>
      <c r="N49" s="6"/>
      <c r="O49" s="6">
        <f>HYPERLINK("https://docs.wto.org/imrd/directdoc.asp?DDFDocuments/t/G/TBTNOT95/95-264.PDF", "https://docs.wto.org/imrd/directdoc.asp?DDFDocuments/t/G/TBTNOT95/95-264.PDF")</f>
      </c>
      <c r="P49" s="6">
        <f>HYPERLINK("https://docs.wto.org/imrd/directdoc.asp?DDFDocuments/u/G/TBTNOT95/95-264.PDF", "https://docs.wto.org/imrd/directdoc.asp?DDFDocuments/u/G/TBTNOT95/95-264.PDF")</f>
      </c>
      <c r="Q49" s="6">
        <f>HYPERLINK("https://docs.wto.org/imrd/directdoc.asp?DDFDocuments/v/G/TBTNOT95/95-264.PDF", "https://docs.wto.org/imrd/directdoc.asp?DDFDocuments/v/G/TBTNOT95/95-264.PDF")</f>
      </c>
      <c r="R49" s="0" t="s">
        <v>39</v>
      </c>
      <c r="S49" s="0" t="s">
        <v>40</v>
      </c>
      <c r="T49" s="0" t="s">
        <v>40</v>
      </c>
      <c r="U49" s="0" t="s">
        <v>40</v>
      </c>
      <c r="V49" s="0" t="s">
        <v>40</v>
      </c>
      <c r="W49" s="0" t="s">
        <v>40</v>
      </c>
      <c r="X49" s="0" t="s">
        <v>40</v>
      </c>
      <c r="Y49" s="2"/>
      <c r="Z49" s="0" t="s">
        <v>36</v>
      </c>
      <c r="AA49" s="0" t="s">
        <v>36</v>
      </c>
      <c r="AB49" s="0" t="s">
        <v>36</v>
      </c>
      <c r="AC49" s="0" t="s">
        <v>36</v>
      </c>
      <c r="AD49" s="0" t="s">
        <v>36</v>
      </c>
      <c r="AE49" s="2" t="s">
        <v>36</v>
      </c>
    </row>
    <row r="50">
      <c r="A50" s="6" t="s">
        <v>31</v>
      </c>
      <c r="B50" s="7">
        <v>34864</v>
      </c>
      <c r="C50" s="9">
        <f>HYPERLINK("https://www.epingalert.org/en/Search?viewData= G/TBT/Notif.95/186"," G/TBT/Notif.95/186")</f>
      </c>
      <c r="D50" s="8"/>
      <c r="E50" s="8"/>
      <c r="F50" s="8"/>
      <c r="G50" s="8" t="s">
        <v>36</v>
      </c>
      <c r="H50" s="8" t="s">
        <v>36</v>
      </c>
      <c r="I50" s="8" t="s">
        <v>36</v>
      </c>
      <c r="J50" s="8" t="s">
        <v>36</v>
      </c>
      <c r="K50" s="6"/>
      <c r="L50" s="7" t="s">
        <v>36</v>
      </c>
      <c r="M50" s="6" t="s">
        <v>38</v>
      </c>
      <c r="N50" s="6"/>
      <c r="O50" s="6">
        <f>HYPERLINK("https://docs.wto.org/imrd/directdoc.asp?DDFDocuments/t/G/TBTNOT95/95-186.pdf", "https://docs.wto.org/imrd/directdoc.asp?DDFDocuments/t/G/TBTNOT95/95-186.pdf")</f>
      </c>
      <c r="P50" s="6">
        <f>HYPERLINK("https://docs.wto.org/imrd/directdoc.asp?DDFDocuments/u/G/TBTNOT95/95-186.pdf", "https://docs.wto.org/imrd/directdoc.asp?DDFDocuments/u/G/TBTNOT95/95-186.pdf")</f>
      </c>
      <c r="Q50" s="6">
        <f>HYPERLINK("https://docs.wto.org/imrd/directdoc.asp?DDFDocuments/v/G/TBTNOT95/95-186.pdf", "https://docs.wto.org/imrd/directdoc.asp?DDFDocuments/v/G/TBTNOT95/95-186.pdf")</f>
      </c>
      <c r="R50" s="0" t="s">
        <v>39</v>
      </c>
      <c r="S50" s="0" t="s">
        <v>40</v>
      </c>
      <c r="T50" s="0" t="s">
        <v>40</v>
      </c>
      <c r="U50" s="0" t="s">
        <v>40</v>
      </c>
      <c r="V50" s="0" t="s">
        <v>40</v>
      </c>
      <c r="W50" s="0" t="s">
        <v>40</v>
      </c>
      <c r="X50" s="0" t="s">
        <v>40</v>
      </c>
      <c r="Y50" s="2"/>
      <c r="Z50" s="0" t="s">
        <v>36</v>
      </c>
      <c r="AA50" s="0" t="s">
        <v>36</v>
      </c>
      <c r="AB50" s="0" t="s">
        <v>36</v>
      </c>
      <c r="AC50" s="0" t="s">
        <v>36</v>
      </c>
      <c r="AD50" s="0" t="s">
        <v>36</v>
      </c>
      <c r="AE50" s="2" t="s">
        <v>36</v>
      </c>
    </row>
    <row r="51">
      <c r="A51" s="6" t="s">
        <v>31</v>
      </c>
      <c r="B51" s="7">
        <v>34813</v>
      </c>
      <c r="C51" s="9">
        <f>HYPERLINK("https://www.epingalert.org/en/Search?viewData= G/TBT/CS/N/1"," G/TBT/CS/N/1")</f>
      </c>
      <c r="D51" s="8" t="s">
        <v>36</v>
      </c>
      <c r="E51" s="8" t="s">
        <v>36</v>
      </c>
      <c r="F51" s="8" t="s">
        <v>36</v>
      </c>
      <c r="G51" s="8" t="s">
        <v>36</v>
      </c>
      <c r="H51" s="8" t="s">
        <v>36</v>
      </c>
      <c r="I51" s="8" t="s">
        <v>36</v>
      </c>
      <c r="J51" s="8" t="s">
        <v>36</v>
      </c>
      <c r="K51" s="6"/>
      <c r="L51" s="7" t="s">
        <v>36</v>
      </c>
      <c r="M51" s="6" t="s">
        <v>81</v>
      </c>
      <c r="N51" s="6"/>
      <c r="O51" s="6">
        <f>HYPERLINK("https://docs.wto.org/imrd/directdoc.asp?DDFDocuments/t/G/TBT/CSN1.PDF", "https://docs.wto.org/imrd/directdoc.asp?DDFDocuments/t/G/TBT/CSN1.PDF")</f>
      </c>
      <c r="P51" s="6">
        <f>HYPERLINK("https://docs.wto.org/imrd/directdoc.asp?DDFDocuments/u/G/TBT/CSN1.PDF", "https://docs.wto.org/imrd/directdoc.asp?DDFDocuments/u/G/TBT/CSN1.PDF")</f>
      </c>
      <c r="Q51" s="6">
        <f>HYPERLINK("https://docs.wto.org/imrd/directdoc.asp?DDFDocuments/v/G/TBT/CSN1.PDF", "https://docs.wto.org/imrd/directdoc.asp?DDFDocuments/v/G/TBT/CSN1.PDF")</f>
      </c>
      <c r="R51" s="0" t="s">
        <v>36</v>
      </c>
      <c r="S51" s="0" t="s">
        <v>36</v>
      </c>
      <c r="T51" s="0" t="s">
        <v>36</v>
      </c>
      <c r="U51" s="0" t="s">
        <v>36</v>
      </c>
      <c r="V51" s="0" t="s">
        <v>36</v>
      </c>
      <c r="W51" s="0" t="s">
        <v>36</v>
      </c>
      <c r="X51" s="0" t="s">
        <v>36</v>
      </c>
      <c r="Y51" s="2" t="s">
        <v>36</v>
      </c>
      <c r="Z51" s="0" t="s">
        <v>36</v>
      </c>
      <c r="AA51" s="0" t="s">
        <v>36</v>
      </c>
      <c r="AB51" s="0" t="s">
        <v>36</v>
      </c>
      <c r="AC51" s="0" t="s">
        <v>36</v>
      </c>
      <c r="AD51" s="0" t="s">
        <v>36</v>
      </c>
      <c r="AE51" s="2" t="s">
        <v>36</v>
      </c>
    </row>
  </sheetData>
  <headerFooter/>
</worksheet>
</file>
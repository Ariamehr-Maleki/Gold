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otifications" sheetId="1" r:id="rId1"/>
  </sheets>
  <calcPr fullCalcOnLoad="1"/>
</workbook>
</file>

<file path=xl/sharedStrings.xml><?xml version="1.0" encoding="utf-8"?>
<sst xmlns="http://schemas.openxmlformats.org/spreadsheetml/2006/main" count="2896" uniqueCount="2896">
  <si>
    <t>Notifying Member</t>
  </si>
  <si>
    <t>Distribution date</t>
  </si>
  <si>
    <t>Document symbol</t>
  </si>
  <si>
    <t>Title</t>
  </si>
  <si>
    <t>Description</t>
  </si>
  <si>
    <t>Products covered</t>
  </si>
  <si>
    <t>HS code(s)</t>
  </si>
  <si>
    <t>ICS code(s)</t>
  </si>
  <si>
    <t>Objectives</t>
  </si>
  <si>
    <t>Keywords</t>
  </si>
  <si>
    <t>Specific regions or countries likely to be affected</t>
  </si>
  <si>
    <t>Final date for comments</t>
  </si>
  <si>
    <t>Notification type</t>
  </si>
  <si>
    <t>Notified document</t>
  </si>
  <si>
    <t>Link to notification(EN)</t>
  </si>
  <si>
    <t>Link to notification(FR)</t>
  </si>
  <si>
    <t>Link to notification(ES)</t>
  </si>
  <si>
    <t>Technical Regulation (Article 2.9.2)</t>
  </si>
  <si>
    <t>Technical Regulation - urgent (Article 2.10.1)</t>
  </si>
  <si>
    <t>Conformity Assessment Procedure (Article 5.6.2)</t>
  </si>
  <si>
    <t xml:space="preserve">Conformity Assessment Procedure - urgent  (Article 5.7.1)</t>
  </si>
  <si>
    <t>Technical Regulation - local government (Article 3.2)</t>
  </si>
  <si>
    <t>Conformity Assessment Procedure - local government (Article 7.2)</t>
  </si>
  <si>
    <t>Other</t>
  </si>
  <si>
    <t>Relevant documents</t>
  </si>
  <si>
    <t>Codex Alimentarius Commision</t>
  </si>
  <si>
    <t>World Organization for Animal Health (OIE)</t>
  </si>
  <si>
    <t>International Plant Protection Convention</t>
  </si>
  <si>
    <t>None</t>
  </si>
  <si>
    <t>Does this proposed regulation conform to the relevant international standard?</t>
  </si>
  <si>
    <t>If no, describe, whenever possible how and why it deviates from the international standard</t>
  </si>
  <si>
    <t>Russian Federation</t>
  </si>
  <si>
    <t>Letter by the Federal Service for Veterinary and Phytosanitary Surveillance No. FS-ARe-7/6845-3 of 4 December 2025</t>
  </si>
  <si>
    <t>This letter introduces temporary restrictions on imports of live sheep and goats and products derived thereof to the Russian Federation, as well as on the transit of animals susceptible to peste des petits ruminants (PPR) through the territory of the Russian Federation from Viet Nam due to the outbreak of PPR in the country indicated.</t>
  </si>
  <si>
    <t>Live sheep and goats; genetic material of sheep and goats; products derived from sheep and goats that were not subject to the use of technologies providing destruction of PPR in accordance with the WOAH Terrestrial Animal Health Code (HS code(s): 0104; 0106; 0204; 0206; 0210; 0401; 0402; 0403; 0404; 0405; 0406; 0506; 0507; 051199; 1502; 1503; 1505; 1506; 151610; 1518; 1601; 1602; 1603; 190220)</t>
  </si>
  <si>
    <t>0104 - Live sheep and goats; 1602 - Prepared or preserved meat, meat offal, blood or insects (excl. sausages and similar products, and meat extracts and juices); 1601 - Sausages and similar products, of meat, meat offal, blood or insects; food preparations based on these products.;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151610 - Animal fats and oils and their fractions, partly or wholly hydrogenated, inter-esterified, re-esterified or elaidinised, whether or not refined, but not further prepared; 1506 - Other animal fats and oils and their fractions, whether or not refined, but not chemically modified.; 1505 - Wool grease and fatty substances derived therefrom (including lanolin).; 1503 - Lard stearin, lard oil, oleostearin, oleo-oil and tallow oil, not emulsified or mixed or otherwise prepared.; 1502 - Fats of bovine animals, sheep or goats (excl. oil and oleostearin); 051199 - Products of animal origin, n.e.s., dead animals, unfit for human consumption (excl. fish, crustaceans, molluscs or other aquatic invertebrates); 0507 - Ivory, tortoiseshell, whalebone and whalebone hair, horns, antlers, hooves, nails, claws and beaks, unworked or simply prepared; powder and waste of these products (excl. cut to shape); 0506 - Bones and horn-cores and their powder and waste, unworked, defatted, simply prepared, treated with acid or degelatinised (excl. cut to shape); 0406 - Cheese and curd; 0405 - Butter, incl. dehydrated butter and ghee, and other fats and oils derived from milk; dairy spreads; 0404 - Whey, whether or not concentrated or containing added sugar or other sweetening matter; products consisting of natural milk constituents, whether or not containing added sugar or other sweetening matter, n.e.s.; 0401 - Milk and cream, not concentrated nor containing added sugar or other sweetening matter; 0403 - 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 0402 - Milk and cream, concentrated or containing added sugar or other sweetening matter; 0210 - Meat and edible offal, salted, in brine, dried or smoked; edible flours and meals of meat or meat offal; 0206 - Edible offal of bovine animals, swine, sheep, goats, horses, asses, mules or hinnies, fresh, chilled or frozen; 0204 - Meat of sheep or goats, fresh, chilled or frozen; 0106 - Live animals (excl. horses, asses, mules, hinnies, bovine animals, swine, sheep, goats, poultry, fish, crustaceans, molluscs and other aquatic invertebrates, and microorganic cultures etc.); 1603 - Extracts and juices of meat, fish or crustaceans, molluscs or other aquatic invertebrates.; 190220 - Pasta, stuffed with meat or other substances, whether or not cooked or otherwise prepared</t>
  </si>
  <si>
    <t/>
  </si>
  <si>
    <t>Animal health (SPS)</t>
  </si>
  <si>
    <t>Animal health; Animal diseases</t>
  </si>
  <si>
    <t>Viet Nam</t>
  </si>
  <si>
    <t>Emergency notifications (SPS)</t>
  </si>
  <si>
    <d:r xmlns:d="http://schemas.openxmlformats.org/spreadsheetml/2006/main">
      <d:rPr>
        <d:sz val="11"/>
        <d:rFont val="Calibri"/>
      </d:rPr>
      <d:t xml:space="preserve">https://members.wto.org/crnattachments/2025/SPS/RUS/25_08815_00_x.pdf
https://fsvps.gov.ru/files/ukazanie-rosselhoznadzora-ot-04-dekabrja-2025-goda-fs-arje-7-6845-3/</d:t>
    </d:r>
  </si>
  <si>
    <t>No</t>
  </si>
  <si>
    <t>Yes</t>
  </si>
  <si>
    <t>Draft Amendments No. 2 to the Technical Regulation of the Eurasian Economic Union "On Safety of Packaged Potable Water Including Natural Mineral Water" (TR EAEU 044/2017)</t>
  </si>
  <si>
    <t>Draft Amendments No. 2 to TR EAEU 044/2017 - introduces a number of requirements for the labeling of natural mineral waters, natural and treated potable waters, and for confirming the compliance of labeling during the declaration or state registration of packaged potable waters, aiming to protect consumers from incomplete or unreliable information regarding the origin, safety, and properties of potable waters; - revises, based on many years of experience in using mineral potable waters, methods of their therapeutic and prophylactic application, toxicologicai studies, and taking into account the requirements of international, interstate, and national standards, the permissible levels of fluorides in natural mineral waters concerning table waters, manganese, and requirements for assessing radiation safety concerning therapeutic and therapeutic-table waters; - eliminates a number of editorial and technical inconsistencies.</t>
  </si>
  <si>
    <t>Packaged Potable Water</t>
  </si>
  <si>
    <t>2201 - Waters, incl. natural or artificial mineral waters and aerated waters, not containing added sugar, other sweetening matter or flavoured; ice and snow</t>
  </si>
  <si>
    <t>13.060.20 - Drinking water</t>
  </si>
  <si>
    <t>Prevention of deceptive practices and consumer protection (TBT); Protection of human health or safety (TBT); Other (TBT)</t>
  </si>
  <si>
    <t>Labelling; Human health</t>
  </si>
  <si>
    <t>Regular notification</t>
  </si>
  <si>
    <t> Draft Amendments No. 2 to the Technical Regulation of the Eurasian Economic Union "On Safety of Packaged Potable Water Including Natural Mineral Water" (TR EAEU 044/2017) https://regulation.eaeunion.org/pd/3290/Technical Regulation of the Eurasian Economic Union "On Safety of Packaged Potable Water Including Natural Mineral Water" (TR EAEU 044/2017) https://eec.eaeunion.org/comission/department/deptexreg/tr/tr_EAEU_044-2017.php</t>
  </si>
  <si>
    <t>Draft amendments to the Decision of the Board of the Eurasian Economic Commission No. 100 of August 11, 2020 </t>
  </si>
  <si>
    <t xml:space="preserve">It is proposed to amend the Pharmacopoeia of the Eurasian Economic Union: to supplement it with general pharmacopoeial monographs on herbal medicinal products and biological_x000D_
medicinal products, and to adopt new versions of a number of general pharmacopoeial monographs harmonized with the texts of the Pharmacopoeial Discussion Group (PDG).</t>
  </si>
  <si>
    <t>3003, 3004 (Pharmaceuticals)</t>
  </si>
  <si>
    <t>3004 - Medicaments consisting of mixed or unmixed products for therapeutic or prophylactic uses, put up in measured doses "incl. those for transdermal administration" or in forms or packings for retail sale (excl. goods of heading 3002, 3005 or 3006); 3003 - Medicaments consisting of two or more constituents mixed together for therapeutic or prophylactic uses, not in measured doses or put up for retail sale (excl. goods of heading 3002, 3005 or 3006)</t>
  </si>
  <si>
    <t>Other (TBT)</t>
  </si>
  <si>
    <t>Human health</t>
  </si>
  <si>
    <d:r xmlns:d="http://schemas.openxmlformats.org/spreadsheetml/2006/main">
      <d:rPr>
        <d:sz val="11"/>
        <d:rFont val="Calibri"/>
      </d:rPr>
      <d:t xml:space="preserve">https://regulation.eaeunion.org/orv/3264/</d:t>
    </d:r>
  </si>
  <si>
    <t xml:space="preserve">The Draft am endm ents to the Decision of the Board of the Eurasian Economic Commission No. 100 of August 11, 2020_x000D_
https://regulation.eaeunion.org/orv/3264/The Decision of the Board of the Eurasian Economic Commission No. 100 of August 11, 2020_x000D_
https://docs.eaeunion.org/documents/247/5266/</t>
  </si>
  <si>
    <t>Draft Decision of the Council of the Eurasian Economic Commission on Amendment to the List of Regulated Products (Consignments, Materials, Goods) Subject to Quarantine Phytosanitary Control (Surveillance) at the Customs Border of the Eurasian Economic Union and in the Customs Territory of the Eurasian Economic Union</t>
  </si>
  <si>
    <t>The draft Decision enables imports to, and transportation within the customs territory of  the Eurasian Economic Union (EAEU) of wood packaging and dunnage material without a phytosanitary certificate, if the goods indicated have been treated and marked in accordance with the Common Quarantine Phytosanitary Requirements for Regulated Products and Pests at the Customs Border and in the Customs Territory of the EAEU (approved by Decision of the Council of the Eurasian Economic Commission No. 157 of 30 November 2016).</t>
  </si>
  <si>
    <t>Wood packaging and dunnage material (HS code(s): of Chapter 44)</t>
  </si>
  <si>
    <t>44 - WOOD AND ARTICLES OF WOOD; WOOD CHARCOAL</t>
  </si>
  <si>
    <t>Plant protection (SPS)</t>
  </si>
  <si>
    <t>Plant health; Wood packaging</t>
  </si>
  <si>
    <d:r xmlns:d="http://schemas.openxmlformats.org/spreadsheetml/2006/main">
      <d:rPr>
        <d:sz val="11"/>
        <d:rFont val="Calibri"/>
      </d:rPr>
      <d:t xml:space="preserve">https://members.wto.org/crnattachments/2025/SPS/RUS/25_08100_00_x.pdf
https://regulation.eaeunion.org/orv/3263/</d:t>
    </d:r>
  </si>
  <si>
    <t>Draft Decision of the Council of the Eurasian Economic Commission on Amendments to the Common Quarantine Phytosanitary Requirements for Regulated Products and Pests at the Customs Border and in the Customs Territory of the EAEU</t>
  </si>
  <si>
    <t>The draft Decision withdraws the requirement for fresh or chilled tomatoes, peppers and aubergines (eggplants) to be free from Pepino mosaic virus (PepMV) as currently indicated in the Common Quarantine Phytosanitary Requirements for Regulated Products and Pests at the Customs Border and in the Customs Territory of the Eurasian Economic Union. </t>
  </si>
  <si>
    <t>Fresh or chilled tomatoes, aubergines (eggplants) and peppers (HS code(s): 0702; 070930; 070960)</t>
  </si>
  <si>
    <t>0702 - Tomatoes, fresh or chilled.; 070930 - Fresh or chilled aubergines "eggplants"; 070960 - Fresh or chilled fruits of the genus Capsicum or Pimenta</t>
  </si>
  <si>
    <t>Plant health</t>
  </si>
  <si>
    <d:r xmlns:d="http://schemas.openxmlformats.org/spreadsheetml/2006/main">
      <d:rPr>
        <d:sz val="11"/>
        <d:rFont val="Calibri"/>
      </d:rPr>
      <d:t xml:space="preserve">https://members.wto.org/crnattachments/2025/SPS/RUS/25_08099_00_x.pdf
https://regulation.eaeunion.org/orv/3275/</d:t>
    </d:r>
  </si>
  <si>
    <t>Draft amendments to the Rules of Good Manufacturing Practice in the Eurasian Economic Union</t>
  </si>
  <si>
    <t>Supplementation of the Rules of Good Manufacturing Practice with Requirements for the production of high-tech medicines harmonized with the current version of the Rules of Good Manufacturing Practice of the European Union and relevant international standards to ensure stable quality of the production process of the specified group of drugs in order to promptly identify deviations in the production process, as a result of which the finished product will be recognized as substandard.</t>
  </si>
  <si>
    <t>HS Code(s): 3003, 3004 (Pharmaceuticals)</t>
  </si>
  <si>
    <t>11.120.10 - Medicaments</t>
  </si>
  <si>
    <t>Protection of human health or safety (TBT); Other (TBT)</t>
  </si>
  <si>
    <t>The Draft amendments to the Rules of Good Manufacturing Practice in the Eurasian Economic Unionhttps://regulation.eaeunion.org/orv/3269/Decision of the Council of the Eurasian Economic Commission No.77 of November 3, 2016https://docs.eaeunion.org/documents/306/2586/</t>
  </si>
  <si>
    <t>Letter of the Federal Service for Veterinary and Phytosanitary Surveillance No. FS-ARe-7/6809-3 as of 12 November 2025</t>
  </si>
  <si>
    <t>This letter introduces temporary restrictions on the imports of products mentioned in point 3 to the Russian Federation, as well as on the transit of cattle, small cattle and animals susceptible to bluetongue through the territory of the Russian Federation from Japan due to the registration of bluetongue disease outbreaks.</t>
  </si>
  <si>
    <t>Cattle; small cattle; wild, zoo and circus animals susceptible to bluetongue, camels and other members of the camel family; sperm of bulls, sheep and goat-producers; cattle and small cattle embryos; meat of wild small ruminants (HS code(s): 0102; 0104; 0106; 051199)</t>
  </si>
  <si>
    <t>0102 - Live bovine animals; 0104 - Live sheep and goats; 0106 - Live animals (excl. horses, asses, mules, hinnies, bovine animals, swine, sheep, goats, poultry, fish, crustaceans, molluscs and other aquatic invertebrates, and microorganic cultures etc.); 051199 - Products of animal origin, n.e.s., dead animals, unfit for human consumption (excl. fish, crustaceans, molluscs or other aquatic invertebrates)</t>
  </si>
  <si>
    <t>Animal health; Animal diseases; Bluetongue</t>
  </si>
  <si>
    <t>Japan</t>
  </si>
  <si>
    <d:r xmlns:d="http://schemas.openxmlformats.org/spreadsheetml/2006/main">
      <d:rPr>
        <d:sz val="11"/>
        <d:rFont val="Calibri"/>
      </d:rPr>
      <d:t xml:space="preserve">https://members.wto.org/crnattachments/2025/SPS/RUS/25_07959_00_x.pdf
https://fsvps.gov.ru/files/ukazanie-rosselhoznadzora-ot-12-nojabrja-2025-goda-fs-arje-7-6809-3/</d:t>
    </d:r>
  </si>
  <si>
    <t>Letter of the Federal Service for Veterinary and Phytosanitary Surveillance as of 5 November 2025 No. FS-KS-7/21811</t>
  </si>
  <si>
    <t>This letter introduces temporary restrictions on the imports of live swine and products obtained thereof, hunting trophies and equipment to the Russian Federation, as well as on the transit of live swine through the territory of the Russian Federation from Chinese Taipei due to the registration of outbreaks of African swine fever (ASF) in Chinese Taipei. </t>
  </si>
  <si>
    <t>Live  swine;  meat  of  swine;  meat  and  edible  meat  offal;  swine embryos and boar semen; hunting trophies; maintenance, slaughter and processing equipment used (HS code(s): 0103; 0203; 020630; 020910; 0210; of 0502; of 0511; 1601*; 1602*; 843680; 843850; 970529)*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provisions of Chapter 15.1 of the OIE Terrestrial Animal Health Code.</t>
  </si>
  <si>
    <t>0103 - Live swine; 0203 - Meat of swine, fresh, chilled or frozen; 020630 - Fresh or chilled edible offal of swine; 020910 - Pig fat, free of lean meat, not rendered or otherwise extracted, fresh, chilled, frozen, salted, in brine, dried or smoked; 0210 - Meat and edible offal, salted, in brine, dried or smoked; edible flours and meals of meat or meat offal; 0502 - Pigs', hogs' or boars' bristles and hair; badger hair and other brush making hair; waste of such bristles or hair; 0511 - Animal products n.e.s.; dead animals of all types, unfit for human consumption; 1601 - Sausages and similar products, of meat, meat offal, blood or insects; food preparations based on these products.; 1602 - Prepared or preserved meat, meat offal, blood or insects (excl. sausages and similar products, and meat extracts and juices); 843680 - Agricultural, horticultural, forestry or bee-keeping machinery, n.e.s.; 843850 - Machinery for the industrial preparation of meat or poultry (excl. cooking and other heating appliances and refrigerating or freezing equipment); 970529 - Collections and collectors’ pieces of zoological, botanical, mineralogical, anatomical or paleontological interest (excl. human specimens and parts thereof, and extinct or endangered species and parts thereof)</t>
  </si>
  <si>
    <t>African swine fever (ASF); Animal diseases; Animal health</t>
  </si>
  <si>
    <t>Chinese Taipei</t>
  </si>
  <si>
    <d:r xmlns:d="http://schemas.openxmlformats.org/spreadsheetml/2006/main">
      <d:rPr>
        <d:sz val="11"/>
        <d:rFont val="Calibri"/>
      </d:rPr>
      <d:t xml:space="preserve">https://members.wto.org/crnattachments/2025/SPS/RUS/25_07934_00_x.pdf
https://fsvps.gov.ru/files/ukazanie-rosselhoznadzora-ot-05-nojabrja-2025-goda-fs-ks-2-21811/</d:t>
    </d:r>
  </si>
  <si>
    <t>Order of the Ministry of Agriculture of the Russian Federation as of 15 May 2025 No. 335</t>
  </si>
  <si>
    <t>This notification refers to general procedure for auditing foreign testing laboratories (centres) conducting laboratory research to determine the residual amount of active substances of pesticides and agrichemicals in plant-based products intended for imports into the Russian Federation as provided by Part 3 of Article 20.1  of Federal Law No. 109-FZ dated 19 July 1997 “On Safe Handling of Pesticides and Agrochemicals”.</t>
  </si>
  <si>
    <t>Plant-based products</t>
  </si>
  <si>
    <t>Food safety (SPS)</t>
  </si>
  <si>
    <t>Human health; Food safety; Maximum residue limits (MRLs)</t>
  </si>
  <si>
    <t>Argentina; Brazil; Chile; China; Costa Rica; Côte d'Ivoire; Ecuador; Egypt; Ethiopia; Georgia; Ghana; India; Indonesia; Israel; Kenya; Morocco; Nigeria; Pakistan; Paraguay; Peru; Philippines; South Africa; Sri Lanka; Tajikistan; Thailand; Türkiye; United Arab Emirates; Viet Nam</t>
  </si>
  <si>
    <d:r xmlns:d="http://schemas.openxmlformats.org/spreadsheetml/2006/main">
      <d:rPr>
        <d:sz val="11"/>
        <d:rFont val="Calibri"/>
      </d:rPr>
      <d:t xml:space="preserve">https://members.wto.org/crnattachments/2025/SPS/RUS/25_07519_00_e.pdf
https://members.wto.org/crnattachments/2025/SPS/RUS/25_07519_00_x.pdf
https://fsvps.gov.ru/federalnyj-gosudarstvennyj-kontrol-nadzor-v-oblasti-bezopasnogo-obrashhenija-s-pesticidami-i-agrohimikatami-v-chasti-sobljudenija-reglamentov-primenenija-pesticidov-i-agrohimikatov-pri-proizvodstve-se/</d:t>
    </d:r>
  </si>
  <si>
    <t>Draft Decision of the Collegium of the Eurasian Economic Commission on Amendment to Section 1 of Chapter II of the Common Sanitary-Epidemiological and Hygienic Requirements for Products Subject to Sanitary-Epidemiological Supervision (Control)</t>
  </si>
  <si>
    <t>The Draft Decision softens the requirements regarding maximum level for cadmium, contained in seeds of food poppy not intended for retail sale and used as an ingredient in bakery and confectionery products, compared to those currently applied as indicated in Section 1 of Chapter II of the Common Sanitary-Epidemiological and Hygienic Requirements for Products Subject to Sanitary-Epidemiological Supervision (Control). </t>
  </si>
  <si>
    <t>Seeds of food poppy not intended for retail sale and used as an ingredient in bakery and confectionery products (HS code(s): 120791)</t>
  </si>
  <si>
    <t>120791 - Poppy seeds, whether or not broken</t>
  </si>
  <si>
    <t>Human health; Food safety</t>
  </si>
  <si>
    <d:r xmlns:d="http://schemas.openxmlformats.org/spreadsheetml/2006/main">
      <d:rPr>
        <d:sz val="11"/>
        <d:rFont val="Calibri"/>
      </d:rPr>
      <d:t xml:space="preserve">https://members.wto.org/crnattachments/2025/SPS/RUS/25_07084_00_x.pdf
https://members.wto.org/crnattachments/2025/SPS/RUS/25_07084_01_x.pdf
https://regulation.eaeunion.org/orv/3242/</d:t>
    </d:r>
  </si>
  <si>
    <t>Not applicable</t>
  </si>
  <si>
    <t>Letter of the Federal Service for Veterinary and Phytosanitary Surveillance No. FS-ARe-7/6745-3 of 14 October 2025</t>
  </si>
  <si>
    <t>The Federal Service for Veterinary and Phytosanitary Surveillance introduced a temporary restriction on imports of live animals susceptible to lumpy skin disease, products and raw hides derived from such animals, as well as used equipment for maintenance and transportation of these animals from Spain to the territory of the Russian Federation, and the transit of cattle and animals susceptible to lumpy skin disease through the territory of the Russian Federation due to the outbreak of lumpy skin disease in Spain.</t>
  </si>
  <si>
    <t>Live animals susceptible to lumpy skin disease, products not subject to processing that ensures the destruction of the LSD virus and raw hides derived from such animals, as well as used equipment for maintenance and transportation of these animals (HS code(s): 0102; 0106; 0511)</t>
  </si>
  <si>
    <t>0102 - Live bovine animals; 0106 - Live animals (excl. horses, asses, mules, hinnies, bovine animals, swine, sheep, goats, poultry, fish, crustaceans, molluscs and other aquatic invertebrates, and microorganic cultures etc.); 0511 - Animal products n.e.s.; dead animals of all types, unfit for human consumption</t>
  </si>
  <si>
    <t>Animal health; Animal diseases; Pest- or Disease- free Regions / Regionalization</t>
  </si>
  <si>
    <t>Spain</t>
  </si>
  <si>
    <d:r xmlns:d="http://schemas.openxmlformats.org/spreadsheetml/2006/main">
      <d:rPr>
        <d:sz val="11"/>
        <d:rFont val="Calibri"/>
      </d:rPr>
      <d:t xml:space="preserve">https://members.wto.org/crnattachments/2025/SPS/RUS/25_06903_00_x.pdf
https://fsvps.gov.ru/files/ukazanie-rosselhoznadzora-ot-15-oktjabrja-2025-goda-fs-arje-7-6745-3/</d:t>
    </d:r>
  </si>
  <si>
    <t>Draft amendments No. 2 to the Technical regulation of the Customs Union «On the safety of meat and meat products» (TR CU 034/2013)</t>
  </si>
  <si>
    <t xml:space="preserve">Draft Amendment No. 2 proposes:_x000D_
- Clarification of certain definitions within TR CU 034/2013, taking into account practical application, including the use of offal as components in the production of specific meat products;_x000D_
- Addition of the term "animal-derived processing aid" to TR CU 034/2013, along with requirements for permissible levels and labeling information regarding such aids;_x000D_
- Clarification of labeling requirements for meat products, including the indication of the main or predominant meat ingredients in the product name;_x000D_
- Technical corrections to individual provisions of TR CU 034/2013.</t>
  </si>
  <si>
    <t>Slaughtered products and meat products</t>
  </si>
  <si>
    <t>16 - PREPARATIONS OF MEAT, OF FISH, OF CRUSTACEANS, MOLLUSCS OR OTHER AQUATIC INVERTEBRATES, OR OF INSECTS</t>
  </si>
  <si>
    <t>67.120.10 - Meat and meat products; 67.230 - Prepackaged and prepared foods</t>
  </si>
  <si>
    <t>Food standards</t>
  </si>
  <si>
    <t>Draft amendments No. 2 to the Technical regulation of the Customs Union «On the safety of meat and meat products» (TR CU 034/2013)https://regulation.eaeunion.org/pd/Technical regulation of the Customs Union «On the safety of meat and meat products» (TR CU 034/2013)https://docs.eaeunion.org/upload/iblock/858/a370rm17xauc5y5brrjnt38rhgwe15w5/cncd_11102013_68_doc.pdfhttps://docs.eaeunion.org/upload/iblock/31a/n5155o1osgre0vtp93dwo84tyjz3b2bk/err_10102023_98_doc.pdf</t>
  </si>
  <si>
    <t>Letter of the Federal Service for Veterinary and Phytosanitary Surveillance as of 10 October 2025 No. FS-KS-7/19896</t>
  </si>
  <si>
    <t>This letter introduces temporary restrictions on the imports of certain animals susceptible to foot-and-mouth disease and products derived thereof, as well as on the transit of animals susceptible to foot-and-mouth disease from Qatar to the territory of the Russian Federation due to the deterioration of foot-and-mouth disease epizootic situation in Qatar.</t>
  </si>
  <si>
    <t>Animals susceptible to foot-and-mouth disease and products derived thereof (HS code(s): 0102; 0103; 010613; 0201; 0202; 0203; 0204; 0205; 0206; 0209; 0210; 04; 051110; 051199; 2309; 430180; 430190; 430390; 843680; 970529)</t>
  </si>
  <si>
    <t>0102 - Live bovine animals;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t>
  </si>
  <si>
    <t>Foot and mouth disease; Animal health; Animal diseases</t>
  </si>
  <si>
    <t>Qatar</t>
  </si>
  <si>
    <d:r xmlns:d="http://schemas.openxmlformats.org/spreadsheetml/2006/main">
      <d:rPr>
        <d:sz val="11"/>
        <d:rFont val="Calibri"/>
      </d:rPr>
      <d:t xml:space="preserve">https://members.wto.org/crnattachments/2025/SPS/RUS/25_06849_00_x.pdf
https://fsvps.gov.ru/files/ukazanie-rosselhoznadzora-ot-10-oktjabrja-2025-goda-fs-ks-7-19896/</d:t>
    </d:r>
  </si>
  <si>
    <t>Letter of the Federal Service for Veterinary and Phytosanitary Surveillance No. FS-ARe-7/6707-3 as of 19 September 2025</t>
  </si>
  <si>
    <t>This letter introduces temporary restrictions on the imports of products mentioned in point 3 as well as on the transit of cattle, small cattle and animals susceptible to bluetongue from Namibia to the territory of the Russian Federation due to the registration of bluetongue disease outbreaks.</t>
  </si>
  <si>
    <t>Namibia</t>
  </si>
  <si>
    <d:r xmlns:d="http://schemas.openxmlformats.org/spreadsheetml/2006/main">
      <d:rPr>
        <d:sz val="11"/>
        <d:rFont val="Calibri"/>
      </d:rPr>
      <d:t xml:space="preserve">https://members.wto.org/crnattachments/2025/SPS/RUS/25_06386_00_x.pdf
https://fsvps.gov.ru/files/ukazanie-rosselhoznadzora-ot-19-sentjabrja-2025-goda-fs-arje-7-6707-3/</d:t>
    </d:r>
  </si>
  <si>
    <t>Letter of the Federal Service for Veterinary and Phytosanitary Surveillance No. FS-ARe-7/6702-3 as of 16 September 2025</t>
  </si>
  <si>
    <t>This letter introduces temporary restrictions on the imports of products mentioned in point 3 as well as on the transit of cattle, small cattle and animals susceptible to bluetongue from Hungary to the territory of the Russian Federation due to the registration of bluetongue disease outbreaks.</t>
  </si>
  <si>
    <t>Animal health; Animal diseases; Bluetongue; Pest- or Disease- free Regions / Regionalization</t>
  </si>
  <si>
    <t>Hungary</t>
  </si>
  <si>
    <d:r xmlns:d="http://schemas.openxmlformats.org/spreadsheetml/2006/main">
      <d:rPr>
        <d:sz val="11"/>
        <d:rFont val="Calibri"/>
      </d:rPr>
      <d:t xml:space="preserve">https://members.wto.org/crnattachments/2025/SPS/RUS/25_06246_00_x.pdf
https://fsvps.gov.ru/files/ukazanie-rosselhoznadzora-ot-16-sentjabrja-2025-goda-fs-arje-7-6702-3/</d:t>
    </d:r>
  </si>
  <si>
    <t>Draft amendments to the Rules for Conducting Bioequivalence Research in the Eurasian Economic Union</t>
  </si>
  <si>
    <t>- Updating the methodology of IN VITRO skin penetration (IVRT) research (taking into account the revision of the international acts of research, bioequivalence of multisource (generic) pharmaceutical product (acts of the Food and Drug Administration (FDA)), as well as the law enforcement practice of authorized bodies of the Member States of the Eurasian Economic Union;- Establishment of the possibility of conducting these studies using an alternative technique- an artificial membrane analog of human skin</t>
  </si>
  <si>
    <t>Pharmaceutical products</t>
  </si>
  <si>
    <t>11.120 - Pharmaceutics</t>
  </si>
  <si>
    <d:r xmlns:d="http://schemas.openxmlformats.org/spreadsheetml/2006/main">
      <d:rPr>
        <d:sz val="11"/>
        <d:rFont val="Calibri"/>
      </d:rPr>
      <d:t xml:space="preserve">https://regulation.eaeunion.org/orv/3162/</d:t>
    </d:r>
  </si>
  <si>
    <t>Draft amendments to the Rules for Conducting Bioequivalence Research of Medicines in the Eurasian Economic Unionhttps://regulation.eaeunion.org/orv/3162/Decision of the Council of the Eurasian Economic Commission No. 85, November 3, 2016https://docs.eaeunion.org/documents/306/2592/</t>
  </si>
  <si>
    <t>Letter of the Federal Service for Veterinary and Phytosanitary Surveillance No. FS-ARe-7/6660-3 as of 19 August 2025</t>
  </si>
  <si>
    <t>This letter introduces temporary restrictions on the imports of products mentioned in point 3 as well as on the transit of cattle, small cattle and animals susceptible to bluetongue from Morocco to the territory of the Russian Federation due to the registration of bluetongue disease outbreaks.</t>
  </si>
  <si>
    <t>Morocco</t>
  </si>
  <si>
    <d:r xmlns:d="http://schemas.openxmlformats.org/spreadsheetml/2006/main">
      <d:rPr>
        <d:sz val="11"/>
        <d:rFont val="Calibri"/>
      </d:rPr>
      <d:t xml:space="preserve">https://members.wto.org/crnattachments/2025/SPS/RUS/25_05773_00_x.pdf
https://fsvps.gov.ru/files/ukazanie-rosselhoznadzora-ot-19-avgusta-2025-goda-fs-arje-7-6660-3/</d:t>
    </d:r>
  </si>
  <si>
    <t>Letter of the Federal Service for Veterinary and Phytosanitary Surveillance as of 13 August 2025 No. FS-ARe-7/6652-3</t>
  </si>
  <si>
    <t>This letter introduces temporary restrictions on the imports of certain animals susceptible to foot-and-mouth disease and products derived thereof, as well as on the transit of animals susceptible to foot-and-mouth disease from Cambodia to the territory of the Russian Federation due to the deterioration of foot-and-mouth disease epizootic situation in Cambodia.</t>
  </si>
  <si>
    <t>Animal health; Animal diseases; Foot and mouth disease</t>
  </si>
  <si>
    <t>Cambodia</t>
  </si>
  <si>
    <d:r xmlns:d="http://schemas.openxmlformats.org/spreadsheetml/2006/main">
      <d:rPr>
        <d:sz val="11"/>
        <d:rFont val="Calibri"/>
      </d:rPr>
      <d:t xml:space="preserve">https://members.wto.org/crnattachments/2025/SPS/RUS/25_05772_00_x.pdf
https://fsvps.gov.ru/files/ukazanie-rosselhoznadzora-ot-13-avgusta-2025-goda-fs-arje-7-6652-3/</d:t>
    </d:r>
  </si>
  <si>
    <t>Letter of the Federal Service for Veterinary and Phytosanitary Surveillance No. FS-ARe-7/6653-3 as of 15 August 2025</t>
  </si>
  <si>
    <t>This letter introduces a temporary restriction on imports of the goods listed below due to the outbreak of sheep pox and goat pox on the territory of Türkiye. This measure applies to: - live sheep and goats; - products made of sheep and goats meat; - milk and milk products; - feed of animal origin and other raw materials and products, obtained from sheep and goats slaughter; - equipment previously used for maintenance, slaughter and processing of sheep and goats.The letter also introduces a temporary restriction on transit of live animals susceptible to sheep pox and goat pox from Türkiye through the territory of the Russian Federation.</t>
  </si>
  <si>
    <t>Live sheep and goats; products made of sheep and goats meat; milk and milk products; feed of animal origin and other raw materials and products obtained from sheep and goats slaughter; equipment previously used for maintenance, slaughter and processing of sheep and goats (HS code(s): 0104; 0204; 0401; 2309)</t>
  </si>
  <si>
    <t>0104 - Live sheep and goats; 0204 - Meat of sheep or goats, fresh, chilled or frozen; 0401 - Milk and cream, not concentrated nor containing added sugar or other sweetening matter; 2309 - Preparations of a kind used in animal feeding</t>
  </si>
  <si>
    <t>Animal diseases; Animal health</t>
  </si>
  <si>
    <t>Türkiye</t>
  </si>
  <si>
    <d:r xmlns:d="http://schemas.openxmlformats.org/spreadsheetml/2006/main">
      <d:rPr>
        <d:sz val="11"/>
        <d:rFont val="Calibri"/>
      </d:rPr>
      <d:t xml:space="preserve">https://members.wto.org/crnattachments/2025/SPS/RUS/25_05771_00_x.pdf
https://fsvps.gov.ru/files/ukazanie-rosselhoznadzora-ot-15-avgusta-2025-goda-fs-arje-7-6653-3/</d:t>
    </d:r>
  </si>
  <si>
    <t>Draft Decision of the Collegium of the Eurasian Economic Commission on Amending Section 16 of Chapter II of the Common sanitary-epidemiological and hygienic requirements for products subject to sanitary-epidemiological supervision (control)</t>
  </si>
  <si>
    <t>The draft provides for updating Section 16 of Chapter II of the Common sanitary-epidemiological and hygienic requirements for products subject to sanitary-epidemiological supervision (control) concerning requirements for materials and articles made from polymeric and other materials intended to come into contact with food products and food environments.</t>
  </si>
  <si>
    <t>Materials and articles made from polymeric and other materials intended to come into contact with food products and food environments</t>
  </si>
  <si>
    <t>67.250 - Materials and articles in contact with foodstuffs</t>
  </si>
  <si>
    <t>Protection of human health or safety (TBT)</t>
  </si>
  <si>
    <t>Draft Decision of the Collegium of the Eurasian Economic Commission on Amending Section 16 of Chapter II of the Common sanitary-epidemiological and hygienic requirements for products subject to sanitary-epidemiological supervision (control)https://regulation.eaeunion.org/orv/3186/</t>
  </si>
  <si>
    <t>Letter of the Federal Service for Veterinary and Phytosanitary Surveillance as of 5 August 2025 No. FS-ARe-7/6638-3</t>
  </si>
  <si>
    <t xml:space="preserve">This letter introduces a temporary restriction on imports of the goods listed below due to the outbreak of sheep pox and goat pox on the territory of Romania. This measure applies to:_x000D_
- live sheep and goats, as well as animals susceptible to sheep pox and goat pox;_x000D_
- products made of sheep and goats meat;_x000D_
- milk and milk products;_x000D_
- feed of animal origin and other raw materials and products, obtained from sheep and goats slaughter;_x000D_
- equipment previously used for maintenance, slaughter and processing of sheep and goats._x000D_
The letter also introduces a temporary restriction on transit of live animals susceptible to sheep pox and goat pox from Romania through the territoty of the Russian Federation.</t>
  </si>
  <si>
    <t>Live sheep and goats, animals susceptible to sheep pox and goat pox; products made of sheep and goats meat; milk and milk products; feed of animal origin and other raw materials and products obtained from sheep and goats slaughter; equipment previously used for maintenance, slaughter and processing of sheep and goats (HS code(s): 0104; 0204; 0401; 2309)</t>
  </si>
  <si>
    <t>Romania</t>
  </si>
  <si>
    <d:r xmlns:d="http://schemas.openxmlformats.org/spreadsheetml/2006/main">
      <d:rPr>
        <d:sz val="11"/>
        <d:rFont val="Calibri"/>
      </d:rPr>
      <d:t xml:space="preserve">https://members.wto.org/crnattachments/2025/SPS/RUS/25_05682_00_x.pdf
https://fsvps.gov.ru/files/ukazanie-rosselhoznadzora-ot-05-avgusta-2025-goda-fs-arje-7-6638-3/</d:t>
    </d:r>
  </si>
  <si>
    <t>Letter of the Federal Service for Veterinary and Phytosanitary Surveillance No. FS-ARe-7/6637-3 of 5 August 2025</t>
  </si>
  <si>
    <t xml:space="preserve">This letter introduces a temporary restriction on imports of the goods listed below due to the outbreak of sheep pox and goat pox on the territory of Bulgaria. This measure applies to:_x000D_
- live sheep and goats, as well as animals susceptible to sheep pox and goat pox;_x000D_
- products made of sheep and goats meat;_x000D_
- milk and milk products;_x000D_
- feed of animal origin and other raw materials and products, obtained from sheep and goats slaughter;_x000D_
- equipment previously used for maintenance, slaughter and processing of sheep and goats._x000D_
The letter also introduces a temporary restriction on transit of live animals susceptible to sheep pox and goat pox from Bulgaria through the territoty of the Russian Federation.</t>
  </si>
  <si>
    <t>Bulgaria</t>
  </si>
  <si>
    <d:r xmlns:d="http://schemas.openxmlformats.org/spreadsheetml/2006/main">
      <d:rPr>
        <d:sz val="11"/>
        <d:rFont val="Calibri"/>
      </d:rPr>
      <d:t xml:space="preserve">https://members.wto.org/crnattachments/2025/SPS/RUS/25_05681_00_x.pdf
https://fsvps.gov.ru/files/ukazanie-rosselhoznadzora-ot-05-avgusta-2025-goda-fs-arje-7-6637-3/</d:t>
    </d:r>
  </si>
  <si>
    <t>Letter of the Federal Service for Veterinary and Phytosanitary Surveillance as of 17 January 2025 No. FS-KS-7/675</t>
  </si>
  <si>
    <t>The Federal Service for Veterinary and Phytosanitary Surveillance has renewed the certification of animals susceptible to foot-and-mouth disease and products derived thereof subject to veterinary control for import from the European Union. It also allows the imports and transit of such animals and products from the enterprises listed in the Annex to the Letter of the Federal Service for Veterinary and Phytosanitary Surveillance as of 18 August 2025 No. FS-KS-7/15985. The Federal Service for Veterinary and Phytosanitary Surveillance has authorized the imports of frozen genetic material (semen) of animals susceptible to foot-and-mouth disease from all EU countries. Regarding the imports of refrigerated genetic material (semen), the shipments are allowed from all EU countries, except for Hungary and the Slovak Republic, provided that the products meet certain requirements stipulated in the letters of the Federal Service for Veterinary and Phytosanitary Surveillance No. FS-KS-7/7361 as of 11 April 2025 and No. FS-KS-7/10154 as of 23 May 2025. </t>
  </si>
  <si>
    <t>970529 - Collections and collectors’ pieces of zoological, botanical, mineralogical, anatomical or paleontological interest (excl. human specimens and parts thereof, and extinct or endangered species and parts thereof); 010613 - Live camels and other camelids [Camelidae]; 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0209 - Pig fat, free of lean meat, and poultry fat, not rendered or otherwise extracted, fresh, chilled, frozen, salted, in brine, dried or smoked; 0210 - Meat and edible offal, salted, in brine, dried or smoked; edible flours and meals of meat or meat offal; 04 - DAIRY PRODUCE; BIRDS' EGGS; NATURAL HONEY; EDIBLE PRODUCTS OF ANIMAL ORIGIN, NOT ELSEWHERE SPECIFIED OR INCLUDED; 051110 - Bovine semen; 051199 - Products of animal origin, n.e.s., dead animals, unfit for human consumption (excl. fish, crustaceans, molluscs or other aquatic invertebrates); 2309 - Preparations of a kind used in animal feeding; 430180 - Raw furskins, whole, with or without heads, tails or paws (excl. those of mink, lamb - Astrachan, Caracul, Persian, Broadtail and similar, and Indian, Chinese, Mongolian or Tibetan - and fox); 430190 - Heads, tails, paws and other pieces or cuttings of furskins suitable for use in furriery; 430390 - Articles of furskin (excl. articles of apparel, clothing accessories and goods of chapter 95, e.g. toys, games and sports equipment); 843680 - Agricultural, horticultural, forestry or bee-keeping machinery, n.e.s.; 0103 - Live swine; 0102 - Live bovine animals; 970529 - Collections and collectors’ pieces of zoological, botanical, mineralogical, anatomical or paleontological interest (excl. human specimens and parts thereof, and extinct or endangered species and parts thereof);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843680 - Agricultural, horticultural, forestry or bee-keeping machinery, n.e.s.; 430390 - Articles of furskin (excl. articles of apparel, clothing accessories and goods of chapter 95, e.g. toys, games and sports equipment); 0102 - Live bovine animals</t>
  </si>
  <si>
    <t>Modification of content/scope of regulation; Animal diseases; Animal health; Foot and mouth disease; Animal diseases; Animal health; Foot and mouth disease</t>
  </si>
  <si>
    <t>Addendum to Emergency Notification (SPS)</t>
  </si>
  <si>
    <d:r xmlns:d="http://schemas.openxmlformats.org/spreadsheetml/2006/main">
      <d:rPr>
        <d:sz val="11"/>
        <d:rFont val="Calibri"/>
      </d:rPr>
      <d:t xml:space="preserve">https://members.wto.org/crnattachments/2025/SPS/RUS/25_05612_00_x.pdf
https://fsvps.gov.ru/files/ukazanie-rosselhoznadzora-ot-18-avgusta-2025-goda-fs-ks-7-15985/</d:t>
    </d:r>
  </si>
  <si>
    <t>Letter of the Federal Service for Veterinary and Phytosanitary Surveillance as of 14 January 2025 No. FS-KS-7/295</t>
  </si>
  <si>
    <t>The Federal Service for Veterinary and Phytosanitary Surveillance has lifted temporary restrictions on the imports and transit of animals susceptible to foot-and-mouth disease, as well as products derived thereof, from Germany.  </t>
  </si>
  <si>
    <t>Susceptible to infection with foot-and-mouth disease virus: Live bovine animals (HS code(s): 0102); Live swine (HS code(s): 0103); Live camels and other camelids [Camelidae] (HS code(s): 010613); Meat of bovine animals, fresh or chilled (HS code(s): 0201); Meat of bovine animals, frozen (HS code(s): 0202); Meat of swine, fresh, chilled or frozen (HS code(s): 0203); Meat of sheep or goats, fresh, chilled or frozen (HS code(s): 0204); Meat of horses, asses, mules or hinnies, fresh, chilled or frozen. (HS code(s): 0205); Edible offal of bovine animals, swine, sheep, goats, horses, asses, mules or hinnies, fresh, chilled or frozen (HS code(s): 0206); Pig fat, free of lean meat, and poultry fat, not rendered or otherwise extracted, fresh, chilled, frozen, salted, in brine, dried or smoked (HS code(s): 0209); Meat and edible offal, salted, in brine, dried or smoked; edible flours and meals of meat or meat offal (HS code(s): 0210); Dairy produce; edible products of animal origin, not elsewhere specified or included (HS code(s): 04); Bovine semen (HS code(s): 051110); Products of animal origin, n.e.s., dead animals, unfit for human consumption (excl. fish, crustaceans, molluscs or other aquatic invertebrates) (HS code(s): 051199); Preparations of a kind used in animal feeding (HS code(s): 2309); Raw furskins, whole, with or without heads, tails or paws (excl. those of mink, lamb - Astrachan, Caracul, Persian, Broadtail and similar, and Indian, Chinese, Mongolian or Tibetan - and fox) (HS code(s): 430180); Heads, tails, paws and other pieces or cuttings of furskins suitable for use in furriery (HS code(s): 430190); Articles of furskin (excl. articles of apparel, clothing accessories and goods of chapter 95, e.g. toys, games and sports equipment) (HS code(s): 430390); Agricultural machinery, n.e.s. (HS code(s): 843680); Collections and collectors’ pieces of zoologica (excl. human specimens and parts thereof, and extinct or endangered species and parts thereof) (HS code(s): 970529)</t>
  </si>
  <si>
    <t>0102 - Live bovine animals;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 0204 - Meat of sheep or goats, fresh, chilled or frozen; 0102 - Live bovine animals; 010613 - Live camels and other camelids [Camelidae]; 0201 - Meat of bovine animals, fresh or chilled; 0202 - Meat of bovine animals, frozen; 0203 - Meat of swine, fresh, chilled or frozen; 0103 - Live swine;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t>
  </si>
  <si>
    <t>Pest- or Disease- free Regions / Regionalization; Animal diseases; Animal health; Foot and mouth disease; Withdrawal of the measure; Pest- or Disease- free Regions / Regionalization; Foot and mouth disease; Animal diseases; Animal health</t>
  </si>
  <si>
    <d:r xmlns:d="http://schemas.openxmlformats.org/spreadsheetml/2006/main">
      <d:rPr>
        <d:sz val="11"/>
        <d:rFont val="Calibri"/>
      </d:rPr>
      <d:t xml:space="preserve">https://members.wto.org/crnattachments/2025/SPS/RUS/25_05613_00_x.pdf
https://fsvps.gov.ru/files/ukazanie-rosselhoznadzora-ot-18-avgusta-2025-goda-fs-ks-7-15985/</d:t>
    </d:r>
  </si>
  <si>
    <t>Draft amendments to the Technical Regulation of the Customs Union «On safety of Explosives and Products on their Basis» (TR CU 028/2012) in terms of the establishment of forms, schemes, and procedures for conformity assessment based on standard conformity assessment schemes (the Decision of the Council of the Eurasian Economic Commission No. 44 (April 18, 2018))</t>
  </si>
  <si>
    <t xml:space="preserve">- clarification of the provisions of the Article 2 of the TR CU 028/2012 "Definitions";_x000D_
- statement of the procedure for conformity assessment in the Article 7 of the TR CU 028/2012 "Conformity assessment" based on standard conformity assessment schemes_x000D_
(the Decision of the Council of the Eurasian Economic Commission No. 44 (April 18, 2018));_x000D_
- statement of the Article 8 of the TR CU 028/2012 "Marking with a single product circulation mark on the Union market"</t>
  </si>
  <si>
    <t>Explosives and Products on their Basis</t>
  </si>
  <si>
    <t>71.100.30 - Explosives. Pyrotechnics and fireworks</t>
  </si>
  <si>
    <d:r xmlns:d="http://schemas.openxmlformats.org/spreadsheetml/2006/main">
      <d:rPr>
        <d:sz val="11"/>
        <d:rFont val="Calibri"/>
      </d:rPr>
      <d:t xml:space="preserve">https://regulation.eaeunion.org/pd/3069/</d:t>
    </d:r>
  </si>
  <si>
    <t>Draft amendments to the Technical Regulation of the Customs Union «On safety of Explosives and Products on their Basis» (TR CU 028/2012) in terms of the establishment of forms, schemes, and procedures for conformity assessment based on standard conformity assessment schemes (the Decision of the Council of the Eurasian Economic Commission No. 44 (April 18, 2018))»https://regulation.eaeunion.org/pd/3069/The Technical Regulation of the Customs Union «On safety of Explosives and Products on their Basis» (TR CU 028/2012)https://eec.eaeunion.org/comission/department/deptexreg/tr/bezopVzriv.php</t>
  </si>
  <si>
    <t>Letter of the Federal Service for Veterinary and Phytosanitary Surveillance No. FS-ARe-7/6622-3 of 3 July 2025</t>
  </si>
  <si>
    <t>The Federal Service for Veterinary and Phytosanitary Surveillance introduced a temporary restriction on imports of live animals susceptible to lumpy skin disease, products and raw hides derived from such animals, as well as used equipment for maintenance and transportation of these animals from Italy to the territory of the Russian Federation, and the transit of cattle and animals susceptible to lumpy skin disease through the territory of the Russian Federation due to the outbreak of lumpy skin disease in Italy.</t>
  </si>
  <si>
    <t>Italy</t>
  </si>
  <si>
    <d:r xmlns:d="http://schemas.openxmlformats.org/spreadsheetml/2006/main">
      <d:rPr>
        <d:sz val="11"/>
        <d:rFont val="Calibri"/>
      </d:rPr>
      <d:t xml:space="preserve">https://members.wto.org/crnattachments/2025/SPS/RUS/25_04475_00_x.pdf
https://fsvps.gov.ru/files/ukazanie-rosselhoznadzora-ot-3-ijulja-2025-goda-fs-arje-7-6622-3/</d:t>
    </d:r>
  </si>
  <si>
    <t>Letter of the Federal Service for Veterinary and Phytosanitary Surveillance No. FS-ARe-7/6623-3 of 3 July 2025</t>
  </si>
  <si>
    <t>The Federal Service for Veterinary and Phytosanitary Surveillance introduced a temporary restriction on imports of live animals susceptible to lumpy skin disease, products and raw hides derived from such animals, as well as used equipment for maintenance and transportation of these animals from France to the territory of the Russian Federation, and the transit of cattle and animals susceptible to lumpy skin disease through the territory of the Russian Federation due to the outbreak of lumpy skin disease in France.</t>
  </si>
  <si>
    <t>Animal diseases; Animal health; Pest- or Disease- free Regions / Regionalization</t>
  </si>
  <si>
    <t>France</t>
  </si>
  <si>
    <d:r xmlns:d="http://schemas.openxmlformats.org/spreadsheetml/2006/main">
      <d:rPr>
        <d:sz val="11"/>
        <d:rFont val="Calibri"/>
      </d:rPr>
      <d:t xml:space="preserve">https://members.wto.org/crnattachments/2025/SPS/RUS/25_04474_00_x.pdf
https://fsvps.gov.ru/files/ukazanie-rosselhoznadzora-ot-3-ijulja-2025-goda-fs-arje-7-6623-3/</d:t>
    </d:r>
  </si>
  <si>
    <t>Updating Appendix No. 1 to the Rules of Good Manufacturing Practice (Requirements for the Production of Sterile Medicines), taking into account updated approaches to the production of sterile products, the emergence of new technologies for their production (including new technologies for sterilization and aseptic production), revision of international acts in the field of sterile products (documents of the International Council for Harmonization (ICH)), as well as the law enforcement practices of the authorized bodies of the member States of the Eurasian Economic Union</t>
  </si>
  <si>
    <t>3003 , 3004 (Pharmaceuticals)</t>
  </si>
  <si>
    <t>Draft amendments to the Rules of Good Manufacturing Practice in the Eurasian Economic Unionhttps://regulation.eaeunion.org/orv/3093/Decision of the Council of the Eurasian Economic Commission No.77 of November 3, 2016https://docs.eaeunion.org/documents/306/2586/</t>
  </si>
  <si>
    <t>Letter of the Federal Service for the Veterinary and Phytosanitary Surveillance (Rosselkhoznadzor) No. FS-USH-3/12277 of 25 June 2025 and No. FS-USH-3/12477 of 27 June 2025</t>
  </si>
  <si>
    <t>In accordance with paragraph 1, Article VII of IPPC, the Federal Service for Veterinary and Phytosanitary Surveillance (Rosselkhoznadzor) has introduced a temporary restriction on the imports of seeds and planting material from the Netherlands due to the detection of quarantine objects (Cuscuta spp.and Frankliniella occidentalis Pergande)in the consignments shipped from the Netherlands.</t>
  </si>
  <si>
    <t>Seeds and planting material (HS code(s): 1209)</t>
  </si>
  <si>
    <t>1209 - Seeds, fruits and spores, for sowing (excl. leguminous vegetables and sweetcorn, coffee, tea, maté and spices, cereals, oil seeds and oleaginous fruits, and seeds and fruit used primarily in perfumery, medicaments or for insecticidal, fungicidal or similar purposes)</t>
  </si>
  <si>
    <t>Plant health; Pest- or Disease- free Regions / Regionalization</t>
  </si>
  <si>
    <t>Netherlands</t>
  </si>
  <si>
    <d:r xmlns:d="http://schemas.openxmlformats.org/spreadsheetml/2006/main">
      <d:rPr>
        <d:sz val="11"/>
        <d:rFont val="Calibri"/>
      </d:rPr>
      <d:t xml:space="preserve">https://members.wto.org/crnattachments/2025/SPS/RUS/25_04269_00_x.pdf
https://members.wto.org/crnattachments/2025/SPS/RUS/25_04269_01_x.pdf</d:t>
    </d:r>
  </si>
  <si>
    <t>Letter of the Federal Service for Veterinary and Phytosanitary Surveillance as of 30 May 2025 No. FS-USH-3/10575</t>
  </si>
  <si>
    <t>In accordance with article VII of IPPC, the Federal Service for Veterinary and Phytosanitary Surveillance has introduced temporary restrictions on the imports of food potatoes from the Punjab province in Pakistan due to the quarantine objects (Megaselia scalaris (Loew), Phthorimaea operculella (Zeller), Tomato spotted wilt virus) being systematically detected in the consignments shipped from the province indicated. </t>
  </si>
  <si>
    <t>Food potatoes (HS code(s): 070190)</t>
  </si>
  <si>
    <t>070190 - Fresh or chilled potatoes (excl. seed)</t>
  </si>
  <si>
    <t>Pakistan (Punjab province)</t>
  </si>
  <si>
    <d:r xmlns:d="http://schemas.openxmlformats.org/spreadsheetml/2006/main">
      <d:rPr>
        <d:sz val="11"/>
        <d:rFont val="Calibri"/>
      </d:rPr>
      <d:t xml:space="preserve">https://members.wto.org/crnattachments/2025/SPS/RUS/25_04270_00_x.pdf</d:t>
    </d:r>
  </si>
  <si>
    <t>Draft Decision of the Collegium of the Eurasian Economic Commission on Amendments to the Regulation on Common veterinary (sanitary and veterinary) requirements for goods subject to veterinary control (surveillance); and Draft Decision of the Collegium of the Eurasian Economic Commission on Amendments to the Forms of the Common Veterinary Certificates for the Importation of Controlled Goods from Third Countries into the Customs Territory of the Eurasian Economic Union</t>
  </si>
  <si>
    <t xml:space="preserve">The draft decisions amend the common veterinary (sanitary and veterinary) requirements with provisions on conditions for the importation of the controlled goods into the territory of the EAEU and revise specific chapters of the requirements regarding live animals and contagious animal diseases. They also imply updating the relevant acts of the Commission as follows:_x000D_
   • Corrections of legal and technical nature;_x000D_
   • Addition of new terms and definitions used in the text;_x000D_
   • Harmonization of nosological names of animal diseases;_x000D_
   • Standardization of wording for certain provisions that are repeated multiple times in the text;_x000D_
   • Repeal of the “Final and Transitional Provisions” section of the Requirements. _x000D_
Additionally, the draft decisions amend the corresponding veterinary certificates accordingly.</t>
  </si>
  <si>
    <t>Goods (products) subject to veterinary control</t>
  </si>
  <si>
    <d:r xmlns:d="http://schemas.openxmlformats.org/spreadsheetml/2006/main">
      <d:rPr>
        <d:sz val="11"/>
        <d:rFont val="Calibri"/>
      </d:rPr>
      <d:t xml:space="preserve">https://members.wto.org/crnattachments/2025/SPS/RUS/25_04278_00_x.pdf
https://members.wto.org/crnattachments/2025/SPS/RUS/25_04278_01_x.pdf
https://regulation.eaeunion.org/orv/3116/
https://regulation.eaeunion.org/orv/3117/</d:t>
    </d:r>
  </si>
  <si>
    <t>Draft Decision of the Council of the Eurasian Economic Commission on Amendments to the Common List of Goods Subject to Veterinary Control (Surveillance)</t>
  </si>
  <si>
    <t>The draft amends the common list of goods subject to veterinary control (surveillance) with respect to group 3501 of the Common Commodity Nomenclature of Foreign Economic Activity of the Eurasian Economic Union.</t>
  </si>
  <si>
    <d:r xmlns:d="http://schemas.openxmlformats.org/spreadsheetml/2006/main">
      <d:rPr>
        <d:sz val="11"/>
        <d:rFont val="Calibri"/>
      </d:rPr>
      <d:t xml:space="preserve">https://members.wto.org/crnattachments/2025/SPS/RUS/25_04295_00_x.pdf
https://regulation.eaeunion.org/orv/3115/</d:t>
    </d:r>
  </si>
  <si>
    <t>Letter by the Federal Service for Veterinary and Phytosanitary Surveillance No. FS-SA-7/11944 of 20 June 2025</t>
  </si>
  <si>
    <t>This letter introduces temporary restrictions on imports of live sheep and goats and products derived thereof to the Russian Federation, as well as on the transit of animals susceptible to peste des petits ruminants (PPR) through the territory of the Russian Federation from Albania due to the outbreak of PPR in the country indicated.</t>
  </si>
  <si>
    <t>0104 - Live sheep and goats; 1602 - Prepared or preserved meat, meat offal, blood or insects (excl. sausages and similar products, and meat extracts and juices); 1601 - Sausages and similar products, of meat, meat offal, blood or insects; food preparations based on these products.;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151610 - Animal fats and oils and their fractions, partly or wholly hydrogenated, inter-esterified, re-esterified or elaidinised, whether or not refined, but not further prepared; 1506 - Other animal fats and oils and their fractions, whether or not refined, but not chemically modified.; 1505 - Wool grease and fatty substances derived therefrom (including lanolin).; 1503 - Lard stearin, lard oil, oleostearin, oleo-oil and tallow oil, not emulsified or mixed or otherwise prepared.; 1502 - Fats of bovine animals, sheep or goats (excl. oil and oleostearin); 051199 - Products of animal origin, n.e.s., dead animals, unfit for human consumption (excl. fish, crustaceans, molluscs or other aquatic invertebrates); 0506 - Bones and horn-cores and their powder and waste, unworked, defatted, simply prepared, treated with acid or degelatinised (excl. cut to shape); 0507 - Ivory, tortoiseshell, whalebone and whalebone hair, horns, antlers, hooves, nails, claws and beaks, unworked or simply prepared; powder and waste of these products (excl. cut to shape); 0406 - Cheese and curd; 0405 - Butter, incl. dehydrated butter and ghee, and other fats and oils derived from milk; dairy spreads; 0404 - Whey, whether or not concentrated or containing added sugar or other sweetening matter; products consisting of natural milk constituents, whether or not containing added sugar or other sweetening matter, n.e.s.; 0403 - 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 0402 - Milk and cream, concentrated or containing added sugar or other sweetening matter; 0401 - Milk and cream, not concentrated nor containing added sugar or other sweetening matter; 0210 - Meat and edible offal, salted, in brine, dried or smoked; edible flours and meals of meat or meat offal; 0206 - Edible offal of bovine animals, swine, sheep, goats, horses, asses, mules or hinnies, fresh, chilled or frozen; 0204 - Meat of sheep or goats, fresh, chilled or frozen; 0106 - Live animals (excl. horses, asses, mules, hinnies, bovine animals, swine, sheep, goats, poultry, fish, crustaceans, molluscs and other aquatic invertebrates, and microorganic cultures etc.); 1603 - Extracts and juices of meat, fish or crustaceans, molluscs or other aquatic invertebrates.; 190220 - Pasta, stuffed with meat or other substances, whether or not cooked or otherwise prepared</t>
  </si>
  <si>
    <t>Albania</t>
  </si>
  <si>
    <d:r xmlns:d="http://schemas.openxmlformats.org/spreadsheetml/2006/main">
      <d:rPr>
        <d:sz val="11"/>
        <d:rFont val="Calibri"/>
      </d:rPr>
      <d:t xml:space="preserve">https://members.wto.org/crnattachments/2025/SPS/RUS/25_04195_00_x.pdf
https://fsvps.gov.ru/files/ukazanie-rosselhoznadzora-ot-20-ijunja-2025-goda-fs-sa-7-11944/</d:t>
    </d:r>
  </si>
  <si>
    <t>Letter of the Federal Service for Veterinary and Phytosanitary Surveillance as of 2 June 2025 No. FS-KS-7/6582-3</t>
  </si>
  <si>
    <t>This letter introduces temporary restrictions on the imports of certain animals susceptible to foot-and-mouth disease and products derived thereof, as well as on the transit of animals susceptible to foot-and-mouth disease from Eswatini to the territory of the Russian Federation due to the deterioration of foot-and-mouth disease epizootic situation in Eswatini.</t>
  </si>
  <si>
    <t>Animal diseases; Animal health; Foot and mouth disease</t>
  </si>
  <si>
    <t>Eswatini</t>
  </si>
  <si>
    <d:r xmlns:d="http://schemas.openxmlformats.org/spreadsheetml/2006/main">
      <d:rPr>
        <d:sz val="11"/>
        <d:rFont val="Calibri"/>
      </d:rPr>
      <d:t xml:space="preserve">https://members.wto.org/crnattachments/2025/SPS/RUS/25_03795_00_x.pdf
https://fsvps.gov.ru/files/ukazanie-rosselhoznadzora-ot-2-ijunja-2025-goda-fs-arje-7-6582-3/</d:t>
    </d:r>
  </si>
  <si>
    <t>The Russian Federation notifies that imports and transit of frozen genetic material (semen) of animals susceptible to foot-and-mouth disease are allowed from Germany, Hungary and the Slovak Republic subject to compliance with certain requirements as indicated in the Letter of the Federal Service for Veterinary and Phytosanitary Surveillance as of 23 May 2025 No. FS-KS-7/10154. Additionally, imports and transit of frozen genetic material (semen) of animals susceptible to foot-and-mouth disease are allowed from the EU countries other than Germany, Hungary and the Slovak Republic subject to compliance with the requirements as stipulated in Article 8.8.17 of WOAH Terrestrial Code. </t>
  </si>
  <si>
    <t>0102 - Live bovine animals;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 2309 - Preparations of a kind used in animal feeding; 0103 - Live swine; 010613 - Live camels and other camelids [Camelidae]; 0201 - Meat of bovine animals, fresh or chilled; 0202 - Meat of bovine animals, frozen; 0203 - Meat of swine, fresh, chilled or frozen; 0204 - Meat of sheep or goats, fresh, chilled or frozen; 0205 - Meat of horses, asses, mules or hinnies, fresh, chilled or frozen.; 0206 - Edible offal of bovine animals, swine, sheep, goats, horses, asses, mules or hinnies, fresh, chilled or frozen; 0209 - Pig fat, free of lean meat, and poultry fat, not rendered or otherwise extracted, fresh, chilled, frozen, salted, in brine, dried or smoked; 0210 - Meat and edible offal, salted, in brine, dried or smoked; edible flours and meals of meat or meat offal; 04 - DAIRY PRODUCE; BIRDS' EGGS; NATURAL HONEY; EDIBLE PRODUCTS OF ANIMAL ORIGIN, NOT ELSEWHERE SPECIFIED OR INCLUDED; 051110 - Bovine semen; 051199 - Products of animal origin, n.e.s., dead animals, unfit for human consumption (excl. fish, crustaceans, molluscs or other aquatic invertebrates); 0102 - Live bovine animals;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t>
  </si>
  <si>
    <d:r xmlns:d="http://schemas.openxmlformats.org/spreadsheetml/2006/main">
      <d:rPr>
        <d:sz val="11"/>
        <d:rFont val="Calibri"/>
      </d:rPr>
      <d:t xml:space="preserve">https://members.wto.org/crnattachments/2025/SPS/RUS/25_03796_00_x.pdf
https://fsvps.gov.ru/files/ukazanie-rosselhoznadzora-ot-23-maja-2025-goda-fs-ks-7-10154/</d:t>
    </d:r>
  </si>
  <si>
    <t>Letter of the Federal Service for Veterinary and Phytosanitary Surveillance No. FS-ARe-7/6577-3 as of 29 May 2025</t>
  </si>
  <si>
    <t>This letter introduces temporary restrictions on the imports of live poultry and poultry products from Malta to the territory of the Russian Federation, as well as on the transit of live poultry through the territory of the Russian Federation due to the outbreak of Newcastle disease in Malta.</t>
  </si>
  <si>
    <t>Live poultry, egg products, meat and edible offal of poultry, poultry meat products, incubation egg of poultry, incubation egg (except poultry egg), live bird (except poultry), feed and feed additives for birds, equipment for the maintenance, slaughter and cutting of birds (HS code(s): 0105; 0207; 0208; 0209; 0210; 0407; 0408; 0410; 0504; 0505; 0511; 1506; 1510; 1516; 1518; 1601; 1602; 1603; 1902; 1904; 2102; 2104; 2106; 2309; 2936; 3504; 3507; 3808; 3824; 3923; 3926; 4206; 4415; 4416; 4421; 7020; 7309; 7310; 7326; 7616; 8436; 8606; 8609; 8716)</t>
  </si>
  <si>
    <t>0105 - Live poultry, "fowls of the species Gallus domesticus, ducks, geese, turkeys and guinea fowls"; 2936 - Provitamins and vitamins, natural or reproduced by synthesis, incl. natural concentrates, derivatives thereof used primarily as vitamins, and intermixtures of the foregoing, whether or not in any solvent; 3504 - Peptones and their derivatives; other protein substances and their derivatives, not elsewhere specified or included; hide powder, whether or not chromed.;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(other than silk-worm gut), of goldbeater's skin, of bladders or of tendons.; 2309 - Preparations of a kind used in animal feeding; 4415 - Packing cases, boxes, crates, drums and similar packings, of wood; cable-drums of wood; pallets, box pallets and other load boards, of wood; pallet collars of wood (excl. containers specially designed and equipped for one or more modes of transport); 4421 - Other articles of wood, n.e.s.; 7020 - Other articles of glass.; 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8436 - Agricultural, horticultural, forestry, poultry-keeping or bee-keeping machinery, incl. germination plant fitted with mechanical or thermal equipment; poultry incubators and brooders; parts thereof; 8606 - Railway or tramway goods vans and wagons (excl. self-propelled and luggage vans and post office coaches); 4416 - Casks, barrels, vats, tubs and other coopers' products and parts thereof, of wood, including staves.; 2106 - Food preparations, n.e.s.; 2104 - Soups and broths and preparations therefor; food preparations consisting of finely homogenised mixtures of two or more basic ingredients such as meat, fish, vegetables or fruit, put up for retail sale as infant food or for dietetic purposes, in containers of &lt;= 250 g; 2102 - Yeasts, active or inactive; other dead single-cell micro-organisms, prepared baking powders (excl. single-cell micro-organisms packaged as medicaments);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0410 - Insects, turtles' eggs, birds' nests and other edible products of animal origin, n.e.s.;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0511 - Animal products n.e.s.; dead animals of all types, unfit for human consumption; 1506 - Other animal fats and oils and their fractions, whether or not refined, but not chemically modified.; 1510 - Other oils and their fractions, obtained solely from olives, whether or not refined, but not chemically modified, incl. blends of these oils or fractions with oils or fractions of heading 1509; 1516 - Animal, vegetable or microbial fats and oils and their fractions, partly or wholly hydrogenated, inter-esterified, re-esterified or elaidinised, whether or not refined, but not further prepared;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1601 - Sausages and similar products, of meat, meat offal, blood or insects; food preparations based on these products.; 1602 - Prepared or preserved meat, meat offal, blood or insects (excl. sausages and similar products, and meat extracts and juices); 1603 - Extracts and juices of meat, fish or crustaceans, molluscs or other aquatic invertebrates.; 1902 - Pasta, whether or not cooked or stuffed with meat or other substances or otherwise prepared, such as spaghetti, macaroni, noodles, lasagne, gnocchi, ravioli, cannelloni; couscous, whether or not prepared; 1904 - Prepared foods obtained by the swelling or roasting of cereals or cereal products, e.g. corn flakes; cereals (other than maize "corn") in grain form or in the form of flakes or other worked grains (except flour, groats and meal), pre-cooked or otherwise prepared, n.e.s.; 8609 - Containers (including containers for the transport of fluids) specially designed and equipped for carriage by one or more modes of transport.; 8716 - Trailers and semi-trailers; other vehicles, not mechanically propelled (excl. railway and tramway vehicles); parts thereof, n.e.s.</t>
  </si>
  <si>
    <t>Animal health; Animal diseases; Pest- or Disease- free Regions / Regionalization; Newcastle Disease</t>
  </si>
  <si>
    <t>Malta</t>
  </si>
  <si>
    <d:r xmlns:d="http://schemas.openxmlformats.org/spreadsheetml/2006/main">
      <d:rPr>
        <d:sz val="11"/>
        <d:rFont val="Calibri"/>
      </d:rPr>
      <d:t xml:space="preserve">https://members.wto.org/crnattachments/2025/SPS/RUS/25_03641_00_x.pdf
https://fsvps.gov.ru/files/ukazanie-rosselhoznadzora-ot-29-maja-2025-goda-fs-arje-7-6577-3/</d:t>
    </d:r>
  </si>
  <si>
    <t>Letter of the Federal Service for Veterinary and Phytosanitary Surveillance No. FS-KS-7/6580-3 of 30 May 2025</t>
  </si>
  <si>
    <t>This letter introduces temporary restrictions on imports of live poultry, poultry products, eggs, equipment for poultry, feed and feed additives for birds from Liberia to the Russian Federation, as well as on the transit of live birds through the territory of the Russian Federation due to the outbreak of highly pathogenic avian influenza in Liberia.</t>
  </si>
  <si>
    <t>Live poultry, egg products, meat and edible offal of poultry, poultry meat products, incubation egg of poultry, incubation egg (except poultry egg), live bird (except poultry), feed and feed additives for birds, equipment for the maintenance, slaughter and cutting of birds (HS code(s): 0105; 0207; 0208; 0209; 0210; 0408; 0410; 0504; 0505; 0511; 1506; 1510; 1516; 1518; 1601; 1602; 1603; 190220; 190420; 2102; 2104; 2106; 2309; 2936; 3504; 3808; 3824; 3923; 3926; 4206; 4415; 4416; 4421; 7020; 7309; 7310; 7326; 7616; 843610; 84362; 843680; 860691; 8609; 8716; 950810; 9705)</t>
  </si>
  <si>
    <t>0105 - Live poultry, "fowls of the species Gallus domesticus, ducks, geese, turkeys and guinea fowls";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(other than silk-worm gut), of goldbeater's skin, of bladders or of tendons.; 4415 - Packing cases, boxes, crates, drums and similar packings, of wood; cable-drums of wood; pallets, box pallets and other load boards, of wood; pallet collars of wood (excl. containers specially designed and equipped for one or more modes of transport); 4416 - Casks, barrels, vats, tubs and other coopers' products and parts thereof, of wood, including staves.; 4421 - Other articles of wood, n.e.s.; 7020 - Other articles of glass.; 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84362 - - Poultry-keeping machinery; poultry incubators and brooders:; 843680 - Agricultural, horticultural, forestry or bee-keeping machinery, n.e.s.; 860691 - Railway or tramway goods vans and wagons, covered and closed (excl. self-discharging goods vans and wagons and tank wagons and the like); 8609 - Containers (including containers for the transport of fluids) specially designed and equipped for carriage by one or more modes of transport.; 8716 - Trailers and semi-trailers; other vehicles, not mechanically propelled (excl. railway and tramway vehicles); parts thereof, n.e.s.; 3504 - Peptones and their derivatives; other protein substances and their derivatives, not elsewhere specified or included; hide powder, whether or not chromed.; 2936 - Provitamins and vitamins, natural or reproduced by synthesis, incl. natural concentrates, derivatives thereof used primarily as vitamins, and intermixtures of the foregoing, whether or not in any solvent; 2309 - Preparations of a kind used in animal feeding; 2106 - Food preparations, n.e.s.;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0408 - Birds' eggs, not in shell, and egg yolks, fresh, dried, cooked by steaming or by boiling in water, moulded, frozen or otherwise preserved, whether or not containing added sugar or other sweetening matter; 0410 - Insects, turtles' eggs, birds' nests and other edible products of animal origin, n.e.s.;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0511 - Animal products n.e.s.; dead animals of all types, unfit for human consumption; 950810 - Travelling circuses and travelling menageries; 1506 - Other animal fats and oils and their fractions, whether or not refined, but not chemically modified.; 1516 - Animal, vegetable or microbial fats and oils and their fractions, partly or wholly hydrogenated, inter-esterified, re-esterified or elaidinised, whether or not refined, but not further prepared;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1601 - Sausages and similar products, of meat, meat offal, blood or insects; food preparations based on these products.; 1602 - Prepared or preserved meat, meat offal, blood or insects (excl. sausages and similar products, and meat extracts and juices); 1603 - Extracts and juices of meat, fish or crustaceans, molluscs or other aquatic invertebrates.; 190220 - Pasta, stuffed with meat or other substances, whether or not cooked or otherwise prepared; 190420 - Prepared foods obtained from unroasted cereal flakes or from mixtures of unroasted cereal flakes and roasted cereal flakes or swelled cereals; 2102 - Yeasts, active or inactive; other dead single-cell micro-organisms, prepared baking powders (excl. single-cell micro-organisms packaged as medicaments); 2104 - Soups and broths and preparations therefor; food preparations consisting of finely homogenised mixtures of two or more basic ingredients such as meat, fish, vegetables or fruit, put up for retail sale as infant food or for dietetic purposes, in containers of &lt;= 250 g; 1510 - Other oils and their fractions, obtained solely from olives, whether or not refined, but not chemically modified, incl. blends of these oils or fractions with oils or fractions of heading 1509; 9705 - Collections and collector's pieces of zoological, botanical, mineralogical, anatomical, historical, archaeological, palaeontological, ethnographic or numismatic interest</t>
  </si>
  <si>
    <t>Avian Influenza; Animal health; Food safety; Zoonoses; Animal diseases</t>
  </si>
  <si>
    <t>Liberia</t>
  </si>
  <si>
    <d:r xmlns:d="http://schemas.openxmlformats.org/spreadsheetml/2006/main">
      <d:rPr>
        <d:sz val="11"/>
        <d:rFont val="Calibri"/>
      </d:rPr>
      <d:t xml:space="preserve">https://members.wto.org/crnattachments/2025/SPS/RUS/25_03669_00_x.pdf
https://fsvps.gov.ru/files/ukazanie-rosselhoznadzora-ot-30-maja-2025-goda-fs-arje-7-6580-3/</d:t>
    </d:r>
  </si>
  <si>
    <t>Letter of the Federal Service for Veterinary and Phytosanitary Surveillance No. FS-KS-7/9907 of 20 May 2025</t>
  </si>
  <si>
    <t>This letter introduces temporary restrictions on imports of live poultry, poultry products, eggs, equipment for poultry, feed and feed additives for birds from Rio Grande do Sul state of Brazil to the Russian Federation, as well as on the transit of live birds through the territory of the Russian Federation due to the outbreak of highly pathogenic avian influenza in the region mentioned.Additionally, the Federal Service for Veterinary and Phytosanitary Surveillance informs that due to deterioration of the epizootic situation, Brazilian enterprises producing all types of poultry products have been assigned a “special requirements” status in terms of the Registry of Establishments authorised to export to the Customs Union for a period of three months from the date of the restrictions. This status implies sampling within enhanced laboratory control from every third incoming consignment from each Brazilian enterprise to test for the presence of the avian influenza virus genome. </t>
  </si>
  <si>
    <t>Avian Influenza; Animal health; Animal diseases; Zoonoses; Food safety</t>
  </si>
  <si>
    <t>Brazil</t>
  </si>
  <si>
    <d:r xmlns:d="http://schemas.openxmlformats.org/spreadsheetml/2006/main">
      <d:rPr>
        <d:sz val="11"/>
        <d:rFont val="Calibri"/>
      </d:rPr>
      <d:t xml:space="preserve">https://members.wto.org/crnattachments/2025/SPS/RUS/25_03608_00_x.pdf
https://fsvps.gov.ru/files/ukazanie-rosselhoznadzora-ot-20-maja-2025-goda-fs-ks-7-9907/</d:t>
    </d:r>
  </si>
  <si>
    <t>Draft Decision of the Collegium of the Eurasian Economic Commission on Amendments to the Common Veterinary (Sanitary and Veterinary) Requirements for Goods Subject to Veterinary Control (Surveillance) and Draft Decision of the Collegium of the Eurasian Economic Commission on Amendments to the Veterinary Certificate for Honey Bees, Bumblebees, Alfalfa Leafcutting Bee Cocoons, Crickets, and Entomophagous Insects Exported to the Customs Territory of the Eurasian Economic Union (Form 18)</t>
  </si>
  <si>
    <t>The draft decisions require that honey bees (queen bees and bee packages), intended for importation into the territory of the EAEU and/or transport between the EAEU members, should come from areas free from tropylelapsosis. The draft decisions also provide for amendments to the corresponding veterinary certificate form accordingly.</t>
  </si>
  <si>
    <t>010649 - Live insects (excl. bees); 010641 - Live bees</t>
  </si>
  <si>
    <d:r xmlns:d="http://schemas.openxmlformats.org/spreadsheetml/2006/main">
      <d:rPr>
        <d:sz val="11"/>
        <d:rFont val="Calibri"/>
      </d:rPr>
      <d:t xml:space="preserve">https://members.wto.org/crnattachments/2025/SPS/RUS/25_03415_00_x.pdf
https://members.wto.org/crnattachments/2025/SPS/RUS/25_03415_01_x.pdf
https://regulation.eaeunion.org/orv/3062/
https://regulation.eaeunion.org/orv/3063/</d:t>
    </d:r>
  </si>
  <si>
    <t>Eurasian Economic Commission Collegium Draft Decision on amendments to the Section 12 of the Chapter II of the Common sanitary-epidemiological and hygienic requirements for products subject to sanitary-epidemiological supervision (control)</t>
  </si>
  <si>
    <t>The draft provides for amendments to the Section 12 of the Chapter II of the Common sanitary-epidemiological and hygienic requirements for products subject to sanitary-epidemiological supervision (control), approved by the Customs Union Commission Decision No. 299 dated May 28, 2010, with respect to updating the requirements for personal hygiene products.</t>
  </si>
  <si>
    <t>Personal hygiene products</t>
  </si>
  <si>
    <t>71.100.70 - Cosmetics. Toiletries; 97.170 - Body care equipment</t>
  </si>
  <si>
    <t>Protection of animal or plant life or health (TBT)</t>
  </si>
  <si>
    <t>Eurasian Economic Commission Collegium Draft Decision on amendments to the Section 12 of the Chapter II of the Common sanitary-epidemiological and hygienic requirements for products subject to sanitary-epidemiological supervision (control);https://regulation.eaeunion.org/orv/3060/</t>
  </si>
  <si>
    <t>Eurasian Economic Commission Council Draft Decision on amendments to the Eurasian Economic Commission Council Decision No. 1 of January 21, 2022</t>
  </si>
  <si>
    <t>The draft provides for:­- extending the transition period until December 31, 2030, to allow for the continued circulation within the Union of veterinary medicinal products registered in the member states of the Union according to national procedures;- maintaining the possibility for veterinary medicinal products registered in accordance with the legislation of the Member States of the Union before the entry into force of the Rules for the Regulation of Circulation of Veterinary Medicinal Products in the Customs Territory of the Eurasian Economic Union, as approved by the Decision of the Council of the Eurasian Economic Commission No. 1 of January 21, 2022 (hereinafter referred to as the Union Rules), to continue circulation within the Customs Territory of the Union until the end of the transition period, i.e., until December 31, 2030, in the event of amendments to the registration dossier of these veterinary medicinal products;- adjustments of certain provisions of the Union Rules of a clarifying and technical nature.</t>
  </si>
  <si>
    <t>Veterinary medicinal products</t>
  </si>
  <si>
    <t>11.220 - Veterinary medicine</t>
  </si>
  <si>
    <t>Animal health</t>
  </si>
  <si>
    <d:r xmlns:d="http://schemas.openxmlformats.org/spreadsheetml/2006/main">
      <d:rPr>
        <d:sz val="11"/>
        <d:rFont val="Calibri"/>
      </d:rPr>
      <d:t xml:space="preserve">https://regulation.eaeunion.org/orv/3039/</d:t>
    </d:r>
  </si>
  <si>
    <t>Eurasian Economic Commission Council Draft Decision on amendments to the Eurasian Economic Commission Council Decision No. 1 of January 21, 2022https://regulation.eaeunion.org/orv/3039/</t>
  </si>
  <si>
    <t>Letter of the Federal Service for Veterinary and Phytosanitary Surveillance as of 29 April 2025 No. FS-ARe-7/6541-3</t>
  </si>
  <si>
    <t>This letter introduces temporary restrictions on the imports of certain animals susceptible to foot-and-mouth disease and products derived thereof, as well as on the transit of animals susceptible to foot-and-mouth disease from the State of Kuwait to the territory of the Russian Federation due to the deterioration of foot-and-mouth disease epizootic situation in the State of Kuwait. </t>
  </si>
  <si>
    <t>Animals susceptible to foot-and-mouth disease and products derived thereof (HS code(s): 0102; 0103; 010613; 0201; 0202; 0203; 0204; 0205; 0206; 0209; 0210; 04; 051110; 051199; 2309; 430180; 430190; 843680; 970529)</t>
  </si>
  <si>
    <t>0102 - Live bovine animals;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843680 - Agricultural, horticultural, forestry or bee-keeping machinery, n.e.s.; 0209 - Pig fat, free of lean meat, and poultry fat, not rendered or otherwise extracted, fresh, chilled, frozen, salted, in brine, dried or smoked;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0206 - Edible offal of bovine animals, swine, sheep, goats, horses, asses, mules or hinnies, fresh, chilled or frozen; 970529 - Collections and collectors’ pieces of zoological, botanical, mineralogical, anatomical or paleontological interest (excl. human specimens and parts thereof, and extinct or endangered species and parts thereof)</t>
  </si>
  <si>
    <t>Animal health; Animal diseases; Zoonoses; Foot and mouth disease</t>
  </si>
  <si>
    <t>Kuwait, the State of</t>
  </si>
  <si>
    <d:r xmlns:d="http://schemas.openxmlformats.org/spreadsheetml/2006/main">
      <d:rPr>
        <d:sz val="11"/>
        <d:rFont val="Calibri"/>
      </d:rPr>
      <d:t xml:space="preserve">https://members.wto.org/crnattachments/2025/SPS/RUS/25_03136_00_x.pdf
https://fsvps.gov.ru/files/ukazanie-rosselhoznadzora-ot-29-aprelja-2025-goda-fs-arje-7-6541-3/</d:t>
    </d:r>
  </si>
  <si>
    <t>Letter by the Federal Service for Veterinary and Phytosanitary Surveillance No. FS-ARe-7/6493-3 of 11 April 2025</t>
  </si>
  <si>
    <t>This letter introduces temporary restrictions on imports of live sheep and goats and products derived thereof to the Russian Federation, as well as on the transit of domestic sheep and goats through the territory of the Russian Federation from Burkina Faso due to the outbreak of peste des petits ruminants (PPR) in the country indicated.</t>
  </si>
  <si>
    <t>Live sheep and goats; genetic material of sheep and goats; products derived from sheep and goats that were not subject to the use of technologies providing destruction of PPR in accordance with the provisions of Chapter 14.7 of the WOAH Terrestrial Animal Health Code (HS code(s): 0104; 0106; 0204; 0206; 0210; 0401; 0402; 0403; 0404; 0405; 0406; 0506; 0507; 051199; 1502; 1503; 1505; 1506; 151610; 1518; 1601; 1602; 1603; 190220)</t>
  </si>
  <si>
    <t>0104 - Live sheep and goats; 1602 - Prepared or preserved meat, meat offal, blood or insects (excl. sausages and similar products, and meat extracts and juices); 1601 - Sausages and similar products, of meat, meat offal, blood or insects; food preparations based on these products.;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151610 - Animal fats and oils and their fractions, partly or wholly hydrogenated, inter-esterified, re-esterified or elaidinised, whether or not refined, but not further prepared; 1506 - Other animal fats and oils and their fractions, whether or not refined, but not chemically modified.; 1505 - Wool grease and fatty substances derived therefrom (including lanolin).; 1503 - Lard stearin, lard oil, oleostearin, oleo-oil and tallow oil, not emulsified or mixed or otherwise prepared.; 1502 - Fats of bovine animals, sheep or goats (excl. oil and oleostearin); 051199 - Products of animal origin, n.e.s., dead animals, unfit for human consumption (excl. fish, crustaceans, molluscs or other aquatic invertebrates); 0507 - Ivory, tortoiseshell, whalebone and whalebone hair, horns, antlers, hooves, nails, claws and beaks, unworked or simply prepared; powder and waste of these products (excl. cut to shape); 0506 - Bones and horn-cores and their powder and waste, unworked, defatted, simply prepared, treated with acid or degelatinised (excl. cut to shape); 0406 - Cheese and curd; 0405 - Butter, incl. dehydrated butter and ghee, and other fats and oils derived from milk; dairy spreads; 0404 - Whey, whether or not concentrated or containing added sugar or other sweetening matter; products consisting of natural milk constituents, whether or not containing added sugar or other sweetening matter, n.e.s.; 0403 - 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 0402 - Milk and cream, concentrated or containing added sugar or other sweetening matter; 0401 - Milk and cream, not concentrated nor containing added sugar or other sweetening matter; 0210 - Meat and edible offal, salted, in brine, dried or smoked; edible flours and meals of meat or meat offal; 0206 - Edible offal of bovine animals, swine, sheep, goats, horses, asses, mules or hinnies, fresh, chilled or frozen; 0204 - Meat of sheep or goats, fresh, chilled or frozen; 0106 - Live animals (excl. horses, asses, mules, hinnies, bovine animals, swine, sheep, goats, poultry, fish, crustaceans, molluscs and other aquatic invertebrates, and microorganic cultures etc.); 1603 - Extracts and juices of meat, fish or crustaceans, molluscs or other aquatic invertebrates.; 190220 - Pasta, stuffed with meat or other substances, whether or not cooked or otherwise prepared</t>
  </si>
  <si>
    <t>Animal health; Animal diseases; Pests</t>
  </si>
  <si>
    <t>Burkina Faso</t>
  </si>
  <si>
    <d:r xmlns:d="http://schemas.openxmlformats.org/spreadsheetml/2006/main">
      <d:rPr>
        <d:sz val="11"/>
        <d:rFont val="Calibri"/>
      </d:rPr>
      <d:t xml:space="preserve">https://members.wto.org/crnattachments/2025/SPS/RUS/25_02904_00_x.pdf
https://fsvps.gov.ru/files/ukazanie-rosselhoznadzora-ot-11-aprelja-2025-goda-fs-arje-7-6493-3/</d:t>
    </d:r>
  </si>
  <si>
    <t>Letter of the Federal Service for Veterinary and Phytosanitary Surveillance No. FS-ARe-7/6479-3 of 3 April 2025</t>
  </si>
  <si>
    <t>This letter introduces a temporary restriction on import of live poultry, poultry products, eggs, equipment for poultry, feed and feed additives for birds from Bangladesh to the Russian Federation and on transit of live birds through the territory of the Russian Federation due to the outbreak of highly pathogenic avian influenza in Bangladesh.</t>
  </si>
  <si>
    <t>Animal health; Animal diseases; Avian Influenza</t>
  </si>
  <si>
    <t>Bangladesh</t>
  </si>
  <si>
    <d:r xmlns:d="http://schemas.openxmlformats.org/spreadsheetml/2006/main">
      <d:rPr>
        <d:sz val="11"/>
        <d:rFont val="Calibri"/>
      </d:rPr>
      <d:t xml:space="preserve">https://members.wto.org/crnattachments/2025/SPS/RUS/25_02718_00_x.pdf
https://fsvps.gov.ru/files/ukazanie-rosselhoznadzora-ot-03-aprelja-2025-goda-fs-arje-7-6479-3/</d:t>
    </d:r>
  </si>
  <si>
    <t>Letter of the Federal Service for Veterinary and Phytosanitary Surveillance as of 26 March 2025 No. FS-ARe-7/6470-3</t>
  </si>
  <si>
    <t>This letter introduces temporary restrictions on the imports of certain animals susceptible to foot-and-mouth disease and products derived thereof, as well as on the transit of animals susceptible to foot-and-mouth disease from Indonesia to the territory of the Russian Federation due to the deterioration of foot-and-mouth disease epizootic situation in Indonesia. </t>
  </si>
  <si>
    <t>Indonesia</t>
  </si>
  <si>
    <d:r xmlns:d="http://schemas.openxmlformats.org/spreadsheetml/2006/main">
      <d:rPr>
        <d:sz val="11"/>
        <d:rFont val="Calibri"/>
      </d:rPr>
      <d:t xml:space="preserve">https://members.wto.org/crnattachments/2025/SPS/RUS/25_02502_00_x.pdf
https://fsvps.gov.ru/files/ukazanie-rosselhoznadzora-ot-26-marta-2025-goda-fs-arje-7-6470-3/
</d:t>
    </d:r>
  </si>
  <si>
    <t>Eurasian Economic Commission Collegium Draft Decision on amendments to the Section 11 of the Chapter II of the Common sanitary-epidemiological and hygienic requirements for products subject to sanitary-epidemiological supervision (control)</t>
  </si>
  <si>
    <t>The draft provides for the updating of the Section 11 of the Chapter II of the Common Sanitary-Epidemiological and Hygienic Requirements for Products (Goods) Subject to Sanitary-Epidemiological Supervision (Control) which regulates the requirements for products and items that are sources of ionizing radiation, including those that are generating, as well as items and goods containing radioactive substances.</t>
  </si>
  <si>
    <t>Materials, reagents, equipment for water treatment and water purification</t>
  </si>
  <si>
    <t>13.060 - Water quality; 71.100.80 - Chemicals for purification of water</t>
  </si>
  <si>
    <d:r xmlns:d="http://schemas.openxmlformats.org/spreadsheetml/2006/main">
      <d:rPr>
        <d:sz val="11"/>
        <d:rFont val="Calibri"/>
      </d:rPr>
      <d:t xml:space="preserve">https://regulation.eaeunion.org/orv/2995/</d:t>
    </d:r>
  </si>
  <si>
    <t>Eurasian Economic Commission Collegium Draft Decision on amendments to the Section 11 of the Chapter II of the Common sanitary-epidemiological and hygienic requirements for products subject to sanitary-epidemiological supervision (control)https://regulation.eaeunion.org/orv/2995/</t>
  </si>
  <si>
    <t>Letter of the Federal Service for Veterinary and Phytosanitary Surveillance as of 21 March 2025 No. FS-ARe-7/6466-3</t>
  </si>
  <si>
    <t>This letter introduces temporary restrictions on the imports of certain animals susceptible to foot-and-mouth disease and products derived thereof, as well as on the transit of animals susceptible to foot-and-mouth disease from the Slovak Republic to the territory of the Russian Federation due to the deterioration of foot-and-mouth disease epizootic situation in the Slovak Republic. </t>
  </si>
  <si>
    <t>Animal health; Animal diseases; Foot and mouth disease; Pest- or Disease- free Regions / Regionalization</t>
  </si>
  <si>
    <t>Slovak Republic</t>
  </si>
  <si>
    <d:r xmlns:d="http://schemas.openxmlformats.org/spreadsheetml/2006/main">
      <d:rPr>
        <d:sz val="11"/>
        <d:rFont val="Calibri"/>
      </d:rPr>
      <d:t xml:space="preserve">https://members.wto.org/crnattachments/2025/SPS/RUS/25_02458_00_x.pdf
https://fsvps.gov.ru/files/ukazanie-rosselhoznadzora-ot-21-marta-2025-goda-fs-arje-7-6466-3/</d:t>
    </d:r>
  </si>
  <si>
    <t>Letter of the Federal Service for Veterinary and Phytosanitary Surveillance as of 11 March 2025 No. FS-ARe-7/6449-3</t>
  </si>
  <si>
    <t>This letter introduces temporary restrictions on the imports of live swine and products obtained thereof, hunting trophies and equipment to the Russian Federation, as well as on the transit of live swine through the territory of the Russian Federation from Cabo Verde due to the registration of outbreaks of African swine fever (ASF) in the country indicated. </t>
  </si>
  <si>
    <t>Live  swine;  meat  of  swine;  meat  and  edible  meat  offal;  swine embryos and boar semen; hunting trophies; maintenance, slaughter and processing equipment used (HS code(s): 0103; 0203; 020630; 020910; 0210; of 0502; of 0511; 1601*; 1602*; 843680; 843850; 970529)*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 of Chapter 15.1 of the OIE Terrestrial Animal Health Code.</t>
  </si>
  <si>
    <t>0103 - Live swine; 0203 - Meat of swine, fresh, chilled or frozen; 020630 - Fresh or chilled edible offal of swine; 020910 - Pig fat, free of lean meat, not rendered or otherwise extracted, fresh, chilled, frozen, salted, in brine, dried or smoked; 0210 - Meat and edible offal, salted, in brine, dried or smoked; edible flours and meals of meat or meat offal; 0502 - Pigs', hogs' or boars' bristles and hair; badger hair and other brush making hair; waste of such bristles or hair; 0511 - Animal products n.e.s.; dead animals of all types, unfit for human consumption; 1601 - Sausages and similar products, of meat, meat offal, blood or insects; food preparations based on these products.; 1602 - Prepared or preserved meat, meat offal, blood or insects (excl. sausages and similar products, and meat extracts and juices); 970529 - Collections and collectors’ pieces of zoological, botanical, mineralogical, anatomical or paleontological interest (excl. human specimens and parts thereof, and extinct or endangered species and parts thereof); 843850 - Machinery for the industrial preparation of meat or poultry (excl. cooking and other heating appliances and refrigerating or freezing equipment); 843680 - Agricultural, horticultural, forestry or bee-keeping machinery, n.e.s.</t>
  </si>
  <si>
    <t>Cabo Verde</t>
  </si>
  <si>
    <d:r xmlns:d="http://schemas.openxmlformats.org/spreadsheetml/2006/main">
      <d:rPr>
        <d:sz val="11"/>
        <d:rFont val="Calibri"/>
      </d:rPr>
      <d:t xml:space="preserve">https://members.wto.org/crnattachments/2025/SPS/RUS/25_02100_00_x.pdf
https://fsvps.gov.ru/files/ukazanie-rosselhoznadzora-ot-11-marta-2025-goda-fs-arje-7-6449-3/
</d:t>
    </d:r>
  </si>
  <si>
    <t>Letter of the Federal Service for Veterinary and Phytosanitary Surveillance as of 7 March 2025 No. FS-ARe-7/6442-3</t>
  </si>
  <si>
    <t>This letter introduces temporary restrictions on the imports of certain animals susceptible to foot-and-mouth disease and products derived thereof, as well as on the transit of animals susceptible to foot-and-mouth disease from Hungary to the territory of the Russian Federation due to the deterioration of foot-and-mouth disease epizootic situation in Hungary. </t>
  </si>
  <si>
    <d:r xmlns:d="http://schemas.openxmlformats.org/spreadsheetml/2006/main">
      <d:rPr>
        <d:sz val="11"/>
        <d:rFont val="Calibri"/>
      </d:rPr>
      <d:t xml:space="preserve">https://members.wto.org/crnattachments/2025/SPS/RUS/25_02102_00_x.pdf
https://fsvps.gov.ru/files/ukazanie-rosselhoznadzora-ot-07-marta-2025-goda-fs-arje-7-6442-3/
</d:t>
    </d:r>
  </si>
  <si>
    <t>Letter of the Federal Service for Veterinary and Phytosanitary Surveillance as of 11 March 2025 No. FS-ARe-7/6450-3</t>
  </si>
  <si>
    <t>This letter introduces temporary restriction on imports of animals susceptible to foot-and-mouth disease and products derived thereof to the Russian Federation, as well as on the transit of animals susceptible to foot-and-mouth disease through the territory of the Russian Federation from Burkina Faso due to the deterioration of foot-and-mouth disease epizootic situation in the country mentioned. </t>
  </si>
  <si>
    <t>Live animals susceptible to FMD; genetic material (except for in  vivo collected material);  raw  meat  and  meat  products,  not  heat-treated;  milk  and  milk  products,  not heat-treated; wool, hair, bristles, trophies, raw intestines, hides and skins, not treated with the technology that ensures destruction of the virus (HS code(s): 0102; 0103; 010613; 0201; 0202; 0203; 0204; 0205; 0206; 0209; 0210; 04; 051110; 051199; 430180; 430190; 430390; 970529)</t>
  </si>
  <si>
    <t>0102 - Live bovine animals;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0103 - Live swine; 430390 - Articles of furskin (excl. articles of apparel, clothing accessories and goods of chapter 95, e.g. toys, games and sports equipment); 970529 - Collections and collectors’ pieces of zoological, botanical, mineralogical, anatomical or paleontological interest (excl. human specimens and parts thereof, and extinct or endangered species and parts thereof)</t>
  </si>
  <si>
    <d:r xmlns:d="http://schemas.openxmlformats.org/spreadsheetml/2006/main">
      <d:rPr>
        <d:sz val="11"/>
        <d:rFont val="Calibri"/>
      </d:rPr>
      <d:t xml:space="preserve">https://members.wto.org/crnattachments/2025/SPS/RUS/25_02101_00_x.pdf
https://fsvps.gov.ru/files/ukazanie-rosselhoznadzora-ot-11-marta-2025-goda-fs-arje-7-6450-3/
</d:t>
    </d:r>
  </si>
  <si>
    <t>Letter of the Federal Service for Veterinary and Phytosanitary Surveillance No. FS-ARe-7/3699-3 of 4 March 2021</t>
  </si>
  <si>
    <t>The Russian Federation notifies temporary restrictions on imports of live poultry, poultry products and birds eggs from Veneto, Lazio, Lombardy, Tuscany, Emilia-Romagna, Apulia and Piedmont regions of Italy due to the outbreaks of highly pathogenic avian influenza in the regions mentioned. </t>
  </si>
  <si>
    <t>Live poultry, poultry products, birds' eggs (HS Codes: 0105; 0106; 0207; 0407, 0408)</t>
  </si>
  <si>
    <t>0105 - Live poultry, "fowls of the species Gallus domesticus, ducks, geese, turkeys and guinea fowls"; 0106 - Live animals (excl. horses, asses, mules, hinnies, bovine animals, swine, sheep, goats, poultry, fish, crustaceans, molluscs and other aquatic invertebrates, and microorganic cultures etc.); 0207 - Meat and edible offal of fowls of the species Gallus domesticus, ducks, geese, turkeys and guinea fowls, fresh, chilled or frozen; 0407 - Birds' eggs, in shell, fresh, preserved or cooked; 0408 - Birds' eggs, not in shell, and egg yolks, fresh, dried, cooked by steaming or by boiling in water, moulded, frozen or otherwise preserved, whether or not containing added sugar or other sweetening matter; 0407 - Birds' eggs, in shell, fresh, preserved or cooked; 0106 - Live animals (excl. horses, asses, mules, hinnies, bovine animals, swine, sheep, goats, poultry, fish, crustaceans, molluscs and other aquatic invertebrates, and microorganic cultures etc.); 0408 - Birds' eggs, not in shell, and egg yolks, fresh, dried, cooked by steaming or by boiling in water, moulded, frozen or otherwise preserved, whether or not containing added sugar or other sweetening matter; 0105 - Live poultry, "fowls of the species Gallus domesticus, ducks, geese, turkeys and guinea fowls"; 0207 - Meat and edible offal of fowls of the species Gallus domesticus, ducks, geese, turkeys and guinea fowls, fresh, chilled or frozen</t>
  </si>
  <si>
    <t>Pest- or Disease- free Regions / Regionalization; Animal diseases; Zoonoses; Animal health; Avian Influenza; Modification of content/scope of regulation; Pest- or Disease- free Regions / Regionalization; Animal health; Animal diseases; Avian Influenza; Zoonoses</t>
  </si>
  <si>
    <d:r xmlns:d="http://schemas.openxmlformats.org/spreadsheetml/2006/main">
      <d:rPr>
        <d:sz val="11"/>
        <d:rFont val="Calibri"/>
      </d:rPr>
      <d:t xml:space="preserve">https://fsvps.gov.ru/files/ukazanie-rosselhoznadzora-ot-20-fevralja-2025-goda-fs-arje-7-6435-3/
https://fsvps.gov.ru/files/ukazanie-rosselhoznadzora-ot-24-nojabr-5/
https://fsvps.gov.ru/files/ukazanie-rosselhoznadzora-ot-22-marta-4/
https://fsvps.gov.ru/files/ukazanie-rosselhoznadzora-ot-22-nojabr/
https://fsvps.gov.ru/files/ukazanie-rosselhoznadzora-ot-21-dekabrja-2023-goda-fs-arje-7-5640-3/
</d:t>
    </d:r>
  </si>
  <si>
    <t>Letter of the Federal Service for Veterinary and Phytosanitary Surveillance No. FS-SA-7/10917 as of 7 April 2020</t>
  </si>
  <si>
    <t>The Russian Federation notifies temporary restrictions on imports of live poultry, poultry products and birds' eggs as well as the transit of live poultry from Heves and Pest regions of Hungary to the territory of the Russian Federation due to  deterioration of the epizootic situation with highly pathogenic avian influenza in the regions mentioned.</t>
  </si>
  <si>
    <t xml:space="preserve">Live poultry, bird eggs, meat and edible offal of poultry, machinery for preparing animal feeding stuffs, poultry incubators and brooders._x000D_
HS Codes: 0105; 0407, 0408; 0207;0208,0209,0210,0410 00 000 0,0504 00 000 0,0505,0511,1501,1506 00 000 0,1516 10,1518 00,1601 00,1602, 1603 00,1902 20,1904 20,products from group 20, from 2104, from 2106, 4206 00 000 0, 0106; 508 10 000 0,0106,9705 00 000 0; 9508 10 000 0,0106; 2102, 2309, 2936, 3504, 3507, 3808, 3824; 3923,3926,4415 4416 00 000 0, 4421, 7020 00, 7309 00, 7310, 7326, 7616, 8436 10 000 0, 8436 21 000 0, 8436 29 000 0, 8436 80 900 0, 8606 91 800 0, 8609 00, 8716 39 800;</t>
  </si>
  <si>
    <t>0105 - Live poultry, "fowls of the species Gallus domesticus, ducks, geese, turkeys and guinea fowls"; 2936 - Provitamins and vitamins, natural or reproduced by synthesis, incl. natural concentrates, derivatives thereof used primarily as vitamins, and intermixtures of the foregoing, whether or not in any solvent; 3504 - Peptones and their derivatives; other albuminous substances and their derivatives, n.e.s.; hide powder, whether or not chromed;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goldbeater's skin, bladders or tendons (excl. silkworm gut, sterile catgut, other sterile surgical suture material and strings for musical instruments); 4415 - Packing cases, boxes, crates, drums and similar packings, of wood; cable-drums of wood; pallets, box pallets and other load boards, of wood; pallet collars of wood (excl. containers specially designed and equipped for one or more modes of transport); 2309 - Preparations of a kind used in animal feeding; 441600 - Casks, barrels, vats, tubs and other coopers' products parts thereof, of wood, incl. staves; 702000 - Articles of glass,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843621 - Poultry incubators and brooders; 843629 - Poultry-keeping machinery (excl. machines for sorting or grading eggs, poultry pickers of heading 8438 and incubators and brooders); 8609 - Containers, incl. containers for the transport of fluids, specially designed and equipped for carriage by one or more modes of transport; 4421 - Other articles of wood, n.e.s.; 950810 - Travelling circuses and travelling menageries; 2106 - Food preparations, n.e.s.; 2102 - Yeasts, active or inactive; other dead single-cell micro-organisms, prepared baking powders (excl. single-cell micro-organisms packaged as medicaments); 0106 - Live animals (excl. horses, asses, mules, hinnies, bovine animals, swine, sheep, goats, poultry, fish, crustaceans, molluscs and other aquatic invertebrates, and microorganic cultures etc.);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041000 - Turtles' eggs, birds' nests and other edible products of animal origin, n.e.s.; 050400 - Guts, bladders and stomachs of animals (other than fish), whole and pieces thereof, fresh, chilled, frozen, salted, in brine, dried or smoked; 2104 - Soups and broths and preparations therefor; food preparations consisting of finely homogenized mixtures of two or more basic ingredients such as meat, fish, vegetables or fruit, put up for retail sale as infant food or for dietetic purposes, in containers of &lt;= 250 g;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151610 - Animal fats and oils and their fractions, partly or wholly hydrogenated, inter-esterified, re-esterified or elaidinized, whether or not refined, but not further prepared;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1602 - Prepared or preserved meat, offal or blood (excl. sausages and similar products, and meat extracts and juices); 160300 - Extracts and juices of meat, fish or crustaceans, molluscs and other aquatic invertebrates; 190220 - Pasta, stuffed with meat or other substances, whether or not cooked or otherwise prepared; 190420 - Prepared foods obtained from unroasted cereal flakes or from mixtures of unroasted cereal flakes and roasted cereal flakes or swelled cereals; 0511 - Animal products n.e.s.; dead animals of all types, unfit for human consumption; 970500 - Collections and collector's pieces of zoological, botanical, mineralogical, anatomical, historical, archaeological, palaeontological, ethnographic or numismatic interest; 843629 - Poultry-keeping machinery (excl. machines for sorting or grading eggs, poultry pickers of heading 8438 and incubators and brooders);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0407 - Birds' eggs, in shell, fresh, preserved or cooked; 3504 - Peptones and their derivatives; other albuminous substances and their derivatives, n.e.s.; hide powder, whether or not chromed; 4421 - Other articles of wood,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2106 - Food preparations, n.e.s.; 0511 - Animal products n.e.s.; dead animals of all types, unfit for human consumption;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151610 - Animal fats and oils and their fractions, partly or wholly hydrogenated, inter-esterified, re-esterified or elaidinized, whether or not refined, but not further prepared; 843621 - Poultry incubators and brooders; 2102 - Yeasts, active or inactive; other dead single-cell micro-organisms, prepared baking powders (excl. single-cell micro-organisms packaged as medicaments); 0105 - Live poultry, "fowls of the species Gallus domesticus, ducks, geese, turkeys and guinea fowls"; 4415 - Packing cases, boxes, crates, drums and similar packings, of wood; cable-drums of wood; pallets, box pallets and other load boards, of wood; pallet collars of wood (excl. containers specially designed and equipped for one or more modes of transport); 3808 - Insecticides, rodenticides, fungicides, herbicides, anti-sprouting products and plant-growth regulators, disinfectants and similar products, put up for retail sale or as preparations or articles, e.g. sulphur-treated bands, wicks and candles, and fly-papers; 2104 - Soups and broths and preparations therefor; food preparations consisting of finely homogenized mixtures of two or more basic ingredients such as meat, fish, vegetables or fruit, put up for retail sale as infant food or for dietetic purposes, in containers of &lt;= 250 g; 160300 - Extracts and juices of meat, fish or crustaceans, molluscs and other aquatic invertebrates;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0408 - Birds' eggs, not in shell, and egg yolks, fresh, dried, cooked by steaming or by boiling in water, moulded, frozen or otherwise preserved, whether or not containing added sugar or other sweetening matter; 4206 - Articles of gut, goldbeater's skin, bladders or tendons (excl. silkworm gut, sterile catgut, other sterile surgical suture material and strings for musical instruments);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0208 - Meat and edible offal of rabbits, hares, pigeons and other animals, fresh, chilled or frozen (excl. of bovine animals, swine, sheep, goats, horses, asses, mules, hinnies, poultry "fowls of the species Gallus domesticus", ducks, geese, turkeys and guinea fowls); 8609 - Containers, incl. containers for the transport of fluids, specially designed and equipped for carriage by one or more modes of transport</t>
  </si>
  <si>
    <t>Food safety (SPS); Animal health (SPS); Protect humans from animal/plant pest or disease (SPS)</t>
  </si>
  <si>
    <t>Modification of content/scope of regulation; Pest- or Disease- free Regions / Regionalization; Animal diseases; Zoonoses; Food safety; Animal health; Human health; Avian Influenza; Pest- or Disease- free Regions / Regionalization; Human health; Animal health; Zoonoses; Food safety; Animal diseases; Avian Influenza</t>
  </si>
  <si>
    <d:r xmlns:d="http://schemas.openxmlformats.org/spreadsheetml/2006/main">
      <d:rPr>
        <d:sz val="11"/>
        <d:rFont val="Calibri"/>
      </d:rPr>
      <d:t xml:space="preserve">https://members.wto.org/crnattachments/2025/SPS/RUS/25_01817_00_x.pdf
https://fsvps.gov.ru/files/ukazanie-rosselhoznadzora-ot-06-fevralja-2025-goda-fs-arje-7-6417-3/
</d:t>
    </d:r>
  </si>
  <si>
    <t xml:space="preserve">Draft amendments to the Technical Regulation of the Eurasian Economic Union «On safety of attractions» (TR EAEU 038/2016) in terms of the establishment of forms, schemes, and procedures for conformity assessment based on standard conformity assessment schemes_x000D_
</t>
  </si>
  <si>
    <t>- establishment of forms, schemes and procedures for conformity assessment based on standard conformity assessment schemes (the Decision of the Council of the Eurasian Economic Commission No. 44 (April 18, 2018));- bringing the provisions of TR EAEU 038/2016 in terms of conformity assessment in accodance with the provisions of the Protocol on Technical Regulation in the Eurasian Economic Union (Annex No. 9 to the Treaty on the Eurasian Economic Union of May 29, 2014);- clarification of individual provisions of TR EAEU 038/2016 in terms of conformity assessment based on the results of the practice of applying EAEU TR 038/2016.</t>
  </si>
  <si>
    <t>Attractions</t>
  </si>
  <si>
    <t>97.200 - Equipment for entertainment</t>
  </si>
  <si>
    <t>Draft amendments to the Technical Regulation of the Eurasian Economic Union «On safety of attractions» (TR EAEU 038/2016) regarding the establishment of forms, schemes, and procedures for conformity assessment based on standard conformity assessment schemes (the Decision of the Council of the Eurasian Economic Commission No. 44 (April 18, 2018)); https://regulation.eaeunion.org/pd/2971/The Technical Regulation of the Eurasian Economic Union «On safety of attractions» (TR EAEU 038/2016)http://www.eurasiancommission.org/ru/act/texnreg/deptexreg/tr/Pages/TR_EEU_038.aspx</t>
  </si>
  <si>
    <t>Letter of the Federal Service for Veterinary and Phytosanitary Surveillance as of 24 January 2025 No. FS-KS-7/1223</t>
  </si>
  <si>
    <t>This letter introduces temporary restrictions on imports of animals susceptible to infection with foot-and-mouth disease virus to the Russian Federation, as well as their transit through the territory of the Russian Federation, provided that these animals are shipped though the territory of Germany, due to the registration of foot-and-mouth disease outbreaks in the country mentioned. </t>
  </si>
  <si>
    <t>Animals susceptible to infection with foot-and-mouth disease virus (HS code(s): 0102; 0103; 010613)</t>
  </si>
  <si>
    <t>0102 - Live bovine animals; 0103 - Live swine; 010613 - Live camels and other camelids [Camelidae]</t>
  </si>
  <si>
    <d:r xmlns:d="http://schemas.openxmlformats.org/spreadsheetml/2006/main">
      <d:rPr>
        <d:sz val="11"/>
        <d:rFont val="Calibri"/>
      </d:rPr>
      <d:t xml:space="preserve">https://members.wto.org/crnattachments/2025/SPS/RUS/25_01297_00_x.pdf
https://fsvps.gov.ru/files/ukazanie-rosselhoznadzora-ot-24-janvarja-2025-goda-fs-ks-7-1223/</d:t>
    </d:r>
  </si>
  <si>
    <t>Letter by the Federal Service for Veterinary and Phytosanitary Surveillance No. FS-ARe-7/6399-3 of 29 January 2025</t>
  </si>
  <si>
    <t>The Federal Service for Veterinary and Phytosanitary Surveillance introduced a temporary restriction on import of live sheep and goats; products derived from sheep and goats to the Russian Federation, as well as on the transit of domestic sheep and goats through the territory of the Russian Federation from Hungary due to the outbreak of peste des petits ruminants (PPR).</t>
  </si>
  <si>
    <d:r xmlns:d="http://schemas.openxmlformats.org/spreadsheetml/2006/main">
      <d:rPr>
        <d:sz val="11"/>
        <d:rFont val="Calibri"/>
      </d:rPr>
      <d:t xml:space="preserve">https://members.wto.org/crnattachments/2025/SPS/RUS/25_01296_00_x.pdf
https://fsvps.gov.ru/files/ukazanie-rosselhoznadzora-ot-29-janvarja-2025-goda-fs-arje-7-6399-3/</d:t>
    </d:r>
  </si>
  <si>
    <t>Letter of the Federal Service for Veterinary and Phytosanitary Surveillance No. FS-ARe-7/6378-3 as of 15 January 2025 and previously issued letters (No. FS-ARe-7/6217-3 as of 15 October 2024; No. FS-ARe-7/6160-3 as of 19 September 2024)</t>
  </si>
  <si>
    <t>These letters introduce a temporary restriction on imports of products mentioned in point 3 as well as on the transit of cattle, small cattle and animals susceptible to bluetongue from Vorarlberg, Styria, Carinthia, Lower Austria, Upper Austria, Salzburg, Tyrol and Burgenland regions of Austria to the territory of the Russian Federation due to the registration of bluetongue disease outbreaks.</t>
  </si>
  <si>
    <t>Austria (Vorarlberg, Styria, Carinthia, Lower Austria, Upper Austria, Salzburg, Tyrol and Burgenland regions)</t>
  </si>
  <si>
    <d:r xmlns:d="http://schemas.openxmlformats.org/spreadsheetml/2006/main">
      <d:rPr>
        <d:sz val="11"/>
        <d:rFont val="Calibri"/>
      </d:rPr>
      <d:t xml:space="preserve">https://fsvps.gov.ru/files/ukazanie-rosselhoznadzora-ot-15-janvarja-2025-goda-fs-arje-7-6378-3/
https://fsvps.gov.ru/files/ukazanie-rosselhoznadzora-ot-15-oktjabrja-2024-goda-fs-arje-7-6217-3/
https://fsvps.gov.ru/files/ukazanie-rosselhoznadzora-ot-19-sentjabrja-2024-goda-fs-arje-7-6160-3/</d:t>
    </d:r>
  </si>
  <si>
    <t>In accordance with the recommendations of WOAH, the Federal Service for Veterinary and Phytosanitary Surveillance has suspended the certification of animals susceptible to foot-and-mouth disease and products derived thereof subject to veterinary control for import from the European Union to the Russian Federation, as well as the transit of the goods mentioned through the territory of the Russian Federation. </t>
  </si>
  <si>
    <t>European Union</t>
  </si>
  <si>
    <d:r xmlns:d="http://schemas.openxmlformats.org/spreadsheetml/2006/main">
      <d:rPr>
        <d:sz val="11"/>
        <d:rFont val="Calibri"/>
      </d:rPr>
      <d:t xml:space="preserve">https://members.wto.org/crnattachments/2025/SPS/RUS/25_00955_00_x.pdf
https://fsvps.gov.ru/files/ukazanie-rosselhoznadzora-ot-17-janvarja-2025-goda-fs-ks-7-675/</d:t>
    </d:r>
  </si>
  <si>
    <t>Letter of the Federal Service for the Veterinary and Phytosanitary Surveillance No. FS-ARe-7/6362-3 as of 27 December 2024</t>
  </si>
  <si>
    <t>The Federal Service for Veterinary and Phytosanitary Surveillance (Rosselkhoznadzor) introduced a temporary restriction on import of live swine, meat of swine and products containing pork from Sri Lanka due to the registration of outbreaks of African swine fever (ASF).</t>
  </si>
  <si>
    <t>Live swine, meat of swine, meat and edible meat offal, swine embryos and boar semen (HS code(s): 0103; 0203; 020630; 020910; 0210; of 0502; of 0511; 160100*; 1602*)*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 of Chapter 15.1 of the OIE Terrestrial Animal Health Code.</t>
  </si>
  <si>
    <t>0103 - Live swine; 0203 - Meat of swine, fresh, chilled or frozen; 020630 - Fresh or chilled edible offal of swine; 020910 - Pig fat, free of lean meat, not rendered or otherwise extracted, fresh, chilled, frozen, salted, in brine, dried or smoked; 0210 - Meat and edible offal, salted, in brine, dried or smoked; edible flours and meals of meat or meat offal; 0502 - Pigs', hogs' or boars' bristles and hair; badger hair and other brush making hair; waste of such bristles or hair; 0511 - Animal products n.e.s.; dead animals of all types, unfit for human consumption; 1601 - Sausages and similar products, of meat, meat offal, blood or insects; food preparations based on these products.; 1602 - Prepared or preserved meat, meat offal, blood or insects (excl. sausages and similar products, and meat extracts and juices)</t>
  </si>
  <si>
    <t>Animal health; Animal diseases; African swine fever (ASF)</t>
  </si>
  <si>
    <t>Sri Lanka</t>
  </si>
  <si>
    <d:r xmlns:d="http://schemas.openxmlformats.org/spreadsheetml/2006/main">
      <d:rPr>
        <d:sz val="11"/>
        <d:rFont val="Calibri"/>
      </d:rPr>
      <d:t xml:space="preserve">https://members.wto.org/crnattachments/2025/SPS/RUS/25_00794_00_x.pdf
https://fsvps.gov.ru/files/ukazanie-rosselhoznadzora-ot-27-dekabrja-2024-goda-fs-arje-7-6362-3/</d:t>
    </d:r>
  </si>
  <si>
    <t>Letter of the Federal Service for Veterinary and Phytosanitary Surveillance No. FS-ARe-7/6361-3 of 27 December 2024</t>
  </si>
  <si>
    <t>This letter introduces a temporary restriction on import of live poultry, poultry products, eggs, equipment for poultry, feed and feed additives for birds from New Zealand to the territory of the Russian Federation and on transit of live birds through the Russian territory due to the outbreak of highly pathogenic avian influenza in New Zealand.</t>
  </si>
  <si>
    <t>Live poultry, egg products, meat and edible offal of poultry, poultry meat products, incubation egg of poultry, Incubation egg (except poultry egg), live bird (except poultry), feed and feed additives for birds, equipment for the maintenance, slaughter and cutting of birds (HS code(s): 0105; 0207; 0208; 0209; 0210; 0407; 0408; 0410; 0504; 0505; 0511; 1506; 1510; 1516; 1518; 1601; 1602; 1603; 190220; 190420; 2102; 2104; 2106; 2309; 2936; 3504; 3507; 3808; 3824; 3923; 3926; 4206; 4415; 4416; 4421; 7020; 7309; 7310; 7326; 7616; 843610; 84362; 843680; 860691; 8609; 8716; 950810; 9705)</t>
  </si>
  <si>
    <t>0105 - Live poultry, "fowls of the species Gallus domesticus, ducks, geese, turkeys and guinea fowls";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(other than silk-worm gut), of goldbeater's skin, of bladders or of tendons.; 4415 - Packing cases, boxes, crates, drums and similar packings, of wood; cable-drums of wood; pallets, box pallets and other load boards, of wood; pallet collars of wood (excl. containers specially designed and equipped for one or more modes of transport); 4416 - Casks, barrels, vats, tubs and other coopers' products and parts thereof, of wood, including staves.; 4421 - Other articles of wood, n.e.s.; 3504 - Peptones and their derivatives; other protein substances and their derivatives, not elsewhere specified or included; hide powder, whether or not chromed.; 7020 - Other articles of glass.;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84362 - - Poultry-keeping machinery; poultry incubators and brooders:; 843680 - Agricultural, horticultural, forestry or bee-keeping machinery, n.e.s.; 860691 - Railway or tramway goods vans and wagons, covered and closed (excl. self-discharging goods vans and wagons and tank wagons and the like); 8609 - Containers (including containers for the transport of fluids) specially designed and equipped for carriage by one or more modes of transport.; 8716 - Trailers and semi-trailers; other vehicles, not mechanically propelled (excl. railway and tramway vehicles); parts thereof, n.e.s.; 7309 - Reservoirs, tanks, vats and similar containers for any material (other than compressed or liquefied gas), of iron or steel, of a capacity exceeding 300 l, whether or not lined or heat-insulated, but not fitted with mechanical or thermal equipment.; 2936 - Provitamins and vitamins, natural or reproduced by synthesis, incl. natural concentrates, derivatives thereof used primarily as vitamins, and intermixtures of the foregoing, whether or not in any solvent; 2309 - Preparations of a kind used in animal feeding; 2106 - Food preparations, n.e.s.;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0410 - Insects, turtles' eggs, birds' nests and other edible products of animal origin, n.e.s.;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0511 - Animal products n.e.s.; dead animals of all types, unfit for human consumption; 1506 - Other animal fats and oils and their fractions, whether or not refined, but not chemically modified.; 1510 - Other oils and their fractions, obtained solely from olives, whether or not refined, but not chemically modified, incl. blends of these oils or fractions with oils or fractions of heading 1509; 1516 - Animal, vegetable or microbial fats and oils and their fractions, partly or wholly hydrogenated, inter-esterified, re-esterified or elaidinised, whether or not refined, but not further prepared;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1601 - Sausages and similar products, of meat, meat offal, blood or insects; food preparations based on these products.; 1602 - Prepared or preserved meat, meat offal, blood or insects (excl. sausages and similar products, and meat extracts and juices); 1603 - Extracts and juices of meat, fish or crustaceans, molluscs or other aquatic invertebrates.; 190220 - Pasta, stuffed with meat or other substances, whether or not cooked or otherwise prepared; 190420 - Prepared foods obtained from unroasted cereal flakes or from mixtures of unroasted cereal flakes and roasted cereal flakes or swelled cereals; 2102 - Yeasts, active or inactive; other dead single-cell micro-organisms, prepared baking powders (excl. single-cell micro-organisms packaged as medicaments); 2104 - Soups and broths and preparations therefor; food preparations consisting of finely homogenised mixtures of two or more basic ingredients such as meat, fish, vegetables or fruit, put up for retail sale as infant food or for dietetic purposes, in containers of &lt;= 250 g; 950810 - Travelling circuses and travelling menageries; 9705 - Collections and collector's pieces of zoological, botanical, mineralogical, anatomical, historical, archaeological, palaeontological, ethnographic or numismatic interest</t>
  </si>
  <si>
    <t>Animal health; Animal diseases; Zoonoses; Avian Influenza</t>
  </si>
  <si>
    <t>New Zealand</t>
  </si>
  <si>
    <d:r xmlns:d="http://schemas.openxmlformats.org/spreadsheetml/2006/main">
      <d:rPr>
        <d:sz val="11"/>
        <d:rFont val="Calibri"/>
      </d:rPr>
      <d:t xml:space="preserve">https://members.wto.org/crnattachments/2025/SPS/RUS/25_00793_00_x.pdf
https://fsvps.gov.ru/files/ukazanie-rosselhoznadzora-ot-27-dekabrja-2024-goda-fs-arje-7-6361-3/</d:t>
    </d:r>
  </si>
  <si>
    <t>Russian Federal Service for Veterinary and Phytosanitary Surveillance has restricted the imports of certain animals susceptible to foot-and-mouth disease and products derived thereof due to the foot-and-mouth disease situation deterioration in order to prevent the introduction of foot-and-mouth disease virus to the territory of the Russian Federation.</t>
  </si>
  <si>
    <t>0103 - Live swine; 430390 - Articles of furskin (excl. articles of apparel, clothing accessories and goods of chapter 95, e.g. toys, games and sports equipment); 430190 - Heads, tails, paws and other pieces or cuttings of furskins suitable for use in furriery; 430180 - Raw furskins, whole, with or without heads, tails or paws (excl. those of mink, lamb - Astrachan, Caracul, Persian, Broadtail and similar, and Indian, Chinese, Mongolian or Tibetan - and fox); 2309 - Preparations of a kind used in animal feeding; 051199 - Products of animal origin, n.e.s., dead animals, unfit for human consumption (excl. fish, crustaceans, molluscs or other aquatic invertebrates); 051110 - Bovine semen; 04 - DAIRY PRODUCE; BIRDS' EGGS; NATURAL HONEY; EDIBLE PRODUCTS OF ANIMAL ORIGIN, NOT ELSEWHERE SPECIFIED OR INCLUDED; 0210 - Meat and edible offal, salted, in brine, dried or smoked; edible flours and meals of meat or meat offal; 0209 - Pig fat, free of lean meat, and poultry fat, not rendered or otherwise extracted, fresh, chilled, frozen, salted, in brine, dried or smoked; 0206 - Edible offal of bovine animals, swine, sheep, goats, horses, asses, mules or hinnies, fresh, chilled or frozen; 0205 - Meat of horses, asses, mules or hinnies, fresh, chilled or frozen.; 0204 - Meat of sheep or goats, fresh, chilled or frozen; 0203 - Meat of swine, fresh, chilled or frozen; 0202 - Meat of bovine animals, frozen; 0201 - Meat of bovine animals, fresh or chilled; 010613 - Live camels and other camelids [Camelidae]; 0102 - Live bovine animals; 843680 - Agricultural, horticultural, forestry or bee-keeping machinery, n.e.s.; 970529 - Collections and collectors’ pieces of zoological, botanical, mineralogical, anatomical or paleontological interest (excl. human specimens and parts thereof, and extinct or endangered species and parts thereof)</t>
  </si>
  <si>
    <t>Germany</t>
  </si>
  <si>
    <d:r xmlns:d="http://schemas.openxmlformats.org/spreadsheetml/2006/main">
      <d:rPr>
        <d:sz val="11"/>
        <d:rFont val="Calibri"/>
      </d:rPr>
      <d:t xml:space="preserve">https://members.wto.org/crnattachments/2025/SPS/RUS/25_00750_00_x.pdf
https://fsvps.gov.ru/wp-content/uploads/2025/01/ТУ.-ВО-по-ящуру-в-Германии-1.pdf</d:t>
    </d:r>
  </si>
  <si>
    <t>Letters of the Federal Service for Veterinary and Phytosanitary Surveillance No. FS-ARe-7/6246 as of 31 October 2020 and No. FS-ARe-7/6276-3 as of 19 November 2024</t>
  </si>
  <si>
    <t>The Russian Federation notifies temporary restrictions on imports of live poultry, poultry products and birds' eggs as well as the transit of live poultry from Hajdú–Bihar, Fejér and Baranya regions of Hungary to the territory of the Russian Federation due to  deterioration of the epizootic situation with highly pathogenic avian influenza in the regions mentioned. </t>
  </si>
  <si>
    <t>Pest- or Disease- free Regions / Regionalization; Animal diseases; Zoonoses; Food safety; Animal health; Human health; Avian Influenza; Modification of content/scope of regulation; Pest- or Disease- free Regions / Regionalization; Human health; Animal health; Zoonoses; Food safety; Animal diseases; Avian Influenza</t>
  </si>
  <si>
    <d:r xmlns:d="http://schemas.openxmlformats.org/spreadsheetml/2006/main">
      <d:rPr>
        <d:sz val="11"/>
        <d:rFont val="Calibri"/>
      </d:rPr>
      <d:t xml:space="preserve">https://members.wto.org/crnattachments/2024/SPS/RUS/24_08109_00_x.pdf
https://members.wto.org/crnattachments/2024/SPS/RUS/24_08109_01_x.pdf
https://fsvps.gov.ru/files/ukazanie-rosselhoznadzora-ot-31-oktjabrja-2024-goda-fs-arje-7-6246-3/
https://fsvps.gov.ru/files/ukazanie-rosselhoznadzora-ot-19-nojabrja-2024-goda-fs-arje-7-6276-3/</d:t>
    </d:r>
  </si>
  <si>
    <t>Letter of the Federal Service for Veterinary and Phytosanitary Surveillance No. FS-ARe-7/6247-3 of 31 October 2024, and previously issued letters (No. FS-YUSH-7/10727 of 18 April 2022, No. FS-ARe-7/4986-3 of 9 February 2023, No. FS-ARe-7/5590-3 of 24 November 2023, No. FS-ARe-7/5712-3 of 13 February 2024, No. FS-ARe-7/5888-3 of 23 May 2024)</t>
  </si>
  <si>
    <t>The Russian Federation notifies temporary restriction on imports of life poultry, poultry products and birds' eggs from Nitra region of the Slovak Republic due to deterioration of the epizootic situation with highly pathogenic avian influenza in accordance with the letter of the Federal Service for Veterinary and Phytosanitary Surveillance No. FS-ARe-7/6247-3 of 31 October 2024, as well as the amendments made with respect to the enterprises of Bratislava and Trnava regions in accordance with the letters previously issued.</t>
  </si>
  <si>
    <t>0105 - Live poultry, "fowls of the species Gallus domesticus, ducks, geese, turkeys and guinea fowls"; 0106 - Live animals (excl. horses, asses, mules, hinnies, bovine animals, swine, sheep, goats, poultry, fish, crustaceans, molluscs and other aquatic invertebrates, and microorganic cultures etc.); 0207 - Meat and edible offal of fowls of the species Gallus domesticus, ducks, geese, turkeys and guinea fowls, fresh, chilled or frozen; 0407 - Birds' eggs, in shell, fresh, preserved or cooked; 0408 - Birds' eggs, not in shell, and egg yolks, fresh, dried, cooked by steaming or by boiling in water, moulded, frozen or otherwise preserved, whether or not containing added sugar or other sweetening matter; 0408 - Birds' eggs, not in shell, and egg yolks, fresh, dried, cooked by steaming or by boiling in water, moulded, frozen or otherwise preserved, whether or not containing added sugar or other sweetening matter; 0105 - Live poultry, "fowls of the species Gallus domesticus, ducks, geese, turkeys and guinea fowls"; 0106 - Live animals (excl. horses, asses, mules, hinnies, bovine animals, swine, sheep, goats, poultry, fish, crustaceans, molluscs and other aquatic invertebrates, and microorganic cultures etc.); 0207 - Meat and edible offal of fowls of the species Gallus domesticus, ducks, geese, turkeys and guinea fowls, fresh, chilled or frozen; 0407 - Birds' eggs, in shell, fresh, preserved or cooked</t>
  </si>
  <si>
    <t>Animal diseases; Zoonoses; Animal health; Avian Influenza; Modification of content/scope of regulation; Animal health; Zoonoses; Animal diseases; Avian Influenza</t>
  </si>
  <si>
    <d:r xmlns:d="http://schemas.openxmlformats.org/spreadsheetml/2006/main">
      <d:rPr>
        <d:sz val="11"/>
        <d:rFont val="Calibri"/>
      </d:rPr>
      <d:t xml:space="preserve">https://fsvps.gov.ru/files/ukazanie-rosselhoznadzora-ot-31-oktjabrja-2024-goda-fs-arje-7-6247-3/
https://fsvps.gov.ru/files/ukazanie-rosselhoznadzora-ot-18-aprel/
https://fsvps.gov.ru/files/ukazanie-rosselhoznadzora-ot-9-fevralja-2023-goda-fs-arje-7-4986-3-4/
https://fsvps.gov.ru/files/ukazanie-rosselhoznadzora-ot-24-nojabrja-2023-goda-fs-arje-7-5590-3/
https://fsvps.gov.ru/files/ukazanie-rosselhoznadzora-ot-13-fevralja-2024-goda-fs-arje-7-5712-3/
https://fsvps.gov.ru/files/ukazanie-rosselhoznadzora-ot-23-maja-2024-goda-fs-arje-7-5888-3/</d:t>
    </d:r>
  </si>
  <si>
    <t>Letter of the Federal Service for Veterinary and Phytosanitary Surveillance No. FS-ARe-7/6251-3 as of 31 October 2024</t>
  </si>
  <si>
    <t>This letter introduces a temporary restriction on imports of products mentioned in point 3 as well as the transit of cattle, small cattle and animals susceptible to bluetongue from Liechtenstein to the territory of the Russian Federation due to the registration of bluetongue disease outbreaks.</t>
  </si>
  <si>
    <t>Liechtenstein</t>
  </si>
  <si>
    <d:r xmlns:d="http://schemas.openxmlformats.org/spreadsheetml/2006/main">
      <d:rPr>
        <d:sz val="11"/>
        <d:rFont val="Calibri"/>
      </d:rPr>
      <d:t xml:space="preserve">https://members.wto.org/crnattachments/2024/SPS/RUS/24_07540_00_x.pdf
https://fsvps.gov.ru/files/ukazanie-rosselhoznadzora-ot-31-oktjabrja-2024-goda-fs-arje-7-6251-3/</d:t>
    </d:r>
  </si>
  <si>
    <t>Letter of the Federal Service for Veterinary and Phytosanitary Supervision No. FS-ARe-7/6253-3 as of 2 November 2024</t>
  </si>
  <si>
    <t>This letter introduces a temporary restriction on imports of the goods listed below due to the outbreak of sheep pox and goat pox on the territory of Greece. This measure applies to: - live sheep and goats; - products made of sheep and goats meat; - milk and milk products; - feed of animal origin and other raw materials and products, obtained from sheep and goats slaughter; - equipment previously used for maintenance, slaughter and processing of sheep and goats.The letter also introduces a temporary restriction on transit of live sheep and goats from Greece through the territoty of the Russian Federation. </t>
  </si>
  <si>
    <t>Greece</t>
  </si>
  <si>
    <d:r xmlns:d="http://schemas.openxmlformats.org/spreadsheetml/2006/main">
      <d:rPr>
        <d:sz val="11"/>
        <d:rFont val="Calibri"/>
      </d:rPr>
      <d:t xml:space="preserve">https://members.wto.org/crnattachments/2024/SPS/RUS/24_07533_00_x.pdf
https://fsvps.gov.ru/files/ukazanie-rosselhoznadzora-ot-2-nojabrja-2024-goda-fs-arje-7-6253-3/</d:t>
    </d:r>
  </si>
  <si>
    <t>Letter of the Federal Service for Veterinary and Phytosanitary Surveillance No. FS-ARe-7/6162-3 of 23 September 2024</t>
  </si>
  <si>
    <t>The Federal Service for Veterinary and Phytosanitary Surveillance introduced a temporary restriction on imports of live animals susceptible to lumpy skin disease, products and raw hides derived from such animals, as well as used equipment for maintenance and transportation of these animals from Hong Kong, China to the territory of the Russian Federation, and the transit of cattle and animals susceptible to lumpy skin disease through the Russian territory due to the outbreak of lumpy skin disease in Hong Kong, China.</t>
  </si>
  <si>
    <t>Hong Kong, China</t>
  </si>
  <si>
    <d:r xmlns:d="http://schemas.openxmlformats.org/spreadsheetml/2006/main">
      <d:rPr>
        <d:sz val="11"/>
        <d:rFont val="Calibri"/>
      </d:rPr>
      <d:t xml:space="preserve">https://members.wto.org/crnattachments/2024/SPS/RUS/24_06886_00_x.pdf
https://fsvps.gov.ru/files/ukazanie-rosselhoznadzora-ot-23-sentjabrja-2024-goda-fs-arje-7-6162-3/</d:t>
    </d:r>
  </si>
  <si>
    <t>Draft Decision amending Section 3 of the Chapter II of the Common sanitary-epidemiological and hygienic requirements for products subject to sanitary-epidemiological supervision (control); (1+1 page(s), in Russian)</t>
  </si>
  <si>
    <t>Decision updates Section 3 of the Chapter II of the Common sanitary-epidemiological and hygienic requirements for products subject to sanitary-epidemiological control which regulates the requirements for materials, reagents, equipment for water treatment and water purification.</t>
  </si>
  <si>
    <t>Materials, reagents, equipment for water treatment and water purification</t>
  </si>
  <si>
    <t>13.060 - Water quality</t>
  </si>
  <si>
    <d:r xmlns:d="http://schemas.openxmlformats.org/spreadsheetml/2006/main">
      <d:rPr>
        <d:sz val="11"/>
        <d:rFont val="Calibri"/>
      </d:rPr>
      <d:t xml:space="preserve">https://docs.eaeunion.org/ria/ru-ru/0106992/ria_11102024</d:t>
    </d:r>
  </si>
  <si>
    <t>Draft Decision amending Section 3 of the Chapter II of the Common sanitary-epidemiological and hygienic requirements for products subject to sanitary-epidemiological supervision (control); (1+1 page(s), in Russian) </t>
  </si>
  <si>
    <t>Letter of the Federal Service for Veterinary and Phytosanitary Surveillance No. FS-ARe-7/6164-3 as of 27 September 2024</t>
  </si>
  <si>
    <t>This letter introduces a temporary restriction on imports of products mentioned in point 3 as well as the transit of cattle, small cattle and animals susceptible to bluetongue from Liguria, Emilia-Romagna, Piedmont and Lombardy regions of Italy to the territory of the Russian Federation due to the registration of bluetongue disease outbreaks.</t>
  </si>
  <si>
    <t>Cattle; small cattle; wild, zoo and circus animals susceptible to bluetongue, camels and other members of the camel family - llamas, alpacas, vicunas; sperm of bulls, sheep and goat-producers; in vitro cattle and small cattle embryos (HS code(s): 0102; 0104; 0106; 051199)</t>
  </si>
  <si>
    <t>Animal health; Animal diseases; Pest- or Disease- free Regions / Regionalization; Bluetongue</t>
  </si>
  <si>
    <t>Italy (Liguria, Emilia-Romagna, Piedmont, Lombardy regions)</t>
  </si>
  <si>
    <d:r xmlns:d="http://schemas.openxmlformats.org/spreadsheetml/2006/main">
      <d:rPr>
        <d:sz val="11"/>
        <d:rFont val="Calibri"/>
      </d:rPr>
      <d:t xml:space="preserve">https://members.wto.org/crnattachments/2024/SPS/RUS/24_06824_00_x.pdf
https://fsvps.gov.ru/files/ukazanie-rosselhoznadzora-ot-27-sentjabrja-2024-goda-fs-arje-7-6164-3/</d:t>
    </d:r>
  </si>
  <si>
    <t>Draft Decision of the Council of the Eurasian Economic Commission on Amendments to the Common Quarantine Phytosanitary Requirements for Quarantinable Products and Quarantinable Objects at the Customs Border and in the Customs Territory of the EAEU</t>
  </si>
  <si>
    <t>The draft amends the Common Quarantine Phytosanitary Requirements for Quarantinable Products and Quarantinable Objects at the Customs Border and in the Customs Territory of the EAEU and establishes quarantine phytosanitary requirements for seedlings, rootstocks, cuttings and fruits of apple and pear trees with regard to the pathogen of strawberry anthracnose disease (Colletotrichum acutatum), as well as editorial changes aimed at improving the Common Quarantine Phytosanitary Requirements.</t>
  </si>
  <si>
    <t>Goods (products) subject to phytosanitary control</t>
  </si>
  <si>
    <t>Plant health; Pests</t>
  </si>
  <si>
    <d:r xmlns:d="http://schemas.openxmlformats.org/spreadsheetml/2006/main">
      <d:rPr>
        <d:sz val="11"/>
        <d:rFont val="Calibri"/>
      </d:rPr>
      <d:t xml:space="preserve">https://members.wto.org/crnattachments/2024/SPS/RUS/24_06815_00_x.pdf
https://members.wto.org/crnattachments/2024/SPS/RUS/24_06815_01_x.pdf
https://docs.eaeunion.org/ria/ru-ru/0106930/ria_17092024</d:t>
    </d:r>
  </si>
  <si>
    <t>Eurasian Economic Commission Collegium Draft Decision on amendments to the Section 19 of the Chapter II of the Common sanitary-epidemiological and hygienic requirements for products subject to sanitary-epidemiological supervision (control)</t>
  </si>
  <si>
    <t>The draft provides for the updating of the Section 19 of the Chapter II of the Common sanitary-epidemiological and hygienic requirements for products subject to sanitary-epidemiological supervision (control) which regulates the requirements for chemical and petrochemical industrial products</t>
  </si>
  <si>
    <t>Chemical and petrochemical industrial products</t>
  </si>
  <si>
    <t>71.100 - Products of the chemical industry</t>
  </si>
  <si>
    <t>https://docs.eaeunion.org/ria/ru-ru/0106966/ria_03102024</t>
  </si>
  <si>
    <t>Letter of the Federal Service for Veterinary and Phytosanitary Surveillance No. FS-ARe-7/6161-3 of 19 September 2024</t>
  </si>
  <si>
    <t>This letter introduces a temporary restriction on import of live poultry, poultry products, eggs, equipment for poultry, feed and feed additives for birds from Central Bohemian region of the Czech Republic to the territory of the Russian Federation and on transit of live birds through the Russian territory due to the outbreak of highly pathogenic avian influenza in the region mentioned.</t>
  </si>
  <si>
    <t>Czech Republic (Central Bohemian region)</t>
  </si>
  <si>
    <d:r xmlns:d="http://schemas.openxmlformats.org/spreadsheetml/2006/main">
      <d:rPr>
        <d:sz val="11"/>
        <d:rFont val="Calibri"/>
      </d:rPr>
      <d:t xml:space="preserve">https://members.wto.org/crnattachments/2024/SPS/RUS/24_06266_00_x.pdf
https://fsvps.gov.ru/files/ukazanie-rosselhoznadzora-ot-19-sentjabrja-2024-goda-fs-arje-7-6161-3/</d:t>
    </d:r>
  </si>
  <si>
    <t>Letter of the Federal Service for Veterinary and Phytosanitary Surveillance No. FS-ARe-7/6150-3 as of 16 September 2024</t>
  </si>
  <si>
    <t>This letter introduces a temporary restriction on imports of products mentioned in point 3 as well as the transit of cattle, small cattle and animals susceptible to bluetongue from Greece to the territory of the Russian Federation due to the registration of bluetongue disease outbreaks.</t>
  </si>
  <si>
    <d:r xmlns:d="http://schemas.openxmlformats.org/spreadsheetml/2006/main">
      <d:rPr>
        <d:sz val="11"/>
        <d:rFont val="Calibri"/>
      </d:rPr>
      <d:t xml:space="preserve">https://members.wto.org/crnattachments/2024/SPS/RUS/24_06225_00_x.pdf
https://fsvps.gov.ru/files/ukazanie-rosselhoznadzora-ot-16-sentjabrja-2024-goda-fs-arje-7-6150-3/</d:t>
    </d:r>
  </si>
  <si>
    <t>Letter of the Federal Service for Veterinary and Phytosanitary Surveillance No. FS-ARe-7/6158-3 as of 19 September 2024</t>
  </si>
  <si>
    <t>This letter introduces a temporary restriction on imports of products mentioned in point 3 as well as the transit of cattle, small cattle and animals susceptible to bluetongue from Sweden to the territory of the Russian Federation due to the registration of bluetongue disease outbreaks.</t>
  </si>
  <si>
    <t>Bluetongue; Animal diseases; Animal health; Pest- or Disease- free Regions / Regionalization</t>
  </si>
  <si>
    <t>Sweden</t>
  </si>
  <si>
    <d:r xmlns:d="http://schemas.openxmlformats.org/spreadsheetml/2006/main">
      <d:rPr>
        <d:sz val="11"/>
        <d:rFont val="Calibri"/>
      </d:rPr>
      <d:t xml:space="preserve">https://members.wto.org/crnattachments/2024/SPS/RUS/24_06226_00_x.pdf
https://fsvps.gov.ru/files/ukazanie-rosselhoznadzora-ot-19-sentjabrja-2024-goda-fs-arje-7-6158-3/</d:t>
    </d:r>
  </si>
  <si>
    <t>Letter of the Federal Service for Veterinary and Phytosanitary Surveillance No. FS-ARe-7/6145-3 as of 10 September 2024</t>
  </si>
  <si>
    <t>This letter introduces a temporary restriction on imports of products mentioned in point 3 as well as the transit of cattle, small cattle and animals susceptible to bluetongue from Norway to the territory of the Russian Federation due to the registration of bluetongue disease outbreaks.</t>
  </si>
  <si>
    <t>Norway</t>
  </si>
  <si>
    <d:r xmlns:d="http://schemas.openxmlformats.org/spreadsheetml/2006/main">
      <d:rPr>
        <d:sz val="11"/>
        <d:rFont val="Calibri"/>
      </d:rPr>
      <d:t xml:space="preserve">https://members.wto.org/crnattachments/2024/SPS/RUS/24_05970_00_x.pdf
https://fsvps.gov.ru/files/ukazanie-rosselhoznadzora-ot-10-sentjabrja-2024-goda-fs-arje-7-6145-3/</d:t>
    </d:r>
  </si>
  <si>
    <t>Letter by the Federal Service for Veterinary and Phytosanitary Surveillance No. FS-ARe-7/6144-3 of 9 September 2024</t>
  </si>
  <si>
    <t>The Federal Service for Veterinary and Phytosanitary Surveillance (Rosselkhoznadzor) introduced a temporary restriction on import and transportation through the territory of the Russian Federation of live sheep and goats; products produced from meat of sheep and goats from Gabon due to the outbreak of peste des petits ruminants (PPR).</t>
  </si>
  <si>
    <t>Live sheep and goats; products derived from meat of sheep and goats; milk and milk products; feed of animal origin and other raw materials and products obtained from sheep and goats slaughter with exception of production subject to the use of technologies providing destruction of PPR in accordance with the provisions of Chapter 14.7 of the WOAH Terrestrial Animal Health Code (HS code(s): 0104; 0106; 0204; 0206; 0210; 0401; 0402; 0403; 0404; 0405; 0406; 0506; 0507; 051199; 1502; 1503; 1505; 1506; 151610; 1518; 1601; 1602; 1603; 190220)</t>
  </si>
  <si>
    <t>Animal health; Animal diseases; Zoonoses</t>
  </si>
  <si>
    <t>Gabon</t>
  </si>
  <si>
    <d:r xmlns:d="http://schemas.openxmlformats.org/spreadsheetml/2006/main">
      <d:rPr>
        <d:sz val="11"/>
        <d:rFont val="Calibri"/>
      </d:rPr>
      <d:t xml:space="preserve">https://members.wto.org/crnattachments/2024/SPS/RUS/24_05938_00_x.pdf
https://fsvps.gov.ru/files/ukazanie-rosselhoznadzora-ot-9-sentjabrja-2024-goda-fs-arje-7-6144-3/</d:t>
    </d:r>
  </si>
  <si>
    <t>Letter of the Federal Service for Veterinary and Phytosanitary Surveillance No. FS-ARe-7/6128-3 as of 5 September 2024</t>
  </si>
  <si>
    <t>This letter introduces a temporary restriction on imports of products mentioned in point 3 as well as the transit of cattle, small cattle and animals susceptible to bluetongue from Switzerland to the territory of the Russian Federation due to the registration of bluetongue disease outbreaks.</t>
  </si>
  <si>
    <t>Switzerland</t>
  </si>
  <si>
    <d:r xmlns:d="http://schemas.openxmlformats.org/spreadsheetml/2006/main">
      <d:rPr>
        <d:sz val="11"/>
        <d:rFont val="Calibri"/>
      </d:rPr>
      <d:t xml:space="preserve">https://members.wto.org/crnattachments/2024/SPS/RUS/24_05836_00_x.pdf
https://fsvps.gov.ru/files/ukazanie-rosselhoznadzora-ot-05-sentjabrja-2024-goda-fs-arje-7-6128-3/</d:t>
    </d:r>
  </si>
  <si>
    <t>Letter of the Federal Service for Veterinary and Phytosanitary Surveillance No. FS-ARe-7/6080-3 as of 14 August 2024</t>
  </si>
  <si>
    <t>This letter introduces a temporary restriction on imports of products mentioned in point 3 as well as the transit of cattle, small cattle and animals susceptible to bluetongue from Denmark to the territory of the Russian Federation due to the registration of bluetongue disease outbreaks.</t>
  </si>
  <si>
    <t>Animal diseases; Animal health; Bluetongue; Pest- or Disease- free Regions / Regionalization</t>
  </si>
  <si>
    <t>Denmark</t>
  </si>
  <si>
    <d:r xmlns:d="http://schemas.openxmlformats.org/spreadsheetml/2006/main">
      <d:rPr>
        <d:sz val="11"/>
        <d:rFont val="Calibri"/>
      </d:rPr>
      <d:t xml:space="preserve">https://members.wto.org/crnattachments/2024/SPS/RUS/24_05758_00_x.pdf
https://fsvps.gov.ru/files/ukazanie-rosselhoznadzora-ot-14-avgusta-2024-goda-fs-arje-7-6080-3/</d:t>
    </d:r>
  </si>
  <si>
    <t>Letter by the Federal Service for Veterinary and Phytosanitary Surveillance No. FS-ARe-7/6052-3 of 30 July 2024</t>
  </si>
  <si>
    <t>The Federal Service for Veterinary and Phytosanitary Surveillance (Rosselkhoznadzor) introduced a temporary restriction on import and transportation through the territory of the Russian Federation of live sheep and goats; products produced from meat of sheep and goats from Romania due to the outbreak of ovine rinderpest.</t>
  </si>
  <si>
    <t>Live sheep and goats; products produced from meat of sheep and goats; milk and milk products; feed of animal origin and other raw materials and products obtained from sheep and goats slaughter with exception of production subject to the use of technologies providing destruction of PPR in accordance with the provisions of Chapter 14.7 of the OIE Terrestrial Animal Health Code (HS code(s): 0104; 0106; 0204; 0206; 0210; 0401; 0402; 0403; 0404; 0405; 0406; 0506; 0507; 051199; 1502; 1503; 1505; 1506; 151610; 1518; 1601; 1602; 1603; 190220)</t>
  </si>
  <si>
    <d:r xmlns:d="http://schemas.openxmlformats.org/spreadsheetml/2006/main">
      <d:rPr>
        <d:sz val="11"/>
        <d:rFont val="Calibri"/>
      </d:rPr>
      <d:t xml:space="preserve">https://members.wto.org/crnattachments/2024/SPS/RUS/24_04936_00_x.pdf
https://fsvps.gov.ru/files/ukazanie-rosselhoznadzora-ot-30-ijulja-2024-goda-fs-arje-7-6052-3/</d:t>
    </d:r>
  </si>
  <si>
    <t>Letter of the Federal Service for Veterinary and Phytosanitary Surveillance No. FS-USh-7/14952 of 24 July 2024</t>
  </si>
  <si>
    <t>This letter introduces a temporary restriction on import of live poultry, poultry products, eggs, equipment for poultry, feed and feed additives for birds from the Unites States of America to the territory of the Russian Federation and on transit of the products mentioned through the Russian territory due to the outbreak of highly pathogenic avian influenza in the Unites States of America.</t>
  </si>
  <si>
    <t>0105 - Live poultry, "fowls of the species Gallus domesticus, ducks, geese, turkeys and guinea fowls"; 3504 - Peptones and their derivatives; other protein substances and their derivatives, not elsewhere specified or included; hide powder, whether or not chromed.;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(other than silk-worm gut), of goldbeater's skin, of bladders or of tendons.; 4415 - Packing cases, boxes, crates, drums and similar packings, of wood; cable-drums of wood; pallets, box pallets and other load boards, of wood; pallet collars of wood (excl. containers specially designed and equipped for one or more modes of transport); 4416 - Casks, barrels, vats, tubs and other coopers' products and parts thereof, of wood, including staves.; 2936 - Provitamins and vitamins, natural or reproduced by synthesis, incl. natural concentrates, derivatives thereof used primarily as vitamins, and intermixtures of the foregoing, whether or not in any solvent; 4421 - Other articles of wood, n.e.s.; 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84362 - - Poultry-keeping machinery; poultry incubators and brooders:; 843680 - Agricultural, horticultural, forestry or bee-keeping machinery, n.e.s.; 860691 - Railway or tramway goods vans and wagons, covered and closed (excl. self-discharging goods vans and wagons and tank wagons and the like); 8609 - Containers (including containers for the transport of fluids) specially designed and equipped for carriage by one or more modes of transport.; 7020 - Other articles of glass.; 8716 - Trailers and semi-trailers; other vehicles, not mechanically propelled (excl. railway and tramway vehicles); parts thereof, n.e.s.; 2309 - Preparations of a kind used in animal feeding; 2104 - Soups and broths and preparations therefor; food preparations consisting of finely homogenised mixtures of two or more basic ingredients such as meat, fish, vegetables or fruit, put up for retail sale as infant food or for dietetic purposes, in containers of &lt;= 250 g;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0410 - Insects, turtles' eggs, birds' nests and other edible products of animal origin, n.e.s.;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2106 - Food preparations, n.e.s.; 0511 - Animal products n.e.s.; dead animals of all types, unfit for human consumption; 1510 - Other oils and their fractions, obtained solely from olives, whether or not refined, but not chemically modified, incl. blends of these oils or fractions with oils or fractions of heading 1509; 1516 - Animal, vegetable or microbial fats and oils and their fractions, partly or wholly hydrogenated, inter-esterified, re-esterified or elaidinised, whether or not refined, but not further prepared;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1601 - Sausages and similar products, of meat, meat offal, blood or insects; food preparations based on these products.; 1602 - Prepared or preserved meat, meat offal, blood or insects (excl. sausages and similar products, and meat extracts and juices); 1603 - Extracts and juices of meat, fish or crustaceans, molluscs or other aquatic invertebrates.; 190220 - Pasta, stuffed with meat or other substances, whether or not cooked or otherwise prepared; 190420 - Prepared foods obtained from unroasted cereal flakes or from mixtures of unroasted cereal flakes and roasted cereal flakes or swelled cereals; 2102 - Yeasts, active or inactive; other dead single-cell micro-organisms, prepared baking powders (excl. single-cell micro-organisms packaged as medicaments); 1506 - Other animal fats and oils and their fractions, whether or not refined, but not chemically modified.; 950810 - Travelling circuses and travelling menageries; 9705 - Collections and collector's pieces of zoological, botanical, mineralogical, anatomical, historical, archaeological, palaeontological, ethnographic or numismatic interest</t>
  </si>
  <si>
    <t>Animal health; Animal diseases; Avian Influenza; Zoonoses</t>
  </si>
  <si>
    <t>United States of America</t>
  </si>
  <si>
    <d:r xmlns:d="http://schemas.openxmlformats.org/spreadsheetml/2006/main">
      <d:rPr>
        <d:sz val="11"/>
        <d:rFont val="Calibri"/>
      </d:rPr>
      <d:t xml:space="preserve">https://members.wto.org/crnattachments/2024/SPS/RUS/24_04870_00_x.pdf
https://fsvps.gov.ru/files/ukazanie-rosselhoznadzora-ot-24-ijulja-2024-goda-fs-jush-7-14952/</d:t>
    </d:r>
  </si>
  <si>
    <t>Economic Commission Collegium Draft Decision on amendments to the Section 14 of the Chapter II of the Common sanitary-epidemiological and hygienic requirements for products subject to sanitary-epidemiological supervision (control)</t>
  </si>
  <si>
    <t>The draft provides for the updating of the Section 14 of the Chapter II of the Common sanitary-epidemiological and hygienic requirements for products subject to sanitary-epidemiological supervision (control) which regulates the requirements for individual protection equipment.</t>
  </si>
  <si>
    <t>Protection equipment</t>
  </si>
  <si>
    <t>13.340.99 - Other protective equipment</t>
  </si>
  <si>
    <t>Eurasian Economic Commission Collegium Draft Decision on amendments to the Section 14 of the Chapter II of the Common sanitary-epidemiological and hygienic requirements for products subject to sanitary-epidemiological supervision (control)http://docs.eaeunion.org</t>
  </si>
  <si>
    <t>Letter by the Federal Service for Veterinary and Phytosanitary Surveillance No. FS-ARe-7/6028-3 of 17 July 2024</t>
  </si>
  <si>
    <t>The Federal Service for Veterinary and Phytosanitary Surveillance (Rosselkhoznadzor) introduced a temporary restriction on import and transportation through the territory of the Russian Federation of live sheep and goats; products produced from meat of sheep and goats from Greece due to the outbreak of ovine rinderpest.</t>
  </si>
  <si>
    <t>0104 - Live sheep and goats; 1602 - Prepared or preserved meat, meat offal, blood or insects (excl. sausages and similar products, and meat extracts and juices); 1601 - Sausages and similar products, of meat, meat offal, blood or insects; food preparations based on these products.;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151610 - Animal fats and oils and their fractions, partly or wholly hydrogenated, inter-esterified, re-esterified or elaidinised, whether or not refined, but not further prepared; 1506 - Other animal fats and oils and their fractions, whether or not refined, but not chemically modified.; 1505 - Wool grease and fatty substances derived therefrom (including lanolin).; 1503 - Lard stearin, lard oil, oleostearin, oleo-oil and tallow oil, not emulsified or mixed or otherwise prepared.; 1502 - Fats of bovine animals, sheep or goats (excl. oil and oleostearin); 0507 - Ivory, tortoiseshell, whalebone and whalebone hair, horns, antlers, hooves, nails, claws and beaks, unworked or simply prepared; powder and waste of these products (excl. cut to shape); 1603 - Extracts and juices of meat, fish or crustaceans, molluscs or other aquatic invertebrates.; 0506 - Bones and horn-cores and their powder and waste, unworked, defatted, simply prepared, treated with acid or degelatinised (excl. cut to shape); 0405 - Butter, incl. dehydrated butter and ghee, and other fats and oils derived from milk; dairy spreads; 0404 - Whey, whether or not concentrated or containing added sugar or other sweetening matter; products consisting of natural milk constituents, whether or not containing added sugar or other sweetening matter, n.e.s.; 0403 - 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 0402 - Milk and cream, concentrated or containing added sugar or other sweetening matter; 0401 - Milk and cream, not concentrated nor containing added sugar or other sweetening matter; 0210 - Meat and edible offal, salted, in brine, dried or smoked; edible flours and meals of meat or meat offal; 0206 - Edible offal of bovine animals, swine, sheep, goats, horses, asses, mules or hinnies, fresh, chilled or frozen; 0204 - Meat of sheep or goats, fresh, chilled or frozen; 0106 - Live animals (excl. horses, asses, mules, hinnies, bovine animals, swine, sheep, goats, poultry, fish, crustaceans, molluscs and other aquatic invertebrates, and microorganic cultures etc.); 0406 - Cheese and curd; 190220 - Pasta, stuffed with meat or other substances, whether or not cooked or otherwise prepared; 051199 - Products of animal origin, n.e.s., dead animals, unfit for human consumption (excl. fish, crustaceans, molluscs or other aquatic invertebrates)</t>
  </si>
  <si>
    <d:r xmlns:d="http://schemas.openxmlformats.org/spreadsheetml/2006/main">
      <d:rPr>
        <d:sz val="11"/>
        <d:rFont val="Calibri"/>
      </d:rPr>
      <d:t xml:space="preserve">https://members.wto.org/crnattachments/2024/SPS/RUS/24_04830_00_x.pdf
https://fsvps.gov.ru/files/ukazanie-rosselhoznadzora-ot-17-ijulja-2024-goda-fs-arje-7-6028-3/</d:t>
    </d:r>
  </si>
  <si>
    <t>Draft amendments to the Rules for Marketing Authorization and Assessment of Medicinal Products for Human Use  http://docs.eaeunion.org/ria/ru-ru/0106768/ria_26062024</t>
  </si>
  <si>
    <t>The draft Decision envisages updating the text of the Marketing Authorization and Assessment of Medicinal Products for Human Use, taking into account the experience of their enforcement, improving the classification of changes to the registration dossier of a medicinal product, detailing the requirements and number of documents submitted by the applicant as part of the amendment procedure; optimizing administrative procedures related to this procedure</t>
  </si>
  <si>
    <t>Medical products</t>
  </si>
  <si>
    <t>Draft amendments to the Rules for Marketing Authorization and Assessment of Medicinal Products for Human Use http://docs.eaeunion.org/ria/ru-ru/0106768/ria_26062024Decision of the Council of the Eurasian Economic Commission № 78 of November 3, 2016 https://docs.eaeunion.org/docs/ru-ru/01411969/cncd_21112016_78</t>
  </si>
  <si>
    <t>Draft amendments to the Requirements for the Medication Guide and Summary of Product Characteristics of Medicinal Products for Human Use  https://docs.eaeunion.orq/ria/ru-ru/0106779/ria_04072024</t>
  </si>
  <si>
    <t>The draft Decision provides for updating the text of the Requirements for the Medication Guide and Summary of Product Characteristics of Medicinal Products for Human Use taking into account the low enforcement practice of the Requirements concerning: - optimization of user's testing of the medication guide of medicinal products for human use, - updating templates for filling out the medication guide and summary of product characteristics of medicinal products for human use.</t>
  </si>
  <si>
    <t>Draft amendments to the Requirements for the Medication Guide and Summary of Product Characteristics of Medicinal Products for Human Use https://docs.eaeunion.org/ria/ru-ru/0106779/ria_04072024Decision of the Council of the Eurasian Economic Commission №88 of November 3, 2016 http://docs.eaeunion.org/docsu-ru/01411951/cncd_21112016_88</t>
  </si>
  <si>
    <t>Draft Decision of the Council of the Eurasian Economic Commission on Amendments to the Regulation on the Unified Procedure for Joint Inspections of Facilities and Sampling of Goods (Products) Subject to Veterinary Control (Supervision)</t>
  </si>
  <si>
    <t>The draft provides for amendments to the actions of the inspectors conducting veterinary inspections of third countries establishments. It also authorizes competent authorities to exclude enterprises that have not supplied the goods (products) under control to the customs territory of the Eurasian Economic Union for five years from the Registry of Establishments authorized to export to the the Eurasian Economic Union. The draft also specifies the conditions under which exports of the goods (products) under control from a third-country enterprise are subject to suspension. As well, the draft determines the procedure for the initiator of a joint verification (inspection) of third-country enterprises with respect to the suspension of exports from the enterprises that refuse to carry out verification (inspection) though being selected for it.</t>
  </si>
  <si>
    <t>Food safety (SPS); Animal health (SPS)</t>
  </si>
  <si>
    <t>Human health; Animal health; Food safety; Animal diseases</t>
  </si>
  <si>
    <d:r xmlns:d="http://schemas.openxmlformats.org/spreadsheetml/2006/main">
      <d:rPr>
        <d:sz val="11"/>
        <d:rFont val="Calibri"/>
      </d:rPr>
      <d:t xml:space="preserve">https://members.wto.org/crnattachments/2024/SPS/RUS/24_04524_00_x.pdf
https://members.wto.org/crnattachments/2024/SPS/RUS/24_04524_01_x.pdf
https://docs.eaeunion.org/ria/ru-ru/0106784/ria_05072024</d:t>
    </d:r>
  </si>
  <si>
    <t>Draft Decision of the Council of the Eurasian Economic Commission on the Rules for regulation of the circulation of feed additives within the customs territory of the Eurasian Economic Union</t>
  </si>
  <si>
    <t xml:space="preserve">The draft provides for the approval of the Rules for regulation of the circulation of feed additives within the customs territory of the Eurasian Economic Union (hereinafter - the Union), which include:_x000D_
- common rules for regulation of the circulation of feed additives;_x000D_
- a common procedure for the registration of feed additives, as well as other procedures related to registration;_x000D_
- a common assessment procedure with respect to the quality, safety and efficiency of feed additives, as well as criteria for their assessment;_x000D_
- common principles of information exchange while organizing and conducting state control (supervision) in the field of feed additives circulation;_x000D_
- common registration forms;_x000D_
- a common register of feed additives inscribed under unified Union rules;_x000D_
- a common information database on low-quality, unsafe feed additives, falsified and (or) counterfeit feed additives detected under state control (supervision) with respect to feed additives circulation;_x000D_
- a common database on animals’ adverse reaction on feed additives;_x000D_
- a common register of producers of feed additives, the production of which is recognized to comply with the Union’s unified requirements.</t>
  </si>
  <si>
    <t>Feed additives</t>
  </si>
  <si>
    <d:r xmlns:d="http://schemas.openxmlformats.org/spreadsheetml/2006/main">
      <d:rPr>
        <d:sz val="11"/>
        <d:rFont val="Calibri"/>
      </d:rPr>
      <d:t xml:space="preserve">https://docs.eaeunion.org/ria/ru-ru/0106708/ria_07062024</d:t>
    </d:r>
  </si>
  <si>
    <t>Draft Decision of the Council of the Eurasian Economic Commission on the Rules for regulation of the circulation of feed additives within the customs territory of the Eurasian Economic Union</t>
  </si>
  <si>
    <t>The draft provides for the approval of the Rules for regulation of the circulation of feed additives within the customs territory of the Eurasian Economic Union (hereinafter - the Union), which include:- common rules for regulation of the circulation of feed additives;- a common procedure for the registration of feed additives, as well as other procedures related to registration;- a common assessment procedure with respect to the quality, safety and efficiency of feed additives, as well as criteria for their assessment;- common principles of information exchange while organizing and conducting state control (supervision) in the field of feed additives circulation;- common registration forms;- a common register of feed additives inscribed under unified Union rules;- a common information database on low-quality, unsafe feed additives, falsified and (or) counterfeit feed additives detected under state control (supervision) with respect to  feed additives circulation;- a common database on animals’ adverse reaction on feed additives;- a common register of producers of feed additives, the production of which is recognized to comply with the Union’s unified requirements.</t>
  </si>
  <si>
    <t>2309 - Preparations of a kind used in animal feeding</t>
  </si>
  <si>
    <t>65.120 - Animal feeding stuffs</t>
  </si>
  <si>
    <t>Economic Commission Collegium Draft Decision on amendments to the Section 10 of the Chapter II of the Common sanitary-epidemiological and hygienic requirements for products subject to sanitary-epidemiological supervision (control)</t>
  </si>
  <si>
    <t>The draft amendments to the Section 10 of the Chapter II of the Common sanitary-epidemiological and hygienic requirements for products subject to sanitary-epidemiological supervision (control) approved by the Decision of the Commission of the Customs Union dated 28 May, 2010 No. 299 provides for the updating the safety requirements for materials for products (products) in contact with human skin, clothing, footwear.</t>
  </si>
  <si>
    <t>Materials for products (products) in contact with human skin, clothing, footwear</t>
  </si>
  <si>
    <t>61.020 - Clothes; 61.060 - Footwear</t>
  </si>
  <si>
    <t>Letter of the Federal Service for Veterinary and Phytosanitary Surveillance No. FS-ARe-7/5900-3 as of 28 May 2024</t>
  </si>
  <si>
    <t>This letter introduces a temporary restriction on import of live poultry, poultry products, eggs, equipment for poultry, feed and feed additives for birds from Australia to the territory of the Russian Federation and on transit of live poultry through the Russian territory due to the outbreak of highly pathogenic avian influenza in Australia.</t>
  </si>
  <si>
    <t>Live poultry, egg products, meat and edible offal of poultry, poultry meat products, incubation egg of poultry, Incubation egg (except poultry egg), live bird (except poultry), feed and feed additives for birds, equipment for the maintenance, slaughter and cutting of birds (HS code(s): 0105; 0207; 0208; 0209; 0210; 0407; 0408; 0410; 0504; 0505; 0511; 1506; 1510; 1516; 1518; 1601; 1602; 1603; 190220; 190420; 2102; 2104; 2106; 2309; 2936; 3504; 3507; 3808; 3824; 3923; 3926; 4206; 4415; 4416; 4421; 7020; 7309; 7310; 7326; 7616; 843610; 84362; 843680; 860691; 8609; 8716; 950810; 9705)</t>
  </si>
  <si>
    <t>0105 - Live poultry, "fowls of the species Gallus domesticus, ducks, geese, turkeys and guinea fowls"; 2936 - Provitamins and vitamins, natural or reproduced by synthesis, incl. natural concentrates, derivatives thereof used primarily as vitamins, and intermixtures of the foregoing, whether or not in any solvent; 3504 - Peptones and their derivatives; other protein substances and their derivatives, not elsewhere specified or included; hide powder, whether or not chromed.;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(other than silk-worm gut), of goldbeater's skin, of bladders or of tendons.; 2309 - Preparations of a kind used in animal feeding; 4415 - Packing cases, boxes, crates, drums and similar packings, of wood; cable-drums of wood; pallets, box pallets and other load boards, of wood; pallet collars of wood (excl. containers specially designed and equipped for one or more modes of transport); 4421 - Other articles of wood, n.e.s.; 7020 - Other articles of glass.; 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4416 - Casks, barrels, vats, tubs and other coopers' products and parts thereof, of wood, including staves.; 2106 - Food preparations, n.e.s.; 2104 - Soups and broths and preparations therefor; food preparations consisting of finely homogenised mixtures of two or more basic ingredients such as meat, fish, vegetables or fruit, put up for retail sale as infant food or for dietetic purposes, in containers of &lt;= 250 g; 2102 - Yeasts, active or inactive; other dead single-cell micro-organisms, prepared baking powders (excl. single-cell micro-organisms packaged as medicaments);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0410 - Insects, turtles' eggs, birds' nests and other edible products of animal origin, n.e.s.;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0511 - Animal products n.e.s.; dead animals of all types, unfit for human consumption; 1506 - Other animal fats and oils and their fractions, whether or not refined, but not chemically modified.; 1510 - Other oils and their fractions, obtained solely from olives, whether or not refined, but not chemically modified, incl. blends of these oils or fractions with oils or fractions of heading 1509; 1516 - Animal, vegetable or microbial fats and oils and their fractions, partly or wholly hydrogenated, inter-esterified, re-esterified or elaidinised, whether or not refined, but not further prepared; 1518 -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1601 - Sausages and similar products, of meat, meat offal, blood or insects; food preparations based on these products.; 1602 - Prepared or preserved meat, meat offal, blood or insects (excl. sausages and similar products, and meat extracts and juices); 1603 - Extracts and juices of meat, fish or crustaceans, molluscs or other aquatic invertebrates.; 8609 - Containers (including containers for the transport of fluids) specially designed and equipped for carriage by one or more modes of transport.; 8716 - Trailers and semi-trailers; other vehicles, not mechanically propelled (excl. railway and tramway vehicles); parts thereof, n.e.s.; 950810 - Travelling circuses and travelling menageries; 9705 - Collections and collector's pieces of zoological, botanical, mineralogical, anatomical, historical, archaeological, palaeontological, ethnographic or numismatic interest; 190420 - Prepared foods obtained from unroasted cereal flakes or from mixtures of unroasted cereal flakes and roasted cereal flakes or swelled cereals;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84362 - - Poultry-keeping machinery; poultry incubators and brooders:; 843680 - Agricultural, horticultural, forestry or bee-keeping machinery, n.e.s.; 860691 - Railway or tramway goods vans and wagons, covered and closed (excl. self-discharging goods vans and wagons and tank wagons and the like)</t>
  </si>
  <si>
    <t>Australia</t>
  </si>
  <si>
    <d:r xmlns:d="http://schemas.openxmlformats.org/spreadsheetml/2006/main">
      <d:rPr>
        <d:sz val="11"/>
        <d:rFont val="Calibri"/>
      </d:rPr>
      <d:t xml:space="preserve">https://members.wto.org/crnattachments/2024/SPS/RUS/24_03505_00_x.pdf
https://fsvps.gov.ru/files/ukazanie-rosselhoznadzora-ot-28-maja-2024-goda-fs-arje-7-5900-3/</d:t>
    </d:r>
  </si>
  <si>
    <t>The Draft Amendments to the Decision of the Council of the Eurasian Economic Commission №. 83 of November 3, 2016https://docs.eaeunion.org/ria/ru-ru/0106666/ria_14052024</t>
  </si>
  <si>
    <t>The draft amendment to the Decision of the Council of the Eurasian Economic Commission №. 83 of November 3, 2016 envisages the establishment of uniform approaches to the procedures for conducting pharmaceutical inspections of research organizations (testing centers, testing laboratories) for compliance with the requirements of the Rules of Good Laboratory Practice of the Eurasian Economic Union in circulation of medicines.</t>
  </si>
  <si>
    <t>Medicinal products</t>
  </si>
  <si>
    <t>The Draft Amendments to the Decision of the Council of the Eurasian Economic Commission No. 83 of November 3, 2016 http s://docs.eaeunion .org /ria /ru-ru/0106666 /ria_14052024 Decision of the Board of the Eurasian Economic Commission No. 83 of November 3, 2016 https://docs.eaeunion.org /docs/ru-ru/01411936/cncd _21112016_83</t>
  </si>
  <si>
    <t>Draft Decision of the Collegium of the Eurasian Economic Commission on Amendments to the Regulation on Common veterinary (sanitary and veterinary) requirements for goods subject to veterinary control (surveillance)</t>
  </si>
  <si>
    <t>The draft introduces amendments in terms of investing in member States of the Eurasian Economic Union powers to agree and initial veterinary certificates in electronic form via e-mail. The amendments also allow the member States to determine the date of entry of such certificates into force. The amendments cover the forms of veterinary certificates that differ from the Unified forms of veterinary certificates for goods subject to veterinary control (supervision) imported into the customs territory of the Union, approved by the Decision of the Commission of the Customs Union No. 607 of 7 April 2011.</t>
  </si>
  <si>
    <d:r xmlns:d="http://schemas.openxmlformats.org/spreadsheetml/2006/main">
      <d:rPr>
        <d:sz val="11"/>
        <d:rFont val="Calibri"/>
      </d:rPr>
      <d:t xml:space="preserve">https://members.wto.org/crnattachments/2024/SPS/RUS/24_02711_00_x.pdf
https://members.wto.org/crnattachments/2024/SPS/RUS/24_02711_01_x.pdf
https://docs.eaeunion.org/ria/ru-ru/0106527/ria_18032024</d:t>
    </d:r>
  </si>
  <si>
    <t>Draft Decision of the Council of the Eurasian Economic Commission on Amendments to the Common Quarantine Phytosanitary Requirements for Quarantine Products and Quarantine Objects at the Customs Border and in the Customs Territory of the EAEU</t>
  </si>
  <si>
    <t>The draft provides for amendments to the Common Quarantine Phytosanitary Requirements for Quarantine Products and Quarantine Objects at the Customs Border and in the Customs Territory of the EAEU in terms of establishment of quarantine phytosanitary requirements in relation to new host plant species of the pathogen of bacterial wilt of grapes (Pierce's disease, Xylella fastidiosa), requirements for cutting thuja (Thuja) and yew (Taxus) branches (plants), requirements for packaging material, used when transporting the regulated products within the customs territory of the Union, exemptions for potato seeds with regard to Tomato spotted wilt virus, as well as certain editorial amendments.</t>
  </si>
  <si>
    <t>Plant protection (SPS); Protect territory from other damage from pests (SPS)</t>
  </si>
  <si>
    <t>Plant health; Territory protection</t>
  </si>
  <si>
    <d:r xmlns:d="http://schemas.openxmlformats.org/spreadsheetml/2006/main">
      <d:rPr>
        <d:sz val="11"/>
        <d:rFont val="Calibri"/>
      </d:rPr>
      <d:t xml:space="preserve">https://members.wto.org/crnattachments/2024/SPS/RUS/24_02710_00_x.pdf
https://members.wto.org/crnattachments/2024/SPS/RUS/24_02710_01_x.pdf
https://docs.eaeunion.org/ria/ru-ru/0106592/ria_04042024</d:t>
    </d:r>
  </si>
  <si>
    <t>Letter of the Federal Service for Veterinary and Phytosanitary Surveillance No. FS-ARe-7/5839-3 as of 16 April 2024</t>
  </si>
  <si>
    <t>The Russian Federation lifted temporary restrictions on imports of birds' eggs from seven enterprises of the Hajdú-Bihar county of Hungary on 16 April 2024.</t>
  </si>
  <si>
    <t>0106 - Live animals (excl. horses, asses, mules, hinnies, bovine animals, swine, sheep, goats, poultry, fish, crustaceans, molluscs and other aquatic invertebrates, and microorganic cultures etc.); 2936 - Provitamins and vitamins, natural or reproduced by synthesis, incl. natural concentrates, derivatives thereof used primarily as vitamins, and intermixtures of the foregoing, whether or not in any solvent; 3504 - Peptones and their derivatives; other albuminous substances and their derivatives, n.e.s.; hide powder, whether or not chromed;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4206 - Articles of gut, goldbeater's skin, bladders or tendons (excl. silkworm gut, sterile catgut, other sterile surgical suture material and strings for musical instruments); 4415 - Packing cases, boxes, crates, drums and similar packings, of wood; cable-drums of wood; pallets, box pallets and other load boards, of wood; pallet collars of wood (excl. containers specially designed and equipped for one or more modes of transport); 2309 - Preparations of a kind used in animal feeding; 441600 - Casks, barrels, vats, tubs and other coopers' products parts thereof, of wood, incl. staves; 702000 - Articles of glass,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843621 - Poultry incubators and brooders; 843629 - Poultry-keeping machinery (excl. machines for sorting or grading eggs, poultry pickers of heading 8438 and incubators and brooders); 8609 - Containers, incl. containers for the transport of fluids, specially designed and equipped for carriage by one or more modes of transport; 4421 - Other articles of wood, n.e.s.; 950810 - Travelling circuses and travelling menageries; 2106 - Food preparations, n.e.s.; 2102 - Yeasts, active or inactive; other dead single-cell micro-organisms, prepared baking powders (excl. single-cell micro-organisms packaged as medicaments); 0105 - Live poultry, "fowls of the species Gallus domesticus, ducks, geese, turkeys and guinea fowls";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041000 - Turtles' eggs, birds' nests and other edible products of animal origin, n.e.s.; 050400 - Guts, bladders and stomachs of animals (other than fish), whole and pieces thereof, fresh, chilled, frozen, salted, in brine, dried or smoked; 2104 - Soups and broths and preparations therefor; food preparations consisting of finely homogenized mixtures of two or more basic ingredients such as meat, fish, vegetables or fruit, put up for retail sale as infant food or for dietetic purposes, in containers of &lt;= 250 g;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151610 - Animal fats and oils and their fractions, partly or wholly hydrogenated, inter-esterified, re-esterified or elaidinized, whether or not refined, but not further prepared;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1602 - Prepared or preserved meat, offal or blood (excl. sausages and similar products, and meat extracts and juices); 160300 - Extracts and juices of meat, fish or crustaceans, molluscs and other aquatic invertebrates; 190220 - Pasta, stuffed with meat or other substances, whether or not cooked or otherwise prepared; 190420 - Prepared foods obtained from unroasted cereal flakes or from mixtures of unroasted cereal flakes and roasted cereal flakes or swelled cereals; 0511 - Animal products n.e.s.; dead animals of all types, unfit for human consumption; 970500 - Collections and collector's pieces of zoological, botanical, mineralogical, anatomical, historical, archaeological, palaeontological, ethnographic or numismatic interest; 843629 - Poultry-keeping machinery (excl. machines for sorting or grading eggs, poultry pickers of heading 8438 and incubators and brooders);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0407 - Birds' eggs, in shell, fresh, preserved or cooked; 3504 - Peptones and their derivatives; other albuminous substances and their derivatives, n.e.s.; hide powder, whether or not chromed; 4421 - Other articles of wood,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2106 - Food preparations, n.e.s.; 0511 - Animal products n.e.s.; dead animals of all types, unfit for human consumption;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151610 - Animal fats and oils and their fractions, partly or wholly hydrogenated, inter-esterified, re-esterified or elaidinized, whether or not refined, but not further prepared; 843621 - Poultry incubators and brooders; 2102 - Yeasts, active or inactive; other dead single-cell micro-organisms, prepared baking powders (excl. single-cell micro-organisms packaged as medicaments); 0105 - Live poultry, "fowls of the species Gallus domesticus, ducks, geese, turkeys and guinea fowls"; 4415 - Packing cases, boxes, crates, drums and similar packings, of wood; cable-drums of wood; pallets, box pallets and other load boards, of wood; pallet collars of wood (excl. containers specially designed and equipped for one or more modes of transport); 3808 - Insecticides, rodenticides, fungicides, herbicides, anti-sprouting products and plant-growth regulators, disinfectants and similar products, put up for retail sale or as preparations or articles, e.g. sulphur-treated bands, wicks and candles, and fly-papers; 2104 - Soups and broths and preparations therefor; food preparations consisting of finely homogenized mixtures of two or more basic ingredients such as meat, fish, vegetables or fruit, put up for retail sale as infant food or for dietetic purposes, in containers of &lt;= 250 g; 160300 - Extracts and juices of meat, fish or crustaceans, molluscs and other aquatic invertebrates;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0408 - Birds' eggs, not in shell, and egg yolks, fresh, dried, cooked by steaming or by boiling in water, moulded, frozen or otherwise preserved, whether or not containing added sugar or other sweetening matter; 4206 - Articles of gut, goldbeater's skin, bladders or tendons (excl. silkworm gut, sterile catgut, other sterile surgical suture material and strings for musical instruments);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0208 - Meat and edible offal of rabbits, hares, pigeons and other animals, fresh, chilled or frozen (excl. of bovine animals, swine, sheep, goats, horses, asses, mules, hinnies, poultry "fowls of the species Gallus domesticus", ducks, geese, turkeys and guinea fowls); 8609 - Containers, incl. containers for the transport of fluids, specially designed and equipped for carriage by one or more modes of transport</t>
  </si>
  <si>
    <d:r xmlns:d="http://schemas.openxmlformats.org/spreadsheetml/2006/main">
      <d:rPr>
        <d:sz val="11"/>
        <d:rFont val="Calibri"/>
      </d:rPr>
      <d:t xml:space="preserve">https://members.wto.org/crnattachments/2024/SPS/RUS/24_02709_00_x.pdf
https://fsvps.gov.ru/files/ukazanie-rosselhoznadzora-ot-16-aprelja-2024-goda-fs-arje-7-5839-3/</d:t>
    </d:r>
  </si>
  <si>
    <t>Draft Decision of the Council of the Eurasian Economic Commission "On Amendments to the Requirements for Labeling of Medicinal Products for Human Use and Veterinary Medicines" (8 pages in Russian)https://docs.eaeunion.org/ria/ru-ru/0106574/ria_29032024</t>
  </si>
  <si>
    <t>Updating the text of the Requirements for labeling medicinal products for human use and veterinary medicines, taking into account the experience of their enforcement in terms of variants of specifying the expiration date on the internal packaging of medicinal products</t>
  </si>
  <si>
    <t>3004 (Medicinal products)</t>
  </si>
  <si>
    <t>3004 - Medicaments consisting of mixed or unmixed products for therapeutic or prophylactic uses, put up in measured doses "incl. those for transdermal administration" or in forms or packings for retail sale (excl. goods of heading 3002, 3005 or 3006)</t>
  </si>
  <si>
    <t>Labelling</t>
  </si>
  <si>
    <t>Draft Decision of the Council of the Eurasian Economic Commission "On Amendments to the Requirements for Labeling of Medicinal Products for Human Use and Veterinary Medicines" (8 pages in Russian)https://docs.eaeunion.org/ria/ru-ru/0106574/ria_29032024Decision of the Council of the Eurasian Economic Commission of November 3, 2016 No. 76 "On Approval of Requirements for Labeling of Medicinal Products for Human Use and Veterinary Medicines"https://docs.eaeunion.orq/docs/ru-ru/01411918/cncd_21112016_76</t>
  </si>
  <si>
    <t>Letter of the Federal Service for the Veterinary and Phytosanitary Surveillance No. FS-ARe-7/5812-5 as of 28 March 2024</t>
  </si>
  <si>
    <t>The Federal Service for Veterinary and Phytosanitary Surveillance (Rosselkhoznadzor) introduced a temporary restriction on import of live swine, meat of swine and products containing pork from Angola due to the registration of outbreaks of ASF.</t>
  </si>
  <si>
    <t>0103 - Live swine; 0203 - Meat of swine, fresh, chilled or frozen; 020630 - Fresh or chilled edible offal of swine; 020910 - Pig fat, free of lean meat, not rendered or otherwise extracted, fresh, chilled, frozen, salted, in brine, dried or smoked; 0210 - Meat and edible offal, salted, in brine, dried or smoked; edible flours and meals of meat or meat offal; 0502 - Pigs', hogs' or boars' bristles and hair; badger hair and other brush making hair; waste of such bristles or hair; 0511 - Animal products n.e.s.; dead animals of all types, unfit for human consumption; 1602 - Prepared or preserved meat, meat offal, blood or insects (excl. sausages and similar products, and meat extracts and juices); 1601 - Sausages and similar products, of meat, meat offal, blood or insects; food preparations based on these products.</t>
  </si>
  <si>
    <t>Angola</t>
  </si>
  <si>
    <d:r xmlns:d="http://schemas.openxmlformats.org/spreadsheetml/2006/main">
      <d:rPr>
        <d:sz val="11"/>
        <d:rFont val="Calibri"/>
      </d:rPr>
      <d:t xml:space="preserve">https://members.wto.org/crnattachments/2024/SPS/RUS/24_02433_00_x.pdf
https://fsvps.gov.ru/files/ukazanie-rosselhoznadzora-ot-28-marta-2024-goda-fs-arje-7-5812-3/</d:t>
    </d:r>
  </si>
  <si>
    <t>Draft Decision of the Collegium of the Eurasian Economic Commission on Amendments to the Regulation on Common veterinary (sanitary and veterinary) requirements for goods subject to veterinary control (surveillance) and Draft Decision of the Collegium of the Eurasian Economic Commission on Amendments to the Decision of the Commission of the Customs Union No. 607 of 7 April 2011</t>
  </si>
  <si>
    <t>The drafts define veterinary and sanitary requirements for albumin, albuminates and other derivatives of albumin, as well as for casein, caseinates and other derivatives of casein, casein glues.</t>
  </si>
  <si>
    <t>3502 - Albumins, incl. concentrates of two or more whey proteins containing by weight &gt; 80% whey proteins, calculated on the dry matter, albuminates and other albumin derivatives; 3501 - Casein, caseinates and other casein derivatives; casein glues (excl. those packaged as glue for retail sale and weighing net &lt;= 1 kg)</t>
  </si>
  <si>
    <d:r xmlns:d="http://schemas.openxmlformats.org/spreadsheetml/2006/main">
      <d:rPr>
        <d:sz val="11"/>
        <d:rFont val="Calibri"/>
      </d:rPr>
      <d:t xml:space="preserve">https://members.wto.org/crnattachments/2024/SPS/RUS/24_02162_00_x.pdf
https://members.wto.org/crnattachments/2024/SPS/RUS/24_02162_01_x.pdf
https://members.wto.org/crnattachments/2024/SPS/RUS/24_02162_02_x.pdf
https://members.wto.org/crnattachments/2024/SPS/RUS/24_02162_03_x.pdf
https://docs.eaeunion.org/ria/ru-ru/0106532/ria_21032024 
https://docs.eaeunion.org/ria/ru-ru/0106536/ria_21032024</d:t>
    </d:r>
  </si>
  <si>
    <t>Draft amendments to the Rules for Investigation of Biological Medicinal Products in the Eurasian Economic Union </t>
  </si>
  <si>
    <t>The draft amendments to the Rules for Investigation of Biological Medicinal Products in the Eurasian Economic Union provide for the elimination of differences in the requirements for pharmaceutical development, planning and conducting studies of the safety and quality of medicines based on human somatic cells and medicines containing genetically modified cells by establishing uniform, objective and transparent rules for research of these groups of medicines.</t>
  </si>
  <si>
    <t>Draft amendments on the Rules for Investigation of Biological Medicinal Products of the Eurasian Economic Union (140 pages in Russian)https://docs.eaeunion.org/ria/ru-ru/0106437/ria_09022024Decision № 89 of the Council of the Eurasian Economic Commission of November 3, 2016https://docs.eaeunion.org/docs/ru-ru/01411954/chcd_21112016_89</t>
  </si>
  <si>
    <t>Draft Amendments to the Technical Regulation of the Eurasian Economic Union «Poultry Meat and Poultry Processed Products» (hereafter – EAEU ТR 051/2021).</t>
  </si>
  <si>
    <t>The draft amendments envisage the following: - correction of the names of subjects of technical regulation in the EAEU TR 051/2021;- expanding the EAEU TR 051/2021 with classification groups of various types of poultry meat products depending on the mass fraction of meat ingredients;- correction of concepts relating to poultry canned meat (offal), poultry canned meat (offal) for baby food and boneless poultry meat;- revision of labeling requirements and expanding the scope of application of the safety indicators established by the EAEU TR 051/2011 in relation to poultry meat (offal) products, taking into account its new classification features </t>
  </si>
  <si>
    <t>Poultry meat and poultry processed products</t>
  </si>
  <si>
    <t>0207 - Meat and edible offal of fowls of the species Gallus domesticus, ducks, geese, turkeys and guinea fowls, fresh, chilled or frozen</t>
  </si>
  <si>
    <t>67.120.20 - Poultry and eggs</t>
  </si>
  <si>
    <t>Draft Amendments to the Technical Regulation of the Eurasian Economic Union «Poultry Meat and Poultry Processed Products»(EAEU TR 051/2021)https://docs.eaeunion.org/pd/ru-ru/0109104/pd_26012024Technical Regulation of the Eurasian Economic Union «Poultry Meat and Poultry Processed Products»(EAEU TR 051/2021)http://docs.eaeunion.org/docs/ru-ru/01430504/err_16112021_110</t>
  </si>
  <si>
    <t>Eurasian Economic Commission Collegium Draft Decision on amendments to the Section 7 of the Chapter II of the Common sanitary-epidemiological and hygienic requirements for products subject to sanitary-epidemiological supervision (control); (1+7 page(s), in Russian)</t>
  </si>
  <si>
    <t>The draft amendments to the Section 7 of the Chapter II of the Common sanitary-epidemiological and hygienic requirements for products subject to sanitary-epidemiological supervision (control) approved by the Decision of the Commission of the Customs Union dated 28 May, 2010 No. 299 provides for the updating the safety requirements for machinery, instrumentation and electrical engineering.</t>
  </si>
  <si>
    <t>Machinery, instrumentation and electrical engineering</t>
  </si>
  <si>
    <t>13.110 - Safety of machinery; 29 - ELECTRICAL ENGINEERING</t>
  </si>
  <si>
    <t> Common sanitary-epidemiological and hygienic requirements for products subject to sanitary-epidemiological supervision approved by the Decision of the Commission of the Customs Union dated 28 May, 2010 No. 299</t>
  </si>
  <si>
    <t>Draft Decision of the Eurasian Economic Commission Council "On Amending subparagraph "A" of paragraph 1 of the Decision of the Eurasian Economic Commission Council № 96 of June 10, 2022 </t>
  </si>
  <si>
    <t>Extension of the deadline for the establishment by the authorized bodies of the Eurasian Economic Union Member States of a temporary procedure for the circulation of medicines until December 31, 2024 to ensure the marketing authorization of medicines in an unstable geopolitical situation, in order to protect the life and health of the population of the Member States, ensure the drug safety and sustainability of supply of medicines within the Eurasian Economic Union</t>
  </si>
  <si>
    <t>HS Code(s): 3004 (Medicinal products)</t>
  </si>
  <si>
    <d:r xmlns:d="http://schemas.openxmlformats.org/spreadsheetml/2006/main">
      <d:rPr>
        <d:sz val="11"/>
        <d:rFont val="Calibri"/>
      </d:rPr>
      <d:t xml:space="preserve">https://docs.eaeunion.org/ria/ru-ru/0106338/ria_15122023
</d:t>
    </d:r>
  </si>
  <si>
    <t>Decision of the Eurasian Economic Commission Council № 96 of June 10, 2022 "On temporary measures to establish the specifics of the circulation of medicines for human use"https://docs.eaeunion.org/ria/ru-ru/0106338/ria_15122023</t>
  </si>
  <si>
    <t>Letter of the Federal Service for Veterinary and Phytosanitary Surveillance No. FS-ARe-7/5618-5 as of 13 December 2023</t>
  </si>
  <si>
    <t>This letter introduces a temporary restriction on imports of products mentioned in point 3 from United Kingdom to the territory of the Russian Federation due to the registration of bluetongue disease outbreaks.</t>
  </si>
  <si>
    <t>Cattle; small cattle; wild, zoo and circus animals susceptible to bluetongue, camels and other members of the camel family - llamas, alpacas, vicunas; Sperm of bulls, sheep and goat-producers; In vitro large and small cattle embryos - HS Codes: 0102; 0104; 0106; 0511 99 853; 0511 99 852.</t>
  </si>
  <si>
    <t>0102 - Live bovine animals; 0104 - Live sheep and goats; 0106 - Live animals (excl. horses, asses, mules, hinnies, bovine animals, swine, sheep, goats, poultry, fish, crustaceans, molluscs and other aquatic invertebrates, and microorganic cultures etc.)</t>
  </si>
  <si>
    <t>Bluetongue; Animal diseases; Animal health</t>
  </si>
  <si>
    <t>United Kingdom</t>
  </si>
  <si>
    <d:r xmlns:d="http://schemas.openxmlformats.org/spreadsheetml/2006/main">
      <d:rPr>
        <d:sz val="11"/>
        <d:rFont val="Calibri"/>
      </d:rPr>
      <d:t xml:space="preserve">https://members.wto.org/crnattachments/2023/SPS/RUS/23_14752_00_x.pdf
https://fsvps.gov.ru/files/ukazanie-rosselhoznadzora-ot-13-dekabrja-2023-goda-fs-arje-7-5618-3/</d:t>
    </d:r>
  </si>
  <si>
    <t>Letter of the Federal Service for the Veterinary and Phytosanitary Surveillance (Rosselkhoznadzor) No. FS-YUSH-3/28288 of 22 November 2023</t>
  </si>
  <si>
    <t>The Federal Service for Veterinary and Phytosanitary Surveillance (Rosselkhoznadzor) introduced a temporary restriction on seeds and planting material from the Netherlands due to the detection of Acidovorax citrulli Schaad et al.</t>
  </si>
  <si>
    <t>Seeds and planting material</t>
  </si>
  <si>
    <t>Plant health; Territory protection; Pest- or Disease- free Regions / Regionalization; Bacteria</t>
  </si>
  <si>
    <d:r xmlns:d="http://schemas.openxmlformats.org/spreadsheetml/2006/main">
      <d:rPr>
        <d:sz val="11"/>
        <d:rFont val="Calibri"/>
      </d:rPr>
      <d:t xml:space="preserve">https://members.wto.org/crnattachments/2023/SPS/RUS/23_13939_00_x.pdf
https://fsvps.gov.ru/news/rosselhoznadzor-ogranichivaet-postavki-semennogo-i-posadochnogo-materiala-iz-niderlandov/</d:t>
    </d:r>
  </si>
  <si>
    <t>Draft amendments to the Rules for Marketing Authorisation and Assessment of Medicinal Products for Human Usehttps://docs.eaeunion.org/ria/ru-ru/0106296/ria_01112023</t>
  </si>
  <si>
    <t>The draft decision envisages updating the text of the Rules for Marketing Authorisation and Assessment of Medicinal Products for Human Use, taking into account the practice of enforcement of the Rules on the procedure for making amendments to the registration dossier of a medicinal product</t>
  </si>
  <si>
    <t>Draft amendments to the Rules for Marketing Authorisation and Assessment of Medicinal Products for Human Use (59 pages in Russian)https://docs.eaeunion.org/ria/ru-ru/0106296/ria_01112023Decision of the Council of the Eurasian Economic Commission No. 78 of November 3, 2016https://docs.eaeunion.org/docs/ru-ru/01411969/cncd_21112016_78</t>
  </si>
  <si>
    <t>Draft amendments to the Technical regulation of the Customs Union "On Safety of Food Products" ( CU TR 021/2011) regarding the establishment of forms, schemes and procedures for conformity assessment based on standard conformity assessment schemes approved by the Decision of the Commission Council dated April 18, 2018 No. 44</t>
  </si>
  <si>
    <t>- bringing the provisions of CU TR 021/2011 in line with the provisions of the Treaty on the Eurasian Economic Union of May 29, 2014; - clarification of the provisions of article 4 "Definitions", Article 5 "Rules of market circulation", Article 6 "Identification of food products" of the CU TR 021/2011;- from Chapter 4 "Conformity assessment" of the CU TR 021/2011, all articles not related to conformity assessment of food products have been moved to other chapters of the technical regulation; - establishing the procedure for carrying out conformity assessment procedures in Chapter 4 of the CU TR 021/2011 "Conformity assessment" based on standard conformity assessment schemes approved by the Decision of the Council of the Commission dated April 18, 2018 No. 44.</t>
  </si>
  <si>
    <t>Food products</t>
  </si>
  <si>
    <t>67.040 - Food products in general</t>
  </si>
  <si>
    <t>Draft amendments to the Technical regulation of the Customs Union "On Safety of Food Products" (CU TR 021/2011) regarding the establishment of forms, schemes and procedures for conformity assessment based on standard conformity assessment schemes approved by the Decision of the Commission Council dated April 18, 2018 No. 44https://docs.eaeunion.org/pd/ru-ru/0108819/pd_01112023Customs Union "On Safety of Food Products" (CU TR 021/2011), adopted by the Decision of the Commission of the Customs Union No. 880 dated December 9, 2011https://eec.eaeunion.org/comission/department/deptexreg/tr/PischevavaProd.php</t>
  </si>
  <si>
    <t>Amendments to the Technical Regulation of the Eurasian Economic Union "On the Safety of Fish and Fish Products" (EAEU TR 040/2016) </t>
  </si>
  <si>
    <t>The draft amendments propose the introduction of the following clarifications of: - certain provisions of the technical regulation, - requirements for handling live trepangs (Holothuria edulis) if live trepangs are handled live; - requirements for parasitological safety of fish products; - additions to the provisions of the technical regulation on specifying the country of origin of raw materials when labeling caviar (for black caviar/sturgeon fish species); - adjustments to the table on microbiological safety indicators of fish products, taking into account the updated provisions in the draft amendments to the technical regulation; - inclusion of tables on criteria for assessing the quality of fish and fish products during parasitological control related to paragraph 19 of the technical regulation</t>
  </si>
  <si>
    <t>Fish products</t>
  </si>
  <si>
    <t>03 - FISH AND CRUSTACEANS, MOLLUSCS AND OTHER AQUATIC INVERTEBRATES</t>
  </si>
  <si>
    <t>67.120.30 - Fish and fishery products</t>
  </si>
  <si>
    <t>Draft Amendments to the Technical Regulation of the Eurasian Economic Union "On the Safety of Fish and Fish Products" (EAEU TR 040/2016) (38 pages in Russian)https://docs.eaeunion.org/pd/ru-ru/0108776/pd_26102023Technical Regulation of the Eurasian Economic Union "On the Safety of Fish and Fish Products" (EAEU TR 040/2016)https://eec.eaeunion.org/comission/department/deptextreg/tr/TR_EEU_040_2016.php</t>
  </si>
  <si>
    <t>Letter of the Federal Service for the Veterinary and Phytosanitary Surveillance (Rosselkhoznadzor) No. FS-SA-3/25735 of 24 October 2023</t>
  </si>
  <si>
    <t>The letter introduces a temporary restriction on imports of all goods (products) subject to phytosanitary control from Denmark and originating in Denmark due to the detection of Ambrosia artemisiifolia L.</t>
  </si>
  <si>
    <t>Plant health; Territory protection; Pests; Pest- or Disease- free Regions / Regionalization</t>
  </si>
  <si>
    <d:r xmlns:d="http://schemas.openxmlformats.org/spreadsheetml/2006/main">
      <d:rPr>
        <d:sz val="11"/>
        <d:rFont val="Calibri"/>
      </d:rPr>
      <d:t xml:space="preserve">https://members.wto.org/crnattachments/2023/SPS/RUS/23_13404_00_x.pdf
https://fsvps.gov.ru/news/rosselhoznadzor-zapreshhaet-postavki-podkarantinnoj-produkcii-iz-danii-i-datskogo-proishozhdenija/</d:t>
    </d:r>
  </si>
  <si>
    <t>Letter of the Federal Service for Veterinary and Phytosanitary Surveillance No. FS-ARe 7/5547-5 as of 2 November 2023</t>
  </si>
  <si>
    <t>This letter introduces temporary restrictions on the import of products mentioned in the point 3 from Korea to the territory of the Russian Federation and transit of live bovine animals and other susceptible animals due to the detection of Dermatitis Nodularis</t>
  </si>
  <si>
    <t>Live bovine animals (HS code(s): 0102); Live animals (excluding horses, asses, mules, hinnies, bovine animals, swine, sheep, goats, poultry, fish, crustaceans, molluscs and other aquatic invertebrates, and microorganic cultures etc.) (HS code(s): 0106); Animal products n.e.s.; Dead animals of all types, unfit for human consumption (HS code(s): 0511)</t>
  </si>
  <si>
    <t>Korea, Republic of</t>
  </si>
  <si>
    <d:r xmlns:d="http://schemas.openxmlformats.org/spreadsheetml/2006/main">
      <d:rPr>
        <d:sz val="11"/>
        <d:rFont val="Calibri"/>
      </d:rPr>
      <d:t xml:space="preserve">https://members.wto.org/crnattachments/2023/SPS/RUS/23_13406_00_x.pdf
https://fsvps.gov.ru/files/ukazanie-rosselhoznadzora-ot-2-nojabrja-2023-goda-fs-arje-7-5547-3/</d:t>
    </d:r>
  </si>
  <si>
    <t>Letter of the Federal Service for Veterinary and Phytosanitary Surveillance No. FS-KS-7/24963 as of 16 October 2023</t>
  </si>
  <si>
    <t>The letter introduces a temporary restriction on imports of all aquatic products, including the edible aquatic animals, originating in Japan in order to protect against risks arising from introduction of radioactively contaminated food due to the discharge of contaminated water from Fukushima, Japan.</t>
  </si>
  <si>
    <t>Fish and crustaceans, molluscs and other aquatic invertebrates (HS code(s): 03)</t>
  </si>
  <si>
    <t>Human health; Contaminants; Food safety</t>
  </si>
  <si>
    <d:r xmlns:d="http://schemas.openxmlformats.org/spreadsheetml/2006/main">
      <d:rPr>
        <d:sz val="11"/>
        <d:rFont val="Calibri"/>
      </d:rPr>
      <d:t xml:space="preserve">https://members.wto.org/crnattachments/2023/SPS/RUS/23_13110_00_x.pdf
https://fsvps.gov.ru/files/ukazanie-rosselhoznadzora-ot-13-oktjabrja-2023-goda-fs-ks-7-24946/</d:t>
    </d:r>
  </si>
  <si>
    <t>Draft Amendments to the Technical Regulation of the Customs Union "On Safety of Lifts" (CU TR 011/2011) regarding the establishment of forms, schemes and procedures of conformity assessment based on standard conformity assessment schemes approved by the Decision No. 44 of the Council of the Commission dated April 18, 2018</t>
  </si>
  <si>
    <t>- the establishment of forms, schemes and procedures of conformity assessment based on standard conformity assessment schemes approved by the Decision No. 44 of the Council of the Commission dated April 18, 2018,- introduction of the "inspection" conformity assessment form; - clarification of certain provisions of the CU TR 011/2011 in term s of conformity assessment based on practical application of the CU TR 011/2011.</t>
  </si>
  <si>
    <t>Lifts</t>
  </si>
  <si>
    <t>91.140.90 - Lifts. Escalators</t>
  </si>
  <si>
    <t>Draft Amendments to the Technical Regulation of the  Customs Union "On Safety of Lifts" (CU TR 011/2011) regarding the establishment of forms, schemes and procedures of  conformity assessment based on standard conformity assessment schemes approved by the Decision No. 44 of the Council of the Commission dated April 18, 2018http://docs.eaeunion.org/pd/ru-ru/0108684/pd_25092023Customs Union "On Safety of Lifts" (CU TR 011/2011), adopted by the Decision of the Commission of the Customs Union No. 824 dated October 18, 2011http://www.eurasiancommission.org/ru/act/texnreg/deptexreg/tr/Pages/bezopLifts.aspx</t>
  </si>
  <si>
    <t>Draft Amendments to the Technical Regulation of the Customs Union "Technical Regulation on Tobacco Products" (CU TR 035/2014) regarding the establishment of forms, schemes and procedures of conformity assessment based on standard conformity assessment schemes approved by the Decision No. 44 of the Council of the Commission dated April 18, 2018</t>
  </si>
  <si>
    <t>- the establishment of forms, schemes and procedures of conformity assessment based on standard conformity assessment schemes approved by the Decision No. 44 of the Council of the Commission dated April 18, 2018,- bringing the provisions of the CU TR 035/2014 in terms of conformity assessment in line with the provisions of the Protocol on Technical Regulation in the Eurasian Economic Union (Annex No. 9 to the Treaty on the Eurasian Economic Union of May 29, 2014),- clarification of certain provisions of the CU TR 035/2014 in term s of conformity assessment based on practical application of the CU TR 035/2014.</t>
  </si>
  <si>
    <t>Tobacco products</t>
  </si>
  <si>
    <t>24 - TOBACCO AND MANUFACTURED TOBACCO SUBSTITUTES; PRODUCTS, WHETHER OR NOT CONTAINING NICOTINE, INTENDED FOR INHALATION WITHOUT COMBUSTION; OTHER NICOTINE CONTAINING PRODUCTS INTENDED FOR THE INTAKE OF NICOTINE INTO THE HUMAN BODY</t>
  </si>
  <si>
    <t>65.160 - Tobacco, tobacco products and related equipment</t>
  </si>
  <si>
    <t>Draft Amendments to the Technical Regulation of the Custom s Union "Technical Regulation on Tobacco Products" (CU TR 035/2014) regarding the establishment of forms, schemes and procedures of conformity assessment based on standard conformity assessment schemes approved by the Decision No. 44 of the Council of the Commission dated April 18, 2018http://docs.eaeunion.org/pd/ru-ru/0108691/pd_25092023Customs Union "Technical Regulation on Tobacco Products" (CU TR 035/2014), adopted by the Decision of the Commission of the Customs Union No. 107 dated November 12, 2014http://www.eurasiancommission.org/ru/act/texnreg/deptexreg/tr/Pages/tabac.aspx</t>
  </si>
  <si>
    <t>The Draft Amendments to the Decision of the Council of the Eurasian Economic Commission No. 83 of November 3, 2016 (101 pages in Russian)https://docs.eaeunion.org/ria/ru-ru/0106217/ria_30082023</t>
  </si>
  <si>
    <t>The draft amendments to the Decision of the Council of the Eurasian Economic Commission No. 83 of November 3, 2016 provides for the establishment of uniform approaches to the procedures for conducting pharmaceutical inspections of clinicalcenters for compliance with the requirements of the Rules of Good Clinical Practice</t>
  </si>
  <si>
    <t>11.020 - Medical sciences and health care facilities in general</t>
  </si>
  <si>
    <t>The Draft Amendments to the Decision of the Council of the Eurasian Economic Commission No. 83 of November 3, 2016https://docs.eaeunion.org/ria/ru-ru/0106217/ria_30082023Decision of the Board of the Eurasian Economic Commission No. 83 of November 3, 2016https://docs.eaeunion.org/docs/ru-ru/01411936/cncd_21112016_83</t>
  </si>
  <si>
    <t>Letter of the Federal Service for the Veterinary and Phytosanitary Surveillance (Rosselkhoznadzor) No. FS-YUSH-3/20559 of 21 August 2023</t>
  </si>
  <si>
    <t>This letter notes that due to the detection of "Monilinia fructicola (Winter) Honey" imports of stone and pome fruits originated and imported from New Zealand to the Russian Federation is temporarily restricted.</t>
  </si>
  <si>
    <t>Apples, pears and quinces, fresh (HS code(s): 0808); Apricots, cherries, peaches incl. nectarines, plums and sloes, fresh (HS code(s): 0809)</t>
  </si>
  <si>
    <t>0808 - Apples, pears and quinces, fresh; 0809 - Apricots, cherries, peaches incl. nectarines, plums and sloes, fresh</t>
  </si>
  <si>
    <t>Plant health; Pests; Territory protection</t>
  </si>
  <si>
    <d:r xmlns:d="http://schemas.openxmlformats.org/spreadsheetml/2006/main">
      <d:rPr>
        <d:sz val="11"/>
        <d:rFont val="Calibri"/>
      </d:rPr>
      <d:t xml:space="preserve">https://members.wto.org/crnattachments/2023/SPS/RUS/23_12048_00_x.pdf
https://fsvps.gov.ru/ru/fsvps/news/220842.html</d:t>
    </d:r>
  </si>
  <si>
    <t>Letter of the Federal Service for Veterinary and Phytosanitary Surveillance No. FS-YUSH-3/17886 as of 20 July 2023</t>
  </si>
  <si>
    <t>In accordance with the Decree of the Ministry of Agriculture of the Russian Federation No. 310 as of 28 March 2023  "On the approval of the forms of the phytosanitary certificate, re-export certificate, quarantine certificate" forms of the phytosanitary certificate and re-export certificate were amended by inclusion of QR-codes in order to provide verification of the certificates, as well as changes in graphical display of the information on the certificates. </t>
  </si>
  <si>
    <t>Food safety (SPS); Plant protection (SPS)</t>
  </si>
  <si>
    <t>Human health; Plant health; Food safety</t>
  </si>
  <si>
    <d:r xmlns:d="http://schemas.openxmlformats.org/spreadsheetml/2006/main">
      <d:rPr>
        <d:sz val="11"/>
        <d:rFont val="Calibri"/>
      </d:rPr>
      <d:t xml:space="preserve">https://members.wto.org/crnattachments/2023/SPS/RUS/23_11722_00_x.pdf
https://members.wto.org/crnattachments/2023/SPS/RUS/23_11722_01_x.pdf
https://fsvps.gov.ru/ru/ehksport-import/export</d:t>
    </d:r>
  </si>
  <si>
    <t>Draft Decision of the Collegium of the Eurasian Economic Commission on Amendments to the Regulation on Common Veterinary (Sanitary and Veterinary) Requirements for Goods subject to Veterinary Control (Surveillance) and Draft Decision of the Collegium of the Eurasian Economic Commission on Amendments to the Decision of the Commission of the Customs Union No. 607 of 7 April 2011</t>
  </si>
  <si>
    <t>The drafts update veterinary requirements of the Eurasian Economic Union concerning the frequency of laboratory tests of non-food raw materials of animal origin intended for feeding fur-bearing animals without preliminary heat treatment. The drafts also approve a new chapter of veterinary requirements and the relevant form of a veterinary certificate for gelatin, collagen and glues of animal origin.</t>
  </si>
  <si>
    <d:r xmlns:d="http://schemas.openxmlformats.org/spreadsheetml/2006/main">
      <d:rPr>
        <d:sz val="11"/>
        <d:rFont val="Calibri"/>
      </d:rPr>
      <d:t xml:space="preserve">https://members.wto.org/crnattachments/2023/SPS/RUS/23_11646_00_x.pdf
https://members.wto.org/crnattachments/2023/SPS/RUS/23_11646_01_x.pdf
https://members.wto.org/crnattachments/2023/SPS/RUS/23_11646_02_x.pdf
https://members.wto.org/crnattachments/2023/SPS/RUS/23_11646_03_x.pdf
https://docs.eaeunion.org/ria/ru-ru/0106178/ria_09082023</d:t>
    </d:r>
  </si>
  <si>
    <t>Draft amendments to the Pharmacopoeia of the Eurasian Economic Unionhttp://docs.eaeunion.org/ria/ru-ru/0106113/ria_31072023</t>
  </si>
  <si>
    <t>The draft amendments to the Pharmacopoeia of the Eurasian Economic Union provides for 46 general pharmacopoeia articles added, in terms of biological tests, biological medicinal products and radiopharmaceuticals.</t>
  </si>
  <si>
    <t>30 - PHARMACEUTICAL PRODUCTS</t>
  </si>
  <si>
    <d:r xmlns:d="http://schemas.openxmlformats.org/spreadsheetml/2006/main">
      <d:rPr>
        <d:sz val="11"/>
        <d:rFont val="Calibri"/>
      </d:rPr>
      <d:t xml:space="preserve">http://docs.eaeunion.org/ria/ru-ru/0106113/ria_31072023</d:t>
    </d:r>
  </si>
  <si>
    <t>Draft amendments to the Pharmacopoeia of the Eurasian Economic Union G/TBT/N/ - 2 - http://docs.eaeunion.org/ria/ru-ru/0106113/ria_31072023 Decision of the Board of the Eurasian Economic Commission No. 100 of August 11, 2020 http://docs.eaeunion.org/docs/ru-ru/01426917/err_13082020_100</t>
  </si>
  <si>
    <t>Draft amendments to the Nomenclature of dosage forms (1+3 pages in Russian)</t>
  </si>
  <si>
    <t>The draft amendments to the Nomenclature of dosage forms updates the names of dosage forms and their definitions, taking into account the experience of regulation enforcement and their unification in accordance with the Pharmacopoeia of the Eurasian Economic Union.</t>
  </si>
  <si>
    <t>Draft amendments to the Nomenclature of dosage forms.https://docs.eaeunion.org/ria/ru-ru/0106074/ria_13072023Decision No 172 of the Board of the Eurasian Economic Commission of December 22, 2015https://docs.eaeunion.org/docs/ru-ru/0149286/clcd_30122015_172_doc</t>
  </si>
  <si>
    <t>Letter of the Federal Service for the Veterinary and Phytosanitary Surveillance No. FS-ARe-7/5312-5 as of 5 July 2023</t>
  </si>
  <si>
    <t>The Federal Service for Veterinary and Phytosanitary Surveillance (Rosselkhoznadzor) introduced a temporary restriction on import of live swine, meat of swine and products containing pork from North Macedonia due to the registration of outbreaks of ASF.</t>
  </si>
  <si>
    <t>Live swine, meat of swine, meat and edible meat offal, swine embryos and boar semen (HS Code(s): 0103; 0203; 020630; 020910; 0210; 0502; 0511; of 5002; of 0511, 160100*, 1602*)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 of Chapter 15.1 of the OIE Terrestrial Animal Health Code.</t>
  </si>
  <si>
    <t>North Macedonia</t>
  </si>
  <si>
    <d:r xmlns:d="http://schemas.openxmlformats.org/spreadsheetml/2006/main">
      <d:rPr>
        <d:sz val="11"/>
        <d:rFont val="Calibri"/>
      </d:rPr>
      <d:t xml:space="preserve">https://members.wto.org/crnattachments/2023/SPS/RUS/23_11255_00_x.pdf
https://old.fsvps.gov.ru/fsvps/laws/9042.html</d:t>
    </d:r>
  </si>
  <si>
    <t>Letter of the Federal Service for Veterinary and Phytosanitary Surveillance No. FS-ARe-7/5341-5 as of 17 July 2023</t>
  </si>
  <si>
    <t>This letter introduces a temporary restriction on import of live poultry and poultry products from Poland to the territory of the Russian Federation and on transit of live poultry through the Russian territory due to the outbreak of Newcastle disease in Poland.</t>
  </si>
  <si>
    <t>Live poultry, egg products, meat and edible offal of poultry, poultry meat products, incubation egg of poultry, Incubation egg (except poultry egg), live bird (except poultry), feed and feed additives for birds, equipment for the maintenance, slaughter and cutting of birds (HS codes: 0105; 0407, 0408; 0207; 0208, 0209, 0210, 0410 00 000 0, 0504 00 000 0, 0505, 0511, 1501, 1506 00 000 0, 1516 10, 1518 00, 1601 00, 1602, 1603 00, 1902 20, 1904 20, products from group 20, from 2104, from 2106, 4206 00 000 0, 0106; 508 10 000 0, 0106, 9705 00 000 0; 9508 10 000 0, 0106; 2102, 2309, 2936, 3504, 3507, 3808, 3824; 3923, 3926, 4415 4416 00 000 0, 4421, 7020 00, 7309 00, 7310, 7326, 7616, 8436 10 000 0, 8436 21 000 0, 8436 29 000 0, 8436 80 900 0, 8606 91 800 0, 8609 00, 8716 39 800)</t>
  </si>
  <si>
    <t>Animal diseases; Animal health; Newcastle Disease</t>
  </si>
  <si>
    <t>Poland</t>
  </si>
  <si>
    <d:r xmlns:d="http://schemas.openxmlformats.org/spreadsheetml/2006/main">
      <d:rPr>
        <d:sz val="11"/>
        <d:rFont val="Calibri"/>
      </d:rPr>
      <d:t xml:space="preserve">https://members.wto.org/crnattachments/2023/SPS/RUS/23_11256_00_x.pdf
https://old.fsvps.gov.ru/fsvps/laws/9044.html</d:t>
    </d:r>
  </si>
  <si>
    <t>Draft Decision of the Council of the Eurasian Economic Commission on Amendments to the Rules for Regulating the Circulation of Veterinary Medicines in the Customs Territory of the Eurasian Economic Union</t>
  </si>
  <si>
    <t xml:space="preserve">The draft provides for technical amendments developed to simplify the registration dossier of veterinary medicinal products in line with the requirements of the Rules for certain groups of veterinary medicinal products.The following measure is regulated by the TBT Agreement. _x000D_
The measure has been notified to the WTO, symbol: G/TBT/N/RUS/146.</t>
  </si>
  <si>
    <t>Veterinary medicines </t>
  </si>
  <si>
    <d:r xmlns:d="http://schemas.openxmlformats.org/spreadsheetml/2006/main">
      <d:rPr>
        <d:sz val="11"/>
        <d:rFont val="Calibri"/>
      </d:rPr>
      <d:t xml:space="preserve">https://members.wto.org/crnattachments/2023/SPS/RUS/23_10934_00_x.pdf
https://members.wto.org/crnattachments/2023/SPS/RUS/23_10934_01_x.pdf
https://docs.eaeunion.org/ria/ru-ru/0106043/ria_23062023</d:t>
    </d:r>
  </si>
  <si>
    <t>The draft provides for the possibility of simplifying the procedure for bringing the registration dossier of veterinary medicinal products in line with the requirements of the Rules for certain groups of veterinary medicinal products. The draft also contains technical amendments.</t>
  </si>
  <si>
    <t>Veterinary medicines</t>
  </si>
  <si>
    <d:r xmlns:d="http://schemas.openxmlformats.org/spreadsheetml/2006/main">
      <d:rPr>
        <d:sz val="11"/>
        <d:rFont val="Calibri"/>
      </d:rPr>
      <d:t xml:space="preserve">https://docs.eaeunion.org/ria/ru-ru/0106043/ria_23062023</d:t>
    </d:r>
  </si>
  <si>
    <t>Draft Amendments No. 1 to the technical regulation of the Customs Union “On Road Safety” (CU ТR 014/2011)</t>
  </si>
  <si>
    <t>- clarification of the scope of the CU TR 014/2011;- clarification of certain provisions of the CU TR 014/2011;- bringing technical regulation in accordance with the Treaty on the Eurasian Economic Union of May 29, 2014</t>
  </si>
  <si>
    <t>Roads, road-building materials and products</t>
  </si>
  <si>
    <t>93.080.20 - Road construction materials</t>
  </si>
  <si>
    <d:r xmlns:d="http://schemas.openxmlformats.org/spreadsheetml/2006/main">
      <d:rPr>
        <d:sz val="11"/>
        <d:rFont val="Calibri"/>
      </d:rPr>
      <d:t xml:space="preserve">http://docs.eaeunion.org/pd/ru-ru/0108427/pd_20062023</d:t>
    </d:r>
  </si>
  <si>
    <t>Resolution of the Government of the Russian Federation No. 817 of 27 May 2023;Decree of the Ministry of Agriculture of the Russian Federation No. 527 of  24 May 2023</t>
  </si>
  <si>
    <t>The resolutions set out:- rules for the audit of laboratories of foreign countries for testing seeds of agricultural plants to confirm the competence of laboratories, methods and results of the research and the frequency of the conduct;- the procedure for introducing temporary restrictions on the import of seeds of agricultural plants into the Russian Federation and (or) the establishment of the additional (special) requirements for the indicators of varietal and sowing (planting) properties of seeds of agricultural plants imported into the Russian Federation.</t>
  </si>
  <si>
    <t>Plant protection (SPS); Protect humans from animal/plant pest or disease (SPS); Protect territory from other damage from pests (SPS)</t>
  </si>
  <si>
    <t>Plant diseases; Plant health; Seeds; Territory protection</t>
  </si>
  <si>
    <d:r xmlns:d="http://schemas.openxmlformats.org/spreadsheetml/2006/main">
      <d:rPr>
        <d:sz val="11"/>
        <d:rFont val="Calibri"/>
      </d:rPr>
      <d:t xml:space="preserve">https://members.wto.org/crnattachments/2023/SPS/RUS/23_10601_01_x.pdf
https://members.wto.org/crnattachments/2023/SPS/RUS/23_10601_00_x.pdf
http://publication.pravo.gov.ru/document/0001202305290059
http://publication.pravo.gov.ru/document/0001202306010057?index=1</d:t>
    </d:r>
  </si>
  <si>
    <t>Draft Amendments No. 2 to the Customs Union Technical Regulations “On the Safety of Railway Rolling Stock” (CU TR 001/2011), “On the Safety of High-Speed Railway Transport” (CU TR 002/2011) and “On the Safety of Railway Rolling Stock Infrastructure” (CU TR 003/2011)</t>
  </si>
  <si>
    <t>Establishment of mechanisms and procedures for extending the service life of railway machinery</t>
  </si>
  <si>
    <t>45.040 - Materials and components for railway engineering; 93.080.10 - Road construction</t>
  </si>
  <si>
    <d:r xmlns:d="http://schemas.openxmlformats.org/spreadsheetml/2006/main">
      <d:rPr>
        <d:sz val="11"/>
        <d:rFont val="Calibri"/>
      </d:rPr>
      <d:t xml:space="preserve">https://docs.eaeunion.org/pd/ru-ru/0108324/pd_27042023</d:t>
    </d:r>
  </si>
  <si>
    <t>Draft amendments to the Rules for marketing authorization and assessment of medicinal products for human use </t>
  </si>
  <si>
    <t>The draft amendments to the Rules for marketing authorization and assessment of medicinal products for human use provide for the updating of the Rules for marketing authorization and assessment of medicinal products for human use with account of the experience of law enforcement of these Rules on the procedure for marketing authorization of medicinal products and bringing the registration dossier in line with the requirements of the Eurasian Economic Union.</t>
  </si>
  <si>
    <t>https://docs.eaeunion.org/ria/ru-ru/0105925/ria_14042023</t>
  </si>
  <si>
    <t>Draft amendments to the Rules for Conducting Bioequivalence Studies of Medicines in the Eurasian Economic Union </t>
  </si>
  <si>
    <t>The draft decision envisages the updating of:a unified approach to the selection of a reference medicine;requirements for a biovaver based on a biopharmaceutical classification system taking into account 5 years of law enforcement practice, international experience and changes in bioequivalence research technologies for biovaver medicines</t>
  </si>
  <si>
    <d:r xmlns:d="http://schemas.openxmlformats.org/spreadsheetml/2006/main">
      <d:rPr>
        <d:sz val="11"/>
        <d:rFont val="Calibri"/>
      </d:rPr>
      <d:t xml:space="preserve">http://docs.eaeunion.org/ria/ru-ru/0105991/ria_19052023</d:t>
    </d:r>
  </si>
  <si>
    <t>Decision No.85 of the Council of the Eurasian Economic Commission of November 3, 2016http://docs.eaeunion.org/docs/ru-u/01411942/cncd_21112016_85</t>
  </si>
  <si>
    <t>Draft Decision of the Council of the Eurasian Economic Commission on Amendments to the Decision of the Council of the Eurasian Economic Commission of January 21, No. 1.</t>
  </si>
  <si>
    <t>The draft provide for ensuring a phased transition to the implementation of the Requirements for the labeling of medicinal products for human use and veterinary medicinal products, approved by the Decision of the Council of the Eurasian Economic Commission dated November 3, 2016 No. 76, the Rules of Good Manufacturing Practice of the Eurasian Economic Union, approved by the Decision of the Council of the Eurasian Economic Commission dated November 3, 2016 No. 77 by establishing transitional periods for subjects of circulation of veterinary medicines.</t>
  </si>
  <si>
    <t>11.120 - Pharmaceutics; 11.220 - Veterinary medicine</t>
  </si>
  <si>
    <t>https://docs.eaeunion.org/ria/ru-ru/0105880/ria_21032023</t>
  </si>
  <si>
    <t>Draft Amendments No. 1 to the technical regulation of the Customs Union “On Road Safety” (CU ТR 014/2011) </t>
  </si>
  <si>
    <t>Draft Amendments No. 1 to the technical regulation of the Customs Union “On road safety” (ТR CU 014/2011)</t>
  </si>
  <si>
    <t>Resolution of the government of the Russian Federation No.  532 of 3 April 2023; Decree of the government of the Russian Federation No. 3835-r of 8 December 2022</t>
  </si>
  <si>
    <t>The resolutions set out the rules in the state control, which include:- the assessing of the conformity of the imported seeds with the requirements for varietal and sowing (planting) characteristics of seeds of agricultural plants, including additional (special) requirements for varietal and sowing (planting) properties of seeds imported into the Russian Federation;- sampling of imported seeds for testing and (or) assessment, including for the detection of genetically modified organisms in imported seeds, in accordance with national and interstate standards.</t>
  </si>
  <si>
    <t>Plant health; Territory protection; Genetically modified organisms (GMOs); Plant diseases; Seeds</t>
  </si>
  <si>
    <d:r xmlns:d="http://schemas.openxmlformats.org/spreadsheetml/2006/main">
      <d:rPr>
        <d:sz val="11"/>
        <d:rFont val="Calibri"/>
      </d:rPr>
      <d:t xml:space="preserve">https://members.wto.org/crnattachments/2023/SPS/RUS/23_09803_00_x.pdf
https://members.wto.org/crnattachments/2023/SPS/RUS/23_09803_01_x.pdf
http://publication.pravo.gov.ru/Document/View/0001202304040036?index=1;
http://publication.pravo.gov.ru/Document/View/0001202212090027</d:t>
    </d:r>
  </si>
  <si>
    <t>Draft Decision of the Council of the Eurasian Economic Commission on Amendments to the Customs Union Commission Decision as of 18 June 2010 No. 318</t>
  </si>
  <si>
    <t>The draft regulation aims at using a phytosanitary risk assessment system when selecting control procedures for quarantine phytosanitary control, as well as at uniform decision-making in relation to batches of products subject to phytosanitary control if there is a discrepancy between the phytosanitary certificate and shipping documents and if quarantine organisms are detected.</t>
  </si>
  <si>
    <d:r xmlns:d="http://schemas.openxmlformats.org/spreadsheetml/2006/main">
      <d:rPr>
        <d:sz val="11"/>
        <d:rFont val="Calibri"/>
      </d:rPr>
      <d:t xml:space="preserve">https://docs.eaeunion.org/ria/ru-ru/0105930/ria_17042023
https://docs.eaeunion.org/ria/ru-ru/0115932/ria_17042023_doc.pdf
https://docs.eaeunion.org/ria/ru-ru/0115933/ria_17042023_att.pdf
https://docs.eaeunion.org/ria/ru-ru/0115931/ria_17042023_ref.pdf</d:t>
    </d:r>
  </si>
  <si>
    <t>Draft Decision of the Collegium of the Eurasian Economic Commission on Amendments to the Regulation on Common veterinary (sanitary and veterinary) requirements for goods subject to veterinary control (surveillance) and Draft Decision of the Collegium of the Eurasian Economic Commission on Amendments to the Forms of Common Veterinary Certificates for Import into the Customs Territory of the Eurasian Economic Union of Controlled Goods from Third Countries</t>
  </si>
  <si>
    <t>The drafts update veterinary requirements of the Eurasian Economic Union concerning testing for brucellosis of cows donating embryos, conditions of exportation of horses after sports events, as well as safety indicators for feed of plant origin.</t>
  </si>
  <si>
    <t>Animal health; Animal feed; Animal diseases</t>
  </si>
  <si>
    <d:r xmlns:d="http://schemas.openxmlformats.org/spreadsheetml/2006/main">
      <d:rPr>
        <d:sz val="11"/>
        <d:rFont val="Calibri"/>
      </d:rPr>
      <d:t xml:space="preserve">https://docs.eaeunion.org/ria/ru-ru/0105884/ria_22032023
https://docs.eaeunion.org/ria/ru-ru/0105888/ria_22032023</d:t>
    </d:r>
  </si>
  <si>
    <t>Letter of the Federal Service for Veterinary and Phytosanitary Surveillance No. FS-KS-7/6536-5 as of 21 March 2023</t>
  </si>
  <si>
    <t>This letter introduces a temporary restriction on import of live poultry and poultry products from the Republic of Moldova to the territory of the Russian Federation and on transit of live poultry through the Russian territory due to the outbreak of Newcastle disease in the Republic of Moldova.</t>
  </si>
  <si>
    <t>0105 - Live poultry, "fowls of the species Gallus domesticus, ducks, geese, turkeys and guinea fowls"; 2106 - Food preparations, n.e.s.; 2104 - Soups and broths and preparations therefor; food preparations consisting of finely homogenised mixtures of two or more basic ingredients such as meat, fish, vegetables or fruit, put up for retail sale as infant food or for dietetic purposes, in containers of &lt;= 250 g; 190420 - Prepared foods obtained from unroasted cereal flakes or from mixtures of unroasted cereal flakes and roasted cereal flakes or swelled cereals; 190220 - Pasta, stuffed with meat or other substances, whether or not cooked or otherwise prepared; 160300 - Extracts and juices of meat, fish or crustaceans, molluscs and other aquatic invertebrates; 1602 - Prepared or preserved meat, offal or blood (excl. sausages and similar products, and meat extracts and juices); 160100 - Sausages and similar products, of meat, offal or blood; food preparations based on these products; 151610 - Animal fats and oils and their fractions, partly or wholly hydrogenated, inter-esterified, re-esterified or elaidinised, whether or not refined, but not further prepared; 420600 - Articles of gut, goldbeater's skin, bladders or tendons (excl. silkworm gut, sterile catgut, other sterile surgical suture material and strings for musical instruments); 1501 - Pig fat, incl. lard, and poultry fat, rendered or otherwise extracted (excl. lard stearin and lard oil); 0505 - Skins and other parts of birds, with their feathers or down, feathers and parts of feathers, whether or not with trimmed edges, and down, not further worked than cleaned, disinfected or treated for preservation; powder and waste of feathers or parts of feathers; 0408 - Birds' eggs, not in shell, and egg yolks, fresh, dried, cooked by steaming or by boiling in water, moulded, frozen or otherwise preserved, whether or not containing added sugar or other sweetening matter; 0407 - Birds' eggs, in shell, fresh, preserved or cooked; 0210 - Meat and edible offal, salted, in brine, dried or smoked; edible flours and meals of meat or meat offal; 0209 - Pig fat, free of lean meat, and poultry fat, not rendered or otherwise extracted, fresh, chilled, frozen, salted, in brine, dried or smoked; 0208 - Meat and edible offal of rabbits, hares, pigeons and other animals, fresh, chilled or frozen (excl. of bovine animals, swine, sheep, goats, horses, asses, mules, hinnies, poultry "fowls of the species Gallus domesticus", ducks, geese, turkeys and guinea fowls); 0207 - Meat and edible offal of fowls of the species Gallus domesticus, ducks, geese, turkeys and guinea fowls, fresh, chilled or frozen; 0106 - Live animals (excl. horses, asses, mules, hinnies, bovine animals, swine, sheep, goats, poultry, fish, crustaceans, molluscs and other aquatic invertebrates, and microorganic cultures etc.); 0511 - Animal products n.e.s.; dead animals of all types, unfit for human consumption; 970500 - Collections and collector's pieces of zoological, botanical, mineralogical, anatomical, historical, archaeological, palaeontological, ethnographic or numismatic interest; 2102 - Yeasts, active or inactive; other dead single-cell micro-organisms, prepared baking powders (excl. single-cell micro-organisms packaged as medicaments); 843610 - Machinery for preparing animal feedingstuffs in agricultural holdings and similar undertakings (excl. machinery for the feedingstuff industry, forage harvesters and autoclaves for cooking fodder); 7616 - Articles of aluminium, n.e.s.; 7326 - Articles of iron or steel, n.e.s. (excl. cast articles); 7310 - Tanks, casks, drums, cans, boxes and similar containers, of iron or steel, for any material "other than compressed or liquefied gas", of a capacity of &lt;= 300 l, not fitted with mechanical or thermal equipment, whether or not lined or heat-insulated,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702000 - Articles of glass, n.e.s.; 4421 - Other articles of wood, n.e.s.; 441600 - Casks, barrels, vats, tubs and other coopers' products parts thereof, of wood, incl. staves; 4415 - Packing cases, boxes, crates, drums and similar packings, of wood; cable-drums of wood; pallets, box pallets and other load boards, of wood; pallet collars of wood (excl. containers specially designed and equipped for one or more modes of transport); 3926 - Articles of plastics and articles of other materials of heading 3901 to 3914, n.e.s.; 3923 - Articles for the conveyance or packaging of goods, of plastics; stoppers, lids, caps and other closures, of plastics; 3824 - Prepared binders for foundry moulds or cores; chemical products and preparations for the chemical or allied industries, incl. mixtures of natural products, n.e.s.; 3808 - Insecticides, rodenticides, fungicides, herbicides, anti-sprouting products and plant-growth regulators, disinfectants and similar products, put up for retail sale or as preparations or articles, e.g. sulphur-treated bands, wicks and candles, and fly-papers; 3507 - Enzymes; prepared enzymes, n.e.s.; 3504 - Peptones and their derivatives; other protein substances and their derivatives, n.e.s.; hide powder, whether or not chromed (excl. organic or inorganic compounds of mercury whether or not chemically defined); 2936 - Provitamins and vitamins, natural or reproduced by synthesis, incl. natural concentrates, derivatives thereof used primarily as vitamins, and intermixtures of the foregoing, whether or not in any solvent; 2309 - Preparations of a kind used in animal feeding; 843621 - Poultry incubators and brooders; 950810 - Travelling circuses and travelling menageries; 041000 - Turtles' eggs, birds' nests and other edible products of animal origin, n.e.s.; 843629 - Poultry-keeping machinery (excl. machines for sorting or grading eggs, poultry pickers of heading 8438 and incubators and brooders); 843680 - Agricultural, horticultural, forestry or bee-keeping machinery, n.e.s.; 860691 - Railway or tramway goods vans and wagons, covered and closed (excl. self-discharging goods vans and wagons and tank wagons and the like); 050400 - Guts, bladders and stomachs of animals (other than fish), whole and pieces thereof, fresh, chilled, frozen, salted, in brine, dried or smoked;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151800 -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0508 - Coral and similar materials, shells of molluscs, crustaceans or echinoderms, cuttle-bone, powder and waste thereof, unworked or simply prepared but not otherwise worked or cut to shape; 8609 - Containers, incl. containers for the transport of fluids, specially designed and equipped for carriage by one or more modes of transport; 871639 - Trailers and semi-trailers for the transport of goods, not designed for running on rails (excl. self-loading or self-unloading trailers and semi-trailers for agricultural purposes and tanker trailers and tanker semi-trailers)</t>
  </si>
  <si>
    <t>Animal health; Animal diseases; Newcastle Disease</t>
  </si>
  <si>
    <t>Moldova, Republic of</t>
  </si>
  <si>
    <d:r xmlns:d="http://schemas.openxmlformats.org/spreadsheetml/2006/main">
      <d:rPr>
        <d:sz val="11"/>
        <d:rFont val="Calibri"/>
      </d:rPr>
      <d:t xml:space="preserve">https://members.wto.org/crnattachments/2023/SPS/RUS/23_8719_00_x.pdf</d:t>
    </d:r>
  </si>
  <si>
    <t>Letter of the Federal Service for the Veterinary and Phytosanitary Surveillance (Rosselkhoznadzor) No. FS-YUSH-3/31870 of 28 November 2022</t>
  </si>
  <si>
    <t>Products covered: "Apples" should be replaced by "Quarantined phytosanitary products".</t>
  </si>
  <si>
    <t>Apples (HS code(s): 080810)</t>
  </si>
  <si>
    <t>080810 - Fresh apples; 080810 - Fresh apples</t>
  </si>
  <si>
    <t>Plant health; Territory protection; Plant health; Territory protection</t>
  </si>
  <si>
    <t>Corrigendum to Emergency Notification (SPS)</t>
  </si>
  <si>
    <d:r xmlns:d="http://schemas.openxmlformats.org/spreadsheetml/2006/main">
      <d:rPr>
        <d:sz val="11"/>
        <d:rFont val="Calibri"/>
      </d:rPr>
      <d:t xml:space="preserve">https://members.wto.org/crnattachments/2023/SPS/RUS/23_8707_00_x.pdf</d:t>
    </d:r>
  </si>
  <si>
    <t>Letter of the Federal Service for the Veterinary and Phytosanitary Surveillance (Rosselkhoznadzor) No. FS-AK-3/4940 of 3 March 2023</t>
  </si>
  <si>
    <t>This letter notes that due to the detection of "Tilletia controversa Kuhn" imports of soft wheat seed originated and imported from the Czech Republic to the Russian Federation is temporarily restricted.</t>
  </si>
  <si>
    <t>Seed of wheat and meslin, for sowing (excl. durum) (HS code: 100191)</t>
  </si>
  <si>
    <t>100191 - Seed of wheat and meslin, for sowing (excl. durum)</t>
  </si>
  <si>
    <t>Territory protection; Plant health; Pest- or Disease- free Regions / Regionalization; Pests; Seeds</t>
  </si>
  <si>
    <t>Czech Republic</t>
  </si>
  <si>
    <d:r xmlns:d="http://schemas.openxmlformats.org/spreadsheetml/2006/main">
      <d:rPr>
        <d:sz val="11"/>
        <d:rFont val="Calibri"/>
      </d:rPr>
      <d:t xml:space="preserve">https://members.wto.org/crnattachments/2023/SPS/RUS/23_2086_00_x.pdf</d:t>
    </d:r>
  </si>
  <si>
    <t>Letter of the Federal Service for the Veterinary and Phytosanitary Surveillance (Rosselkhoznadzor) No. FS-AK-3/4708 of 1 March 2023</t>
  </si>
  <si>
    <t>This letter notes that due to the detection of "Tilletia controversa Kuhn", imports of soft wheat seed originated and imported from this country to the Russian Federation is temporarily restricted.</t>
  </si>
  <si>
    <t>Plant health; Territory protection; Seeds; Pests; Pest- or Disease- free Regions / Regionalization</t>
  </si>
  <si>
    <t>Austria</t>
  </si>
  <si>
    <d:r xmlns:d="http://schemas.openxmlformats.org/spreadsheetml/2006/main">
      <d:rPr>
        <d:sz val="11"/>
        <d:rFont val="Calibri"/>
      </d:rPr>
      <d:t xml:space="preserve">https://members.wto.org/crnattachments/2023/SPS/RUS/23_2085_00_x.pdf</d:t>
    </d:r>
  </si>
  <si>
    <t>Letter of the Federal Service for Veterinary and Phytosanitary Surveillance No. FS-ARe-7/5000-5 as of 17 February 2023</t>
  </si>
  <si>
    <t>This letter introduces a temporary restriction on import of life poultry and poultry products from Bolivia to the territory of the Russian Federation and on transit of live poultry through the Russian territory due to the outbreak of high pathogenic avian influenza.</t>
  </si>
  <si>
    <t>Live poultry, egg products, meat and edible offal of poultry, poultry meat products, daily chicks, incubation egg of poultry, Incubation egg (except poultry egg), live bird (except poultry), feed and feed additives for birds, equipment for the maintenance, slaughter and cutting of birds (HS codes: 0105; 0407, 0408; 0207; 0208, 0209, 0210, 0410 00 000 0, 0504 00 000 0, 0505, 0511, 1501, 1506 00 000 0, 1516 10, 1518 00, 1601 00, 1602, 1603 00, 1902 20, 1904 20, products from group 20, from 2104, from 2106, 4206 00 000 0, 0106; 508 10 000 0, 0106, 9705 00 000 0; 9508 10 000 0, 0106; 2102, 2309, 2936, 3504, 3507, 3808, 3824; 3923, 3926, 4415 4416 00 000 0, 4421, 7020 00, 7309 00, 7310, 7326, 7616, 8436 10 000 0, 8436 21 000 0, 8436 29 000 0, 8436 80 900 0, 8606 91 800 0, 8609 00, 8716 39 800)</t>
  </si>
  <si>
    <t>0105 - Live poultry, "fowls of the species Gallus domesticus, ducks, geese, turkeys and guinea fowls";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420600 - Articles of gut, goldbeater's skin, bladders or tendons (excl. silkworm gut, sterile catgut, other sterile surgical suture material and strings for musical instruments); 4415 - Packing cases, boxes, crates, drums and similar packings, of wood; cable-drums of wood; pallets, box pallets and other load boards, of wood; pallet collars of wood (excl. containers specially designed and equipped for one or more modes of transport); 441600 - Casks, barrels, vats, tubs and other coopers' products parts thereof, of wood, incl. staves; 4421 - Other articles of wood, n.e.s.; 702000 - Articles of glass,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843610 - Machinery for preparing animal feedingstuffs in agricultural holdings and similar undertakings (excl. machinery for the feedingstuff industry, forage harvesters and autoclaves for cooking fodder); 843621 - Poultry incubators and brooders; 843629 - Poultry-keeping machinery (excl. machines for sorting or grading eggs, poultry pickers of heading 8438 and incubators and brooders); 843680 - Agricultural, horticultural, forestry or bee-keeping machinery, n.e.s.; 860691 - Railway or tramway goods vans and wagons, covered and closed (excl. self-discharging goods vans and wagons and tank wagons and the like); 860900 - Containers, incl. containers for the transport of fluids, specially designed and equipped for carriage by one or more modes of transport; 871639 - Trailers and semi-trailers for the transport of goods, not designed for running on rails (excl. self-loading or self-unloading trailers and semi-trailers for agricultural purposes and tanker trailers and tanker semi-trailers); 3504 - Peptones and their derivatives; other protein substances and their derivatives, n.e.s.; hide powder, whether or not chromed (excl. organic or inorganic compounds of mercury whether or not chemically defined); 2936 - Provitamins and vitamins, natural or reproduced by synthesis, incl. natural concentrates, derivatives thereof used primarily as vitamins, and intermixtures of the foregoing, whether or not in any solvent; 2309 - Preparations of a kind used in animal feeding; 2106 - Food preparations, n.e.s.; 0106 - Live animals (excl. horses, asses, mules, hinnies, bovine animals, swine, sheep, goats, poultry, fish, crustaceans, molluscs and other aquatic invertebrates, and microorganic cultures etc.);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041000 - Turtles' eggs, birds' nests and other edible products of animal origin, n.e.s.; 050400 -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950810 - Travelling circuses and travelling menageries; 0511 - Animal products n.e.s.; dead animals of all types, unfit for human consumption;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151610 - Animal fats and oils and their fractions, partly or wholly hydrogenated, inter-esterified, re-esterified or elaidinised, whether or not refined, but not further prepared; 151800 -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1602 - Prepared or preserved meat, offal or blood (excl. sausages and similar products, and meat extracts and juices); 160300 - Extracts and juices of meat, fish or crustaceans, molluscs and other aquatic invertebrates; 190220 - Pasta, stuffed with meat or other substances, whether or not cooked or otherwise prepared; 190420 - Prepared foods obtained from unroasted cereal flakes or from mixtures of unroasted cereal flakes and roasted cereal flakes or swelled cereals; 2102 - Yeasts, active or inactive; other dead single-cell micro-organisms, prepared baking powders (excl. single-cell micro-organisms packaged as medicaments); 2104 - Soups and broths and preparations therefor; food preparations consisting of finely homogenised mixtures of two or more basic ingredients such as meat, fish, vegetables or fruit, put up for retail sale as infant food or for dietetic purposes, in containers of &lt;= 250 g; 1501 - Pig fat, incl. lard, and poultry fat, rendered or otherwise extracted (excl. lard stearin and lard oil); 970500 - Collections and collector's pieces of zoological, botanical, mineralogical, anatomical, historical, archaeological, palaeontological, ethnographic or numismatic interest</t>
  </si>
  <si>
    <t>Avian Influenza; Human health; Animal health; Food safety; Zoonoses; Animal diseases</t>
  </si>
  <si>
    <t>Bolivia, Plurinational State of</t>
  </si>
  <si>
    <d:r xmlns:d="http://schemas.openxmlformats.org/spreadsheetml/2006/main">
      <d:rPr>
        <d:sz val="11"/>
        <d:rFont val="Calibri"/>
      </d:rPr>
      <d:t xml:space="preserve">https://members.wto.org/crnattachments/2023/SPS/RUS/23_1245_00_x.pdf</d:t>
    </d:r>
  </si>
  <si>
    <t>Letter of the Federal Service for Veterinary and Phytosanitary Surveillance No. FS-ARe-7/4955-5 as of 23 January 2023</t>
  </si>
  <si>
    <t>This letter introduces a temporary restriction on import of life poultry and poultry products from Peru to the territory of the Russian Federation and on transit  of  live poultry through the Russian territory due to the outbreak of high pathogenic avian influenza.</t>
  </si>
  <si>
    <t>0105 - Live poultry, "fowls of the species Gallus domesticus, ducks, geese, turkeys and guinea fowls";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0209 - Pig fat, free of lean meat, and poultry fat, not rendered or otherwise extracted, fresh, chilled, frozen, salted, in brine, dried or smoked; 0210 - Meat and edible offal, salted, in brine, dried or smoked; edible flours and meals of meat or meat offal; 0407 - Birds' eggs, in shell, fresh, preserved or cooked; 0408 - Birds' eggs, not in shell, and egg yolks, fresh, dried, cooked by steaming or by boiling in water, moulded, frozen or otherwise preserved, whether or not containing added sugar or other sweetening matter; 041000 - Turtles' eggs, birds' nests and other edible products of animal origin, n.e.s.; 050400 -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0511 - Animal products n.e.s.; dead animals of all types, unfit for human consumption; 1501 - Pig fat, incl. lard, and poultry fat, rendered or otherwise extracted (excl. lard stearin and lard oil);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151610 - Animal fats and oils and their fractions, partly or wholly hydrogenated, inter-esterified, re-esterified or elaidinised, whether or not refined, but not further prepared; 151800 -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1602 - Prepared or preserved meat, offal or blood (excl. sausages and similar products, and meat extracts and juices); 4421 - Other articles of wood, n.e.s.; 702000 - Articles of glass,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7316 - Anchors, grapnels and parts thereof, of iron or steel; 7326 - Articles of iron or steel, n.e.s. (excl. cast articles); 441600 - Casks, barrels, vats, tubs and other coopers' products parts thereof, of wood, incl. staves; 843610 - Machinery for preparing animal feedingstuffs in agricultural holdings and similar undertakings (excl. machinery for the feedingstuff industry, forage harvesters and autoclaves for cooking fodder); 843629 - Poultry-keeping machinery (excl. machines for sorting or grading eggs, poultry pickers of heading 8438 and incubators and brooders); 843680 - Agricultural, horticultural, forestry or bee-keeping machinery, n.e.s.; 860691 - Railway or tramway goods vans and wagons, covered and closed (excl. self-discharging goods vans and wagons and tank wagons and the like); 860900 - Containers, incl. containers for the transport of fluids, specially designed and equipped for carriage by one or more modes of transport; 871639 - Trailers and semi-trailers for the transport of goods, not designed for running on rails (excl. self-loading or self-unloading trailers and semi-trailers for agricultural purposes and tanker trailers and tanker semi-trailers); 9508 - Roundabouts, swings, shooting galleries and other fairground amusements; travelling circuses and travelling menageries; travelling theatres (excl. booths, incl. the goods on sale, goods for distribution as prizes, gaming machines accepting coins or tokens, and tractors and other transport vehicles, incl. normal trailers); 843621 - Poultry incubators and brooders; 970500 - Collections and collector's pieces of zoological, botanical, mineralogical, anatomical, historical, archaeological, palaeontological, ethnographic or numismatic interest; 4415 - Packing cases, boxes, crates, drums and similar packings, of wood; cable-drums of wood; pallets, box pallets and other load boards, of wood; pallet collars of wood (excl. containers specially designed and equipped for one or more modes of transport); 3926 - Articles of plastics and articles of other materials of heading 3901 to 3914, n.e.s.; 0508 - Coral and similar materials, shells of molluscs, crustaceans or echinoderms, cuttle-bone, powder and waste thereof, unworked or simply prepared but not otherwise worked or cut to shape; 160300 - Extracts and juices of meat, fish or crustaceans, molluscs and other aquatic invertebrates; 190220 - Pasta, stuffed with meat or other substances, whether or not cooked or otherwise prepared; 190420 - Prepared foods obtained from unroasted cereal flakes or from mixtures of unroasted cereal flakes and roasted cereal flakes or swelled cereals; 2102 - Yeasts, active or inactive; other dead single-cell micro-organisms, prepared baking powders (excl. single-cell micro-organisms packaged as medicaments); 2104 - Soups and broths and preparations therefor; food preparations consisting of finely homogenised mixtures of two or more basic ingredients such as meat, fish, vegetables or fruit, put up for retail sale as infant food or for dietetic purposes, in containers of &lt;= 250 g; 420600 - Articles of gut, goldbeater's skin, bladders or tendons (excl. silkworm gut, sterile catgut, other sterile surgical suture material and strings for musical instruments); 2106 - Food preparations, n.e.s.; 2936 - Provitamins and vitamins, natural or reproduced by synthesis, incl. natural concentrates, derivatives thereof used primarily as vitamins, and intermixtures of the foregoing, whether or not in any solvent; 3504 - Peptones and their derivatives; other protein substances and their derivatives, n.e.s.; hide powder, whether or not chromed (excl. organic or inorganic compounds of mercury whether or not chemically defined);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2309 - Preparations of a kind used in animal feeding; 0106 - Live animals (excl. horses, asses, mules, hinnies, bovine animals, swine, sheep, goats, poultry, fish, crustaceans, molluscs and other aquatic invertebrates, and microorganic cultures etc.)</t>
  </si>
  <si>
    <t>Peru</t>
  </si>
  <si>
    <d:r xmlns:d="http://schemas.openxmlformats.org/spreadsheetml/2006/main">
      <d:rPr>
        <d:sz val="11"/>
        <d:rFont val="Calibri"/>
      </d:rPr>
      <d:t xml:space="preserve">https://members.wto.org/crnattachments/2023/SPS/RUS/23_1241_00_x.pdf
https://fsvps.gov.ru/ru/fsvps/laws/215964.html</d:t>
    </d:r>
  </si>
  <si>
    <t>Letter of the Federal Service for Veterinary and Phytosanitary Surveillance No. FS-ARe-7/4954-5 as of 24 January 2023</t>
  </si>
  <si>
    <t>This letter introduces a temporary restriction on import of life poultry and poultry products from Ecuador to the territory of the Russian Federation and on transit of live poultry through the Russian territory due to the outbreak of high pathogenic avian influenza.</t>
  </si>
  <si>
    <t>0105 - Live poultry, "fowls of the species Gallus domesticus, ducks, geese, turkeys and guinea fowls"; 860691 - Railway or tramway goods vans and wagons, covered and closed (excl. self-discharging goods vans and wagons and tank wagons and the like); 843680 - Agricultural, horticultural, forestry or bee-keeping machinery, n.e.s.; 843621 - Poultry incubators and brooders; 843610 - Machinery for preparing animal feedingstuffs in agricultural holdings and similar undertakings (excl. machinery for the feedingstuff industry, forage harvesters and autoclaves for cooking fodder); 7616 - Articles of aluminium, n.e.s.; 7326 - Articles of iron or steel, n.e.s. (excl. cast articles); 7310 - Tanks, casks, drums, cans, boxes and similar containers, of iron or steel, for any material "other than compressed or liquefied gas", of a capacity of &lt;= 300 l, not fitted with mechanical or thermal equipment, whether or not lined or heat-insulated, n.e.s.; 190420 - Prepared foods obtained from unroasted cereal flakes or from mixtures of unroasted cereal flakes and roasted cereal flakes or swelled cereals; 190220 - Pasta, stuffed with meat or other substances, whether or not cooked or otherwise prepared; 160300 - Extracts and juices of meat, fish or crustaceans, molluscs and other aquatic invertebrates; 1602 - Prepared or preserved meat, offal or blood (excl. sausages and similar products, and meat extracts and juices); 160100 - Sausages and similar products, of meat, offal or blood; food preparations based on these products; 860900 - Containers, incl. containers for the transport of fluids, specially designed and equipped for carriage by one or more modes of transport; 151800 -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1501 - Pig fat, incl. lard, and poultry fat, rendered or otherwise extracted (excl. lard stearin and lard oil); 0511 - Animal products n.e.s.; dead animals of all types, unfit for human consumption; 0505 - Skins and other parts of birds, with their feathers or down, feathers and parts of feathers, whether or not with trimmed edges, and down, not further worked than cleaned, disinfected or treated for preservation; powder and waste of feathers or parts of feathers; 050400 - Guts, bladders and stomachs of animals (other than fish), whole and pieces thereof, fresh, chilled, frozen, salted, in brine, dried or smoked; 041000 - Turtles' eggs, birds' nests and other edible products of animal origin, n.e.s.; 0408 - Birds' eggs, not in shell, and egg yolks, fresh, dried, cooked by steaming or by boiling in water, moulded, frozen or otherwise preserved, whether or not containing added sugar or other sweetening matter; 0407 - Birds' eggs, in shell, fresh, preserved or cooked; 0210 - Meat and edible offal, salted, in brine, dried or smoked; edible flours and meals of meat or meat offal; 0209 - Pig fat, free of lean meat, and poultry fat, not rendered or otherwise extracted, fresh, chilled, frozen, salted, in brine, dried or smoked; 0208 - Meat and edible offal of rabbits, hares, pigeons and other animals, fresh, chilled or frozen (excl. of bovine animals, swine, sheep, goats, horses, asses, mules, hinnies, poultry "fowls of the species Gallus domesticus", ducks, geese, turkeys and guinea fowls); 0207 - Meat and edible offal of fowls of the species Gallus domesticus, ducks, geese, turkeys and guinea fowls, fresh, chilled or frozen; 151610 - Animal fats and oils and their fractions, partly or wholly hydrogenated, inter-esterified, re-esterified or elaidinised, whether or not refined, but not further prepared; 871639 - Trailers and semi-trailers for the transport of goods, not designed for running on rails (excl. self-loading or self-unloading trailers and semi-trailers for agricultural purposes and tanker trailers and tanker semi-trailers); 2309 - Preparations of a kind used in animal feeding; 2936 - Provitamins and vitamins, natural or reproduced by synthesis, incl. natural concentrates, derivatives thereof used primarily as vitamins, and intermixtures of the foregoing, whether or not in any solvent; 3504 - Peptones and their derivatives; other protein substances and their derivatives, n.e.s.; hide powder, whether or not chromed (excl. organic or inorganic compounds of mercury whether or not chemically defined); 3507 - Enzymes; prepared enzymes, n.e.s.; 3808 - Insecticides, rodenticides, fungicides, herbicides, anti-sprouting products and plant-growth regulators, disinfectants and similar products, put up for retail sale or as preparations or articles, e.g. sulphur-treated bands, wicks and candles, and fly-papers; 3824 - Prepared binders for foundry moulds or cores; chemical products and preparations for the chemical or allied industries, incl. mixtures of natural products, n.e.s.; 3923 - Articles for the conveyance or packaging of goods, of plastics; stoppers, lids, caps and other closures, of plastics; 3926 - Articles of plastics and articles of other materials of heading 3901 to 3914, n.e.s.; 4415 - Packing cases, boxes, crates, drums and similar packings, of wood; cable-drums of wood; pallets, box pallets and other load boards, of wood; pallet collars of wood (excl. containers specially designed and equipped for one or more modes of transport); 441600 - Casks, barrels, vats, tubs and other coopers' products parts thereof, of wood, incl. staves; 4421 - Other articles of wood, n.e.s.; 702000 - Articles of glass,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0106 - Live animals (excl. horses, asses, mules, hinnies, bovine animals, swine, sheep, goats, poultry, fish, crustaceans, molluscs and other aquatic invertebrates, and microorganic cultures etc.); 2102 - Yeasts, active or inactive; other dead single-cell micro-organisms, prepared baking powders (excl. single-cell micro-organisms packaged as medicaments); 2104 - Soups and broths and preparations therefor; food preparations consisting of finely homogenised mixtures of two or more basic ingredients such as meat, fish, vegetables or fruit, put up for retail sale as infant food or for dietetic purposes, in containers of &lt;= 250 g; 2106 - Food preparations, n.e.s.; 420600 - Articles of gut, goldbeater's skin, bladders or tendons (excl. silkworm gut, sterile catgut, other sterile surgical suture material and strings for musical instruments); 950810 - Travelling circuses and travelling menageries; 970500 - Collections and collector's pieces of zoological, botanical, mineralogical, anatomical, historical, archaeological, palaeontological, ethnographic or numismatic interest</t>
  </si>
  <si>
    <t>Animal diseases; Food safety; Animal health; Human health; Avian Influenza; Zoonoses</t>
  </si>
  <si>
    <t>Ecuador</t>
  </si>
  <si>
    <d:r xmlns:d="http://schemas.openxmlformats.org/spreadsheetml/2006/main">
      <d:rPr>
        <d:sz val="11"/>
        <d:rFont val="Calibri"/>
      </d:rPr>
      <d:t xml:space="preserve">https://members.wto.org/crnattachments/2023/SPS/RUS/23_1242_00_x.pdf
https://fsvps.gov.ru/ru/fsvps/laws/215977.html</d:t>
    </d:r>
  </si>
  <si>
    <t>Eurasian Economic Commission Collegium Draft Decision on amendments to the Section 12 of the Chapter II of the Common sanitary-epidemiological and hygienic requirements for products subject to sanitary-epidemiological supervision (control) </t>
  </si>
  <si>
    <t>Draft amendments provides for the addition of the Section 12 of the Chapter II of the Common sanitary-epidemiological and hygienic requirements for products subject to sanitary-epidemiological supervision (control) with requirements for menstrual cups – personal care products for women.</t>
  </si>
  <si>
    <t>3924 90 000 9, 3926, 4014 90 000 0, 4803 00, 4818, 9619 00</t>
  </si>
  <si>
    <t>3924 - Tableware, kitchenware, other household articles and toilet articles, of plastics (excl. baths, shower-baths, washbasins, bidets, lavatory pans, seats and covers, flushing cisterns and similar sanitary ware); 3926 - Articles of plastics and articles of other materials of heading 3901 to 3914, n.e.s.; 4014 - Hygienic or pharmaceutical articles, incl. teats, of vulcanised rubber (excl. hard rubber), with or without fittings of hard rubber, n.e.s. (excl. articles of apparel and clothing accessories, incl. gloves, for all purposes); 4803 - 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 4818 - 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 9619 - Sanitary towels (pads) and tampons, napkins and napkin liners for babies, and similar articles, of any material</t>
  </si>
  <si>
    <t>https://docs.eaeunion.org/ria/ru-ru/0105776/ria_27012023</t>
  </si>
  <si>
    <t>Eurasian Economic Commission Council Draft Decision on amendments to the Chapter II of the Single List of Goods, subject to sanitary-and-epidemiologic supervision (control) on the customs border and customs area of the Eurasian Economic Union</t>
  </si>
  <si>
    <t>The draft provides for the addition of the Chapter II of the Single List of Goods, subject to sanitary-and-epidemiologic supervision (control) on the customs border and customs area of the Eurasian Economic Union approved by the Decision of the Commission of the Customs Union dated 28 May, 2010 No. 299 with products «facilities and products for oral hygiene».</t>
  </si>
  <si>
    <t>Oral hygiene products </t>
  </si>
  <si>
    <t>3306 - Preparations for oral or dental hygiene, incl. denture fixative pastes and powders; yarn used to clean between the teeth "dental floss", in individual retail packages</t>
  </si>
  <si>
    <t>https://docs.eaeunion.org/ria/ru-ru/0105780/ria_27012023</t>
  </si>
  <si>
    <t xml:space="preserve">Amendments to the Customs Union Technical Regulation “On Safety of Perfume and Cosmetic Products” _x000D_
(CU TR 009/2011) (annual, 52 pages, in Russian).</t>
  </si>
  <si>
    <t>Updating of Annexes 1-5 to the Customs Union Technical regulation  "On Safety of Perfume and Cosmetic Products" (CU TR 009/2011)</t>
  </si>
  <si>
    <t>Perfume and cosmetic products</t>
  </si>
  <si>
    <t>71.100.70 - Cosmetics. Toiletries</t>
  </si>
  <si>
    <d:r xmlns:d="http://schemas.openxmlformats.org/spreadsheetml/2006/main">
      <d:rPr>
        <d:sz val="11"/>
        <d:rFont val="Calibri"/>
      </d:rPr>
      <d:t xml:space="preserve">https://docs.eaeunion.org/pd/ru-ru/0108029/pd_10012023</d:t>
    </d:r>
  </si>
  <si>
    <t>Amendments to the Customs Union Technical Regulation “On Safety of Perfume and Cosmetic Products” (CU TR 009/2011)https://docs.eaeunion.org/ru-ru/Pages/regulation.aspx#ContentTypeId=%5B%5DThe Customs Union Technical Regulation “On Safety of Perfume and Cosmetic Products” (CU TR 009/2011)http://www.eurasiancommission.org/ru/act/texnreg/deptexreg/tr/Pages/bezopParfum.aspx</t>
  </si>
  <si>
    <t>This letter notes that due to the detection of "Halyomorpha halys" in apples originated and imported from North Macedonia, imports of apples originated and imported from this country to the Russian Federation is temporarily restricted.</t>
  </si>
  <si>
    <t>080810 - Fresh apples</t>
  </si>
  <si>
    <d:r xmlns:d="http://schemas.openxmlformats.org/spreadsheetml/2006/main">
      <d:rPr>
        <d:sz val="11"/>
        <d:rFont val="Calibri"/>
      </d:rPr>
      <d:t xml:space="preserve">https://members.wto.org/crnattachments/2022/SPS/RUS/22_8275_00_x.pdf</d:t>
    </d:r>
  </si>
  <si>
    <t>Draft Decision of the Council of the Eurasian Economic Commission on Amendments to Certain Decisions of the Council of the Eurasian Economic Commission</t>
  </si>
  <si>
    <t>The Draft brings the List of quarantined products (freights, materials, goods) subject to quarantine phytosanitary control (surveillance) at the customs border of the Eurasian Economic Union (EAEU), approved by the Decision of the Commission of the Customs Union dated 18 June 2010 No. 318 and the Common Quarantine Phytosanitary Requirements for Quarantine Products and Quarantine Objects at the Customs Border and in the Customs Territory of the EAEU, approved by the Decision of the Council of the Eurasian Economic Commission dated 30 November 2016 No. 157 in compliance with the current Common Commodity Nomenclature of Foreign Economic Activity of the Eurasian Economic Union (as amended by the Decision of the Collegium of the Eurasian Economic Commission dated 12 May 2022 No. 74).The Draft decision of the Council of the Eurasian Economic Commission presents a new edition of the position with HS Codes in 1212 94 000 0, in 1212 99 950 0 in section I of the List of quarantine products in order to minimize the risks of entry of quarantine objects typical for these types of quarantine products into the customs territory of the EAEU. Quarantine phytosanitary requirements are established in relation to the mentioned quarantine products. </t>
  </si>
  <si>
    <d:r xmlns:d="http://schemas.openxmlformats.org/spreadsheetml/2006/main">
      <d:rPr>
        <d:sz val="11"/>
        <d:rFont val="Calibri"/>
      </d:rPr>
      <d:t xml:space="preserve">https://members.wto.org/crnattachments/2022/SPS/RUS/22_5718_00_x.pdf
https://docs.eaeunion.org/ria/ru-ru/0105524/ria_01082022</d:t>
    </d:r>
  </si>
  <si>
    <t>Draft technical regulation of the Eurasian Economic Union «Technical regulation on the nicotine containing products»</t>
  </si>
  <si>
    <t>The draft technical regulation of the Eurasian Economic Union on the nicotine containing products provides for the establishment of uniform mandatory requirements for nicotine containing products, including fillers of nicotine containing products (including nicotine-free ones), the content of substances in the aerosol when using nicotine delivery systems, as well as requirements for information applied to the packaging of nicotine-containing products, forms of assessment of their compliance, identification rules, labeling requirements and rules for its application.</t>
  </si>
  <si>
    <t>Nicotine-containing products</t>
  </si>
  <si>
    <d:r xmlns:d="http://schemas.openxmlformats.org/spreadsheetml/2006/main">
      <d:rPr>
        <d:sz val="11"/>
        <d:rFont val="Calibri"/>
      </d:rPr>
      <d:t xml:space="preserve">http://portai-docs.iisvvt.eec/pd/ru-ru/0107404/pd_11082022</d:t>
    </d:r>
  </si>
  <si>
    <t>Draft technical regulation of the Eurasian Economic Union «Technical regulation on the nicotine containing products»http://portai-docs.iisvvt.eec/pd/ru-ru/0107404/pd_11082022</t>
  </si>
  <si>
    <t>Draft amendments to the Rules of classification of medical devices depending on the potential risk of use</t>
  </si>
  <si>
    <t xml:space="preserve">The Draft amendments to the Rules of classification of medical devices depending on the potential risk of use apply to medical devices and provide for the following:_x000D_
clarification of the concepts; clarification of classification criteria for medical devices for in vitro diagnostics; establishment of criteria and conditions for the classification of software that is a medical device; clarification of classification of medical devices.</t>
  </si>
  <si>
    <t>Wadding, gauze, bandages and similar articles (for example, dressings, adhesive plasters, poultices), impregnated or coated with pharmaceutical substances or put up in forms or packings for retail sale for medical, surgical, dental or veterinary purposes. (HS code(s): 3005); Instruments and appliances used in medical, surgical, dental or veterinary sciences, including scintigraphic apparatus, other electro-medical apparatus and sight-testing instruments. (HS code(s): 9018);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(HS code(s): 9022);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(HS code(s): 9402)</t>
  </si>
  <si>
    <t>9022 - Apparatus based on the use of X-rays or of alpha, beta or gamma radiations, whether or not for medical, surgical, dental or veterinary uses, incl. radiography or radiotherapy apparatus, X-ray tubes and other X-ray generators, high tension generators, control panels and desks, screens, examination or treatment tables, chairs and the like; 9018 - Instruments and appliances used in medical, surgical, dental or veterinary sciences, incl. scintigraphic apparatus, other electro-medical apparatus and sight-testing instruments, n.e.s.; 3005 - Wadding, gauze, bandages and the like, e.g. dressings, adhesive plasters, poultices, impregnated or covered with pharmaceutical substances or put up for retail sale for medical, surgical, dental or veterinary purposes; 9402 - Medical, surgical, dental or veterinary furniture, e.g. operating tables, examination tables, hospital beds with mechanical fittings and dentists' chairs; barbers' chairs and similar chairs having rotating as well as both reclining and elevating movement; parts thereof</t>
  </si>
  <si>
    <t>Consumer information, labelling (TBT); Protection of human health or safety (TBT)</t>
  </si>
  <si>
    <t>Draft amendments to the Rules of classification of medical devices depending on the potential risk of use https://docs.eaeunion.org/ria/ru-ru/0105470/ria_29062022Decision № 173 of the Board of the Eurasian Economic Commission of December 22, 2015 https://docs.eaeunion.org/docs/ru-ru/0149288/clcd_30122015_173</t>
  </si>
  <si>
    <t>Draft Decision of the Collegium of the Eurasian Economic Commission on Amendments to the Regulation on Common veterinary (sanitary and veterinary) requirements for goods subject to veterinary control (surveillance) and Draft Decision of the Collegium of the Eurasian Economic Commission on Amendments to the Decision of the Commission of the Customs Union of 7 April 2011 No. 607</t>
  </si>
  <si>
    <t>The drafts provide for adoption of import veterinary requirements for animal fertilisers and fertilisers containing components of animal origin.</t>
  </si>
  <si>
    <t>Animal fertilisers and fertilisers containing components of animal origin (HS code: 3101)</t>
  </si>
  <si>
    <d:r xmlns:d="http://schemas.openxmlformats.org/spreadsheetml/2006/main">
      <d:rPr>
        <d:sz val="11"/>
        <d:rFont val="Calibri"/>
      </d:rPr>
      <d:t xml:space="preserve">https://members.wto.org/crnattachments/2022/SPS/RUS/22_4564_00_x.pdf
https://members.wto.org/crnattachments/2022/SPS/RUS/22_4564_01_x.pdf
https://docs.eaeunion.org/ria/ru-ru/0105426/ria_22062022
https://docs.eaeunion.org/ria/ru-ru/0105430/ria_22062022</d:t>
    </d:r>
  </si>
  <si>
    <t>Draft amendments to the Rules for conducting clinical and clinical laboratory tests of medical devices</t>
  </si>
  <si>
    <t xml:space="preserve">The draft amendments to the Rules for conducting clinical and clinical laboratory tests (studies) of medical devices apply to medical products put into circulation on the territory of the Eurasian Economic Union and envisage the following:_x000D_
clarification of the concepts;_x000D_
clarification of the conditions for obtaining clinical data for software that is a medical device;clarification of the conditions of comparability of medical devices when considering clinical data;_x000D_
clarification of the procedure for obtaining a permit for testing;_x000D_
clarification of test requirements;_x000D_
clarification of the grounds for excluding medical organizations from the unified register of authorized organizations authorized to conduct research (testing) of medical devices for the purpose of their registration;_x000D_
definition of requirements for the technical file of the software that is a medical device; clarification of the form of test reports.</t>
  </si>
  <si>
    <t>Wadding, gauze, bandages and similar products (bandages, adhesive plasters, poultices) impregnated or coated with pharmaceutical substances or packaged in molds or packages for retail sale for medical, surgical, dental or veterinary purposes (HS 3005); Devices and devices used in medicine, surgery, dentistry or veterinary medicine, including scintigraphic devices, other electromedical devices and vision testing devices (HS 9018); X-ray, alpha-, beta-, gamma-emitting devices; intended or not intended for medical, surgical, dental or veterinary use, including radiographic or radiotherapy equipment, X-ray tubes and other X-ray generators, high voltage generators, shields and control panels, screens, tables, chairs and similar products for examination and treatment (HS 9022); Medical, surgical, dental or veterinary furniture (for example, operating tables, examination tables, hospital beds with mechanical devices, dental chairs) hairdressing chairs and similar chairs with devices for rotation and simultaneously for tilting and lifting; parts of the above-mentioned products (HS 9402).</t>
  </si>
  <si>
    <t>3005 - Wadding, gauze, bandages and the like, e.g. dressings, adhesive plasters, poultices, impregnated or covered with pharmaceutical substances or put up for retail sale for medical, surgical, dental or veterinary purposes; 9018 - Instruments and appliances used in medical, surgical, dental or veterinary sciences, incl. scintigraphic apparatus, other electro-medical apparatus and sight-testing instruments, n.e.s.; 9002 - Lenses, prisms, mirrors and other optical elements, of any material, mounted, being parts of or fittings for instruments or apparatus (excl. such elements of glass not optically worked); 9402 - Medical, surgical, dental or veterinary furniture, e.g. operating tables, examination tables, hospital beds with mechanical fittings and dentists' chairs; barbers' chairs and similar chairs having rotating as well as both reclining and elevating movement; parts thereof</t>
  </si>
  <si>
    <d:r xmlns:d="http://schemas.openxmlformats.org/spreadsheetml/2006/main">
      <d:rPr>
        <d:sz val="11"/>
        <d:rFont val="Calibri"/>
      </d:rPr>
      <d:t xml:space="preserve">https://docs.eaeunion.org/ria/ru-ru/0104092/ria_09072020
https://docs.eaeunion.org/ria/ru-ru/0105401/ria%2008062022</d:t>
    </d:r>
  </si>
  <si>
    <t>Draft amendments to the Rules for conducting clinical and clinical-laboratory tests of medical devices: https://docs.eaeunion.org/ria/ru-ru/0104092/ria_09072020Decision No.29 of the Council of the Eurasian Economic Commission of February 12, 2016: https://docs.eaeunion.org/ria/ru-ru/0105401/ria_08062022</t>
  </si>
  <si>
    <t>Letter of  the Federal Service for Veterinary and Phytosanitary Surveillance No. FS-KS-7/15219 of 2 June 2022</t>
  </si>
  <si>
    <t>This letter introduces a temporary restriction on imports of live primates and rodents from all trading partners due to the outbreak of monkey pox.</t>
  </si>
  <si>
    <t>Live primates and rodents (of HS Code 0106)</t>
  </si>
  <si>
    <t>010611 - Live primates</t>
  </si>
  <si>
    <t>Protect humans from animal/plant pest or disease (SPS)</t>
  </si>
  <si>
    <t>Human health; Pests; Animal diseases</t>
  </si>
  <si>
    <d:r xmlns:d="http://schemas.openxmlformats.org/spreadsheetml/2006/main">
      <d:rPr>
        <d:sz val="11"/>
        <d:rFont val="Calibri"/>
      </d:rPr>
      <d:t xml:space="preserve">https://members.wto.org/crnattachments/2022/SPS/RUS/22_4119_00_x.pdf</d:t>
    </d:r>
  </si>
  <si>
    <t>There is no sufficient studies of the spread of the monkey pox virus, and no international standard has been developed yet. This provisional measure is adopted on the basis of available pertinent information on the spread of the infection.</t>
  </si>
  <si>
    <t>Draft Decision of the Board of the Eurasian Economic Commission on Approval of the Procedure for Traceability of Quarantined Products (Quarantined Freights, Quarantined Materials, Quarantined Goods) imported into the Customs Territory of the EAEU and moved through the Customs Territory of the EAEU</t>
  </si>
  <si>
    <t>The regulation provides for a coordinated approach to ensuring the traceability of quarantined products (freights, goods, materials) of a high phytosanitary risk. The draft regulation applies to the products in the List of quarantined products subject to quarantine phytosanitary control (supervision) at the customs border of the EAEU and imported into the customs territory of the EAEU and moved through the customs territory of the EAEU, approved by the Customs Union Commission Decision as of 18 June 2010 No. 318.</t>
  </si>
  <si>
    <d:r xmlns:d="http://schemas.openxmlformats.org/spreadsheetml/2006/main">
      <d:rPr>
        <d:sz val="11"/>
        <d:rFont val="Calibri"/>
      </d:rPr>
      <d:t xml:space="preserve">https://members.wto.org/crnattachments/2022/SPS/RUS/22_4155_00_x.pdf
https://docs.eaeunion.org/ria/ru-ru/0105394/ria_02062022</d:t>
    </d:r>
  </si>
  <si>
    <t>Draft amendment to the Guideline on Non-clinical Safety Studies for the Conduct of Clinical Trials and Marketing Authorization of Medicinal Products</t>
  </si>
  <si>
    <t>Granting the right to drug manufacturers to submit data from the full preclinical development program on individual components of a drug from a combination of 2 active substances at any stage of development, while limiting themselves to short-term studies of the combination itself.</t>
  </si>
  <si>
    <t>National security requirements (TBT); Consumer information, labelling (TBT); Prevention of deceptive practices and consumer protection (TBT); Reducing trade barriers and facilitating trade (TBT)</t>
  </si>
  <si>
    <d:r xmlns:d="http://schemas.openxmlformats.org/spreadsheetml/2006/main">
      <d:rPr>
        <d:sz val="11"/>
        <d:rFont val="Calibri"/>
      </d:rPr>
      <d:t xml:space="preserve">https://docs.eaeunion.org/ria/ru-ru/0105347/ria_13052022</d:t>
    </d:r>
  </si>
  <si>
    <t>Draft amendment No 2 to the technical regulation of the Customs Union «On the Safety of Personal Protective Equipment» (CU TR 019/2011)</t>
  </si>
  <si>
    <t>Draft amendment № 2 to the technical regulation of the Customs Union «On the Safety of Personal Protective Equipment» (CU TR 019/2011) provides for clarifying the requirements for particular subjects of technical regulation and the inclusion of new subjects of technical regulation, as well as updating the names of personal protective equipment.</t>
  </si>
  <si>
    <t>Personal protective equipment</t>
  </si>
  <si>
    <t>13.340 - Protective equipment</t>
  </si>
  <si>
    <d:r xmlns:d="http://schemas.openxmlformats.org/spreadsheetml/2006/main">
      <d:rPr>
        <d:sz val="11"/>
        <d:rFont val="Calibri"/>
      </d:rPr>
      <d:t xml:space="preserve">http://docs.eaeunion.org/pd/ru-ru/0107152/pd_05052022</d:t>
    </d:r>
  </si>
  <si>
    <t>Draft Decisions of the Board of the Eurasian Economic Commission on Amendments to the Chapter 37 of the Regulation on Common Veterinary (Sanitary and Veterinary) Requirements for Goods Subject to Veterinary Control (Surveillance) and on Amendments to the Form of Common Veterinary Certificate for Import into the Customs Territory of the EAEU of Feed Additives for Cats and Dogs and of Prepared Feeds for Cats and Dogs that have passed Heat Treatment (Form No 36)</t>
  </si>
  <si>
    <t>Draft decisions provide for amendments to the requirements for feed additives for cats and dogs, as well as prepared feeds for cats and dogs that have passed heat treatment, with regard to heat treatment regimes to which raw materials of animal origin are subjected during the production of prepared feeds and feed additives.</t>
  </si>
  <si>
    <t>Prepared feeds (feed additives) for cats and dogs (HS code: 2309)</t>
  </si>
  <si>
    <t>Animal diseases; Feed additives; Animal feed; Animal health</t>
  </si>
  <si>
    <d:r xmlns:d="http://schemas.openxmlformats.org/spreadsheetml/2006/main">
      <d:rPr>
        <d:sz val="11"/>
        <d:rFont val="Calibri"/>
      </d:rPr>
      <d:t xml:space="preserve">https://members.wto.org/crnattachments/2022/SPS/RUS/22_3378_00_x.pdf
https://members.wto.org/crnattachments/2022/SPS/RUS/22_3378_01_x.pdf
https://docs.eaeunion.org/ria/ru-ru/0105338/ria_11052022
https://docs.eaeunion.org/ria/ru-ru/0105334/ria_11052022</d:t>
    </d:r>
  </si>
  <si>
    <t xml:space="preserve">Draft Decision of the Council of the Eurasian Economic Commission "On temporary measures to establish the specifics of the circulation of medicines for human use"_x000D_
https://docs.eaeunion.org/ria/ru-ru/0105304/ria_18042022</t>
  </si>
  <si>
    <t>Improving the legislative base of the Eurasian Economic Union in circulation of medicines in terms of ensuring the registration process of medicines during the period of special economic measures in the absence or threat of absence of medicines on the market of the Member States of the Eurasian Economic Union in order to protect the life and health of the population, ensure drug safety and sustainable circulation of medicines within the Eurasian Economic Union.</t>
  </si>
  <si>
    <t>Protection of human health or safety (TBT); Quality requirements (TBT)</t>
  </si>
  <si>
    <d:r xmlns:d="http://schemas.openxmlformats.org/spreadsheetml/2006/main">
      <d:rPr>
        <d:sz val="11"/>
        <d:rFont val="Calibri"/>
      </d:rPr>
      <d:t xml:space="preserve">https://docs.eaeunion.org/ria/ru-ru/0105304/ria_18042022</d:t>
    </d:r>
  </si>
  <si>
    <t>Draft amendments to the Technical Regulation of the Customs Union "On the Safety of Personal Protective Equipment" (CU TR 019/2011) regarding the establishment of forms, schemes, and conformity assessment procedures based on standard conformity assessment schemes approved by the Decision of the Commission Council No. 44 dated April 18, 2018</t>
  </si>
  <si>
    <t>The draft amendments give the following clarifications:the statement of subparagraph 1 of paragraph 1 of section 1 "Scope of application" of the TR CU 019/2011the wording of the paragraph 1 of the section 2 "Definitions" of the CU TR 019/2011, wording of the section 5 "Conformity assurance" of the CU TR 019/2011</t>
  </si>
  <si>
    <t>Prevention of deceptive practices and consumer protection (TBT); Protection of human health or safety (TBT)</t>
  </si>
  <si>
    <d:r xmlns:d="http://schemas.openxmlformats.org/spreadsheetml/2006/main">
      <d:rPr>
        <d:sz val="11"/>
        <d:rFont val="Calibri"/>
      </d:rPr>
      <d:t xml:space="preserve">http://docs.eaeunion.org/pd/ru-ru/0107097/pd_15042022 
http://www.eurasiancommission.ora/ru/act/texnreg/deptexnreg/tr/Documents/TP%20TS %20SIZ.pdf</d:t>
    </d:r>
  </si>
  <si>
    <t xml:space="preserve">Draft amendments to the Technical Regulation of the Customs Union "On the Safety of Personal Protective Equipment" (CU TR 019/2011 regarding the establishment of forms, schemes, and conformity assessment procedures based on standard conformity assessment schemes approved by the Decision No. 44 of the Commission Council dated April 18, 2018_x000D_
http://docs.eaeunion.org/pd/ru-ru/0107097/pd 15042022 Technical Regulation of the Customs Union "On the Safety of Personal Protective Equipment" (CU TR 019/2011), adopted by the Decision No. 878 of the Customs Union Commission of December 9, 2011_x000D_
http://www.eurasiancommission.ora/ru/act/texnreg/deptexnreg/tr/Documents/TP%20TS%20SIZ.pdf</t>
  </si>
  <si>
    <t>Draft Decisions of the Board (Collegium) of the Eurasian Economic Commission on Amendments to the Chapters 1 and 16 of the Regulation on Common Veterinary (Sanitary and Veterinary) Requirements for Goods Subject to Veterinary Control (Surveillance) and on Amendments to the Forms of Common Veterinary Certificates for Imports into the Customs Territory of the Eurasian Economic Union of Controlled Goods from Third Countries</t>
  </si>
  <si>
    <t>Draft decisions provide for amendments to the forms of veterinary certificate and the requirements to the imports into the EAEU of live bovine animals, as well as large artiodactyl animals with regard to the bovine spongiform encephalopathy (BSE).</t>
  </si>
  <si>
    <t>Live bovine animals and large artiodactyls (HS Code: 0102)</t>
  </si>
  <si>
    <t>0102 - Live bovine animals</t>
  </si>
  <si>
    <t>Animal diseases; Zoonoses; Animal health; Bovine Spongiform Encephalopathy (BSE)</t>
  </si>
  <si>
    <d:r xmlns:d="http://schemas.openxmlformats.org/spreadsheetml/2006/main">
      <d:rPr>
        <d:sz val="11"/>
        <d:rFont val="Calibri"/>
      </d:rPr>
      <d:t xml:space="preserve">https://members.wto.org/crnattachments/2022/SPS/RUS/22_2820_00_x.pdf
https://members.wto.org/crnattachments/2022/SPS/RUS/22_2820_01_x.pdf
https://docs.eaeunion.org/ria/ru-ru/0105257/ria_11042022
https://docs.eaeunion.org/ria/ru-ru/0105261/ria_11042022</d:t>
    </d:r>
  </si>
  <si>
    <t>Draft Decision of the Collegium of the Eurasian Economic Commission on Amendments to the Decision of the Commission of the Customs Union of 18 October 2011 No. 835 on the equivalence of sanitary, veterinary and phytosanitary measures and on conducting a risk assessment</t>
  </si>
  <si>
    <t>The draft provides for technical amendments to the Decision of the Customs Union Commission No. 835, regulating the application of equivalence and risk assessment of SPS measures and it provides for an opportunity to use if applicable risk assessment conducted by third countries.</t>
  </si>
  <si>
    <t>Goods (products) subject to sanitary, veterinary (veterinary-sanitary) and phytosanitary control</t>
  </si>
  <si>
    <t>Food safety (SPS); Animal health (SPS); Plant protection (SPS); Protect humans from animal/plant pest or disease (SPS); Protect territory from other damage from pests (SPS)</t>
  </si>
  <si>
    <t>Animal diseases; Territory protection; Food safety; Plant health; Animal health; Human health; Plant diseases</t>
  </si>
  <si>
    <d:r xmlns:d="http://schemas.openxmlformats.org/spreadsheetml/2006/main">
      <d:rPr>
        <d:sz val="11"/>
        <d:rFont val="Calibri"/>
      </d:rPr>
      <d:t xml:space="preserve">https://members.wto.org/crnattachments/2022/SPS/RUS/22_2705_00_x.pdf
https://docs.eaeunion.org/ria/ru-ru/0105240/ria_05042022</d:t>
    </d:r>
  </si>
  <si>
    <t>Draft Decision of the Council of the Eurasian Economic Commission on Amendments to the Decision of the Council of the Eurasian Economic Commission of 7 November 2016 No. 159</t>
  </si>
  <si>
    <t>The draft provides for the amendments in regulation of surveillance at the places of production (manufacturing), sorting, storage and packaging of seed and planting material imported into the customs territory of the Eurasian Economic Union from third countries, and for pre-shipment control in the territory of third countries of batches of seed and planting material imported into the customs territory of the Union.</t>
  </si>
  <si>
    <t>Seed and planting material</t>
  </si>
  <si>
    <t>Protect territory from other damage from pests (SPS)</t>
  </si>
  <si>
    <d:r xmlns:d="http://schemas.openxmlformats.org/spreadsheetml/2006/main">
      <d:rPr>
        <d:sz val="11"/>
        <d:rFont val="Calibri"/>
      </d:rPr>
      <d:t xml:space="preserve">https://members.wto.org/crnattachments/2022/SPS/RUS/22_2268_00_x.pdf
https://docs.eaeunion.org/ria/ru-ru/0105173/ria_01032022</d:t>
    </d:r>
  </si>
  <si>
    <t>Draft amendments to the Rules for conducting pharmaceutical inspections</t>
  </si>
  <si>
    <t>The draft amendments to the Rules for conducting pharmaceutical inspections set out the unified approaches to carry out pharmaceutical inspections, including the use of remote communication (for instance, via audio or video) by decision of the pharmaceutical inspectorate of a Member State of the Eurasian Economic Union in the following conditions:- threats of occurrence and elimination of an emergency situation and (or) in case of a threat of the spread of epidemic diseases that pose a danger to others, diseases and injuries resulting from exposure to adverse chemical, biological, radiation factors;- the occurrence of majeure circumstances or circumstances beyond the control of the parties that may cause harm to inspectors'  health and lives (for instance, for medical or other reasons).</t>
  </si>
  <si>
    <t>Prevention of deceptive practices and consumer protection (TBT); Protection of human health or safety (TBT); Reducing trade barriers and facilitating trade (TBT)</t>
  </si>
  <si>
    <t>Draft amendments to the Rules for conducting pharmaceutical inspectionshttp://docs.eaeunion.org/ria/ru-ru/0105192/ria_05032022</t>
  </si>
  <si>
    <t>The Order of the Rosstandard dated as of 28 January 2022 № 41-st amending the Order dated as of 11 January 2022 № 1-st that introduced the National Standard of the Russian Federation GOST R 56836-2016 "Conformity Assessment. Rules of Cement Certification".</t>
  </si>
  <si>
    <t>The Order of the Rosstandard amends paragraph 8.2 of the GOST R 56836-2016 "Conformity Assessment. Rules of Cement Certification" suspending additional inspection control of certified cement imported from non-EAEU countries.</t>
  </si>
  <si>
    <t>Cement, incl. cement clinkers, whether or not coloured (HS code(s): 2523); Cement. Gypsum. Lime. Mortar (ICS code(s): 91.100.10)</t>
  </si>
  <si>
    <t>2523 - Cement, incl. cement clinkers, whether or not coloured</t>
  </si>
  <si>
    <t>91.100.10 - Cement. Gypsum. Lime. Mortar</t>
  </si>
  <si>
    <t>Protection of human health or safety (TBT); Quality requirements (TBT); Reducing trade barriers and facilitating trade (TBT)</t>
  </si>
  <si>
    <d:r xmlns:d="http://schemas.openxmlformats.org/spreadsheetml/2006/main">
      <d:rPr>
        <d:sz val="11"/>
        <d:rFont val="Calibri"/>
      </d:rPr>
      <d:t xml:space="preserve">https://protect.gost.ru/document.aspx?control=7&amp;baseC=6&amp;page=0&amp;month=3&amp;year=2022&amp;search=56836-2016&amp;RegNum=1&amp;DocOnPageCount=15&amp;id=243045</d:t>
    </d:r>
  </si>
  <si>
    <t>The Order of the Rosstandard dated as of 28 January 2022 № 41-sthttps://protect.gost.ru/document.aspx?control=7&amp;baseC=6&amp;page=0&amp;month=3&amp;year=2022&amp;search=56836-2016&amp;RegNum=1&amp;DocOnPageCount=15&amp;id=243045</t>
  </si>
  <si>
    <t>Letter of the Federal Service for Veterinary and Phytosanitary Surveillance No. FS-SA-3/2655 of 3 February 2022</t>
  </si>
  <si>
    <t>The Russian Federation lifted provisional restrictions on imports of fresh citrus fruits from China on 3 February 2022.</t>
  </si>
  <si>
    <t>0805 - Citrus fruit, fresh or dried</t>
  </si>
  <si>
    <t>Plant health; Withdrawal of the measure; Pests</t>
  </si>
  <si>
    <t>Letter of the Federal Service for Veterinary and Phytosanitary Surveillance No. FS-YUSCH-3/4303 of 18 February 2022</t>
  </si>
  <si>
    <t>The Russian Federation lifted provisional restrictions on imports of fresh apples, pears, quince, fresh apricots, cherries, peaches, nectarines, plums, sloes from China on 20 February 2022.</t>
  </si>
  <si>
    <t>0809 - Apricots, cherries, peaches incl. nectarines, plums and sloes, fresh; 080930 - Fresh peaches, incl. nectarines; 080920 - Fresh cherries; 080910 - Fresh apricots; 080940 - Fresh plums and sloes</t>
  </si>
  <si>
    <t>Plant diseases; Plant health; Withdrawal of the measure; Pests</t>
  </si>
  <si>
    <t>The draft provides for amendments of the import requirements for zoo and circus animals, and sets out the import requirements for in vitro produced cattle and small ruminants embryos.</t>
  </si>
  <si>
    <t>Live animals; cattle and small ruminants embryos (HS Codes: 01, 0102, 0104)</t>
  </si>
  <si>
    <t>0104 - Live sheep and goats; 01 - LIVE ANIMALS; 0102 - Live bovine animals</t>
  </si>
  <si>
    <d:r xmlns:d="http://schemas.openxmlformats.org/spreadsheetml/2006/main">
      <d:rPr>
        <d:sz val="11"/>
        <d:rFont val="Calibri"/>
      </d:rPr>
      <d:t xml:space="preserve">https://members.wto.org/crnattachments/2022/SPS/RUS/22_1858_00_x.pdf
https://members.wto.org/crnattachments/2022/SPS/RUS/22_1858_01_x.pdf
https://docs.eaeunion.org/ria/ru-ru/0105162/ria_24022022
https://docs.eaeunion.org/ria/ru-ru/0105166/ria_24022022</d:t>
    </d:r>
  </si>
  <si>
    <t>Letter of the Federal Service for the Veterinary and Phytosanitary Surveilance (Rosselkhoznadzor) No. FS-YUSH-3/4287 of 18 February 2022</t>
  </si>
  <si>
    <t>The Russian Federation lifted provisional restrictions on imports of unmanufactured tobacco and tobacco refuse from Japan on 22 February 2022.</t>
  </si>
  <si>
    <t>2401 - Unmanufactured tobacco; tobacco refuse</t>
  </si>
  <si>
    <t>Pests; Territory protection; Plant health; Withdrawal of the measure</t>
  </si>
  <si>
    <t>Draft Decision of the Council of the Eurasian Economic Commission on Amendments to the Annex to the Decision of the Commission of the Customs Union as of 23 September 2011, No. 810</t>
  </si>
  <si>
    <t>The draft provides for the specification of veterinary measures for particular goods classified under the Group 29 of the Common Commodity Nomenclature of Foreign Economic Activity of the Eurasian Economic Union.</t>
  </si>
  <si>
    <t>Lysine and its esters; salts thereof (HS Code: 2922 41)</t>
  </si>
  <si>
    <t>292241 - Lysine and its esters; salts thereof</t>
  </si>
  <si>
    <d:r xmlns:d="http://schemas.openxmlformats.org/spreadsheetml/2006/main">
      <d:rPr>
        <d:sz val="11"/>
        <d:rFont val="Calibri"/>
      </d:rPr>
      <d:t xml:space="preserve">https://members.wto.org/crnattachments/2022/SPS/RUS/22_1607_00_x.pdf</d:t>
    </d:r>
  </si>
  <si>
    <t>Draft Decision of the Council of the Eurasian Economic Commission "On Amendments to Certain Decisions of the Council of the Eurasian Economic Commission"</t>
  </si>
  <si>
    <t xml:space="preserve">This draft provides for the inclusion of sugarbeet wireworm (Limonius californicus (Mannerheim) to the Common List of Quarantine Pests of the Eurasian Economic Union (EAEU) approved by the Decision of the Council of the Eurasian Economic Commission dated 30 November 2016 No. 158._x000D_
The draft also provides for updating the Common Quarantine Phytosanitary Requirements for Quarantine Products and Quarantine Objects at the Customs Border and in the Customs Territory of the EAEU approved by the Decision of the Council of the Eurasian Economic Commission dated 30 November 2016 No. 157 for the types of quarantine products which are allowed to be imported to the EAEU despite detection of certain pests.</t>
  </si>
  <si>
    <t>Pests; Territory protection; Plant health; Plant diseases</t>
  </si>
  <si>
    <d:r xmlns:d="http://schemas.openxmlformats.org/spreadsheetml/2006/main">
      <d:rPr>
        <d:sz val="11"/>
        <d:rFont val="Calibri"/>
      </d:rPr>
      <d:t xml:space="preserve">https://members.wto.org/crnattachments/2022/SPS/RUS/22_1468_00_x.pdf
https://docs.eaeunion.org/ria/ru-ru/0105114/ria_27012022</d:t>
    </d:r>
  </si>
  <si>
    <t>Federal Law No. 454-FZ as of December 30, 2021 "On Seed Production"</t>
  </si>
  <si>
    <t>The Federal Law No. 149-FZ as of December 17, 1997 "On Seed Production" (as amended on June 11, 2021) becomes invalid from September 1, 2023 due to the entry into force of the Federal Law No. 454-FZ as of December 30, 2021 "On Seed Production".The latter sets out the requirement for seeds and planting materials to be accompanied with a genetic passport and documents containing data on varietal and sowing (planting) quality indicators, issued by laboratories audited by the Federal Service for Veterinary and Phytosanitary Surveillance.State control (supervision) will be provided at the checkpoints at the state border of the Russian Federation and (or) places of full customs clearance.</t>
  </si>
  <si>
    <t>Seeds; Territory protection; Plant health; Plant diseases</t>
  </si>
  <si>
    <d:r xmlns:d="http://schemas.openxmlformats.org/spreadsheetml/2006/main">
      <d:rPr>
        <d:sz val="11"/>
        <d:rFont val="Calibri"/>
      </d:rPr>
      <d:t xml:space="preserve">https://members.wto.org/crnattachments/2022/SPS/RUS/22_1377_00_x.pdf
https://rg.ru/2022/01/11/semenovodstvo-dok.html</d:t>
    </d:r>
  </si>
  <si>
    <t>Eurasian Economic Commission Council Draft Decision on amendments to the Common Quarantine Phytosanitary Requirements for Quarantine Products and Quarantine Objects at the Customs Border and in the Customs Territory of the Eurasian Economic Union (EAEU) approved by the Decision of the Council of the Eurasian Economic Commission as of 30 November 2016 No. 157</t>
  </si>
  <si>
    <t xml:space="preserve">The draft provides for the inclusion of 11 new quarantine pests to the Common Quarantine Phytosanitary Requirements for Quarantine Products and Quarantine Objects at the Customs Border and in the Customs Territory of the EAEU:- Natal fruit fly (Ceratitis rosa Karsch),- Cucurbit beetle (Diabrotica speciosa Germar),- Western potato flea beetle (Epitrix subcrinita LeСonte),- Emarginate ips (Ips emarginatus LeСonte),- Monterey pine engraver (Pseudips mexicanus Hopkins),- Western cherry fruit fly (Rhagoletis indifferens Curran),- African armyworm (Spodoptera exempta Walker),- Sunflower fruit fly (Strauzia longipennis Wiedemann),- American dagger nematode (Xiphinema americanum sensu stricto Cobb),- Bricolense dagger nematode (Xiphinema bricolense Ebsary, Vrain &amp; Graham),- Californian dagger nematode (Xiphinema californicum Lamberti &amp; Bleve-Zacheo),_x000D_
The draft also provides for changes to the regulatory legal acts of the EAEU regarding the import into the customs territory of the EAEU of quarantine products weighing up to 5 kg in express cargo without a phytosanitary certificate.</t>
  </si>
  <si>
    <d:r xmlns:d="http://schemas.openxmlformats.org/spreadsheetml/2006/main">
      <d:rPr>
        <d:sz val="11"/>
        <d:rFont val="Calibri"/>
      </d:rPr>
      <d:t xml:space="preserve">https://members.wto.org/crnattachments/2022/SPS/RUS/22_0420_00_x.pdf
https://docs.eaeunion.org/ria/ru-ru/0105029/ria_21122021</d:t>
    </d:r>
  </si>
  <si>
    <t>Eurasian Economic Commission Council Draft Decision on amendments to the Procedure of state sanitary and epidemiological supervision (control) at the customs border and at the customs territory of the Eurasian Economic Union,  approved by the Customs Union Commission Decision as of 28 May 2010 No.299.</t>
  </si>
  <si>
    <t>The draft provides for application of risk analysis in accordance with relevant international rules when conducting state sanitary and epidemiological supervision (control).</t>
  </si>
  <si>
    <t>Goods (products) subject to sanitary and epidemiological supervision (control)</t>
  </si>
  <si>
    <d:r xmlns:d="http://schemas.openxmlformats.org/spreadsheetml/2006/main">
      <d:rPr>
        <d:sz val="11"/>
        <d:rFont val="Calibri"/>
      </d:rPr>
      <d:t xml:space="preserve">https://members.wto.org/crnattachments/2022/SPS/RUS/22_0102_00_x.pdf
https://docs.eaeunion.org/ria/ru-ru/0105041/ria_22122021</d:t>
    </d:r>
  </si>
  <si>
    <t>Draft amendments to the Guidelines for the preparation of a regulatory document on the quality of a medicinal product.</t>
  </si>
  <si>
    <t xml:space="preserve">The following are clarified:the procedure for the preparation of a regulatory document on quality, taking into account the specifications for a medicine, including specifications for the active pharmaceutical substances (active substances, APIs), intermediates and finished pharmaceutical products, as well as pharmacopoeial monographs;approaches to the identification and justification of the acceptance criteria (acceptable limits) and the identification of analytical methods used to evaluate these criteria._x000D_
_x000D_
_x000D_
</t>
  </si>
  <si>
    <d:r xmlns:d="http://schemas.openxmlformats.org/spreadsheetml/2006/main">
      <d:rPr>
        <d:sz val="11"/>
        <d:rFont val="Calibri"/>
      </d:rPr>
      <d:t xml:space="preserve">https://docs.eaeunion.org/ria/ru-ru/0104992/ria_29112021</d:t>
    </d:r>
  </si>
  <si>
    <t>Draft amendments to the Guidelines for the preparation of a regulatory document on the quality of a medicinal product https://docs.eaeunion.org/ria/ru-ru/0104992/ria_29112021</t>
  </si>
  <si>
    <t>Letter of the Federal Service for Veterinary and Phytosanitary Surveillance No. FS-NV-3/36037 as of 30 December 2019</t>
  </si>
  <si>
    <t>Letter of the Federal Service for Veterinary and Phytosanitary Surveillance No. FS-YUSH-3/35088 as of 2 December 2021 allows pomelo imports from several enterprises of China.</t>
  </si>
  <si>
    <t>Pests; Territory protection; Plant health; Modification of content/scope of regulation</t>
  </si>
  <si>
    <t>Draft Amendments № 3 to the Customs Union Technical Regulation «On the Safety of Toys»</t>
  </si>
  <si>
    <t>Сlarification of specific requirements of the technical regulation, including clarification of the content of the technical regulation, clarification of requirements for new types of toys (for instance, kids makeup and perfume, etc.), clarification of requirements for the maximum and equivalent sound level of toys.</t>
  </si>
  <si>
    <t>Toys</t>
  </si>
  <si>
    <t>97.200.50 - Toys</t>
  </si>
  <si>
    <d:r xmlns:d="http://schemas.openxmlformats.org/spreadsheetml/2006/main">
      <d:rPr>
        <d:sz val="11"/>
        <d:rFont val="Calibri"/>
      </d:rPr>
      <d:t xml:space="preserve">https://docs.eaeunion.org/ru-ru/Pages/regulation.aspx#ContentTypeId=%5B%5D
http://www.eurasiancommission.org/ru/act/texnreg/deptexreg/tr/Pages/bezopToys.aspx</d:t>
    </d:r>
  </si>
  <si>
    <t>Draft Amendments No 3 to the Customs Union Technical Regulation «On the Safety of Toys» (CU TR 008/2011)https://docs.eaeunion.org/ru-ru/Pages/regulation.aspx#ContentTypeId=%5B%5DThe Customs Union Technical Regulation «On the Safety of Toys» (CU TR 008/2011)http://www.eurasiancommission.org/ru/act/texnreg/deptexreg/tr/Pages/bezopToys.aspx</t>
  </si>
  <si>
    <t>Eurasian Economic Commission Council Draft Decision on amendments to the Common List of Quarantine Pests of the Eurasian Economic Union approved by the Eurasian Economic Commission Council Decision No. 158 dated 30 November 2016</t>
  </si>
  <si>
    <t xml:space="preserve">This draft provides for inclusion to the Common List of Quarantine Pests of the Eurasian Economic Union of 11 new quarantine pests:- Natal fruit fly (Ceratitis rosa Karsch);- Cucurbit beetle (Diabrotica speciosa Germar);- Western potato flea beetle (Epitrix subcrinita LeСonte);- Emarginate ips (Ips emarginatus LeСonte);- Monterey pine engraver (Pseudips mexicanus Hopkins);- Western cherry fruit fly (Rhagoletis indifferens Curran);- African armyworm (Spodoptera exempta Walker);- Sunflower fruit fly (Strauzia longipennis Wiedemann);- American dagger nematode (Xiphinema americanum sensu stricto Cobb);- Bricolense dagger nematode (Xiphinema bricolense Ebsary, Vrain &amp; Graham);_x000D_
- Californian dagger nematode (Xiphinema californicum Lamberti &amp; Bleve-Zacheo)._x000D_
Their introduction into the customs territory of the EAEU and their spread on it endangers the quarantine phytosanitary security of the EAEU member States.</t>
  </si>
  <si>
    <d:r xmlns:d="http://schemas.openxmlformats.org/spreadsheetml/2006/main">
      <d:rPr>
        <d:sz val="11"/>
        <d:rFont val="Calibri"/>
      </d:rPr>
      <d:t xml:space="preserve">https://members.wto.org/crnattachments/2021/SPS/RUS/21_7508_00_x.pdf
https://docs.eaeunion.org/ria/ru-ru/0104962/ria_19112021</d:t>
    </d:r>
  </si>
  <si>
    <t>The draft amendments to the technical regulation “On the Safety of Low Voltage Equipment’ (CU TR 004/2011) regarding the establishment of forms, schemes, and procedures for conformity assessment on the basis of standard conformity assessment schemes, approved by the Decision No. 44 of the EEC Council of April 18, 2018.</t>
  </si>
  <si>
    <t>The draft amendments include clarifications on the following:amendments to the Article 2 “Definitions” of the CU TR 004/2011;wording of the Article 6 of the CU TR 004/2011 "Ensuring compliance with safety requirements";wording of the Article 7 of the CU TR 004/2011 "Conformity assessment”; andadding of the articles on conformity assessment (Articles 8 and 9 of the draft amendments of the CU TR 004/2011).</t>
  </si>
  <si>
    <t>Low voltage equipment</t>
  </si>
  <si>
    <t>29.100 - Components for electrical equipment</t>
  </si>
  <si>
    <d:r xmlns:d="http://schemas.openxmlformats.org/spreadsheetml/2006/main">
      <d:rPr>
        <d:sz val="11"/>
        <d:rFont val="Calibri"/>
      </d:rPr>
      <d:t xml:space="preserve">https://docs.eaeunion.org/pd/ru-ru/0106749/pd_27102021</d:t>
    </d:r>
  </si>
  <si>
    <t>The draft amendments to the Customs Union Technical Regulation “On the Safety of Low Voltage Equipment” (CU TR 004/2011) regarding the establishment of forms, schemes, and procedures for conformity assessment on the basis of standard conformity assessment schemes, approved by the Decision No. 44 of the EEC Council of April 18, 2018.</t>
  </si>
  <si>
    <t>The draft amendments to the technical regulation “Electromagnetic Compatibility of Technical Means” (CU TR 020/2011) regarding the establishment of forms, schemes, and procedures for conformity assessment on the basis of standard conformity assessment schemes, approved by the Decision No. 44 of the Commission’s Council of April 18, 2018</t>
  </si>
  <si>
    <t>The draft amendments include clarifications on the following:amendments to the Article 2 “Definitions” of the CU TR 020/2011,wording of Article 6 of the CU TR 020/2011 "Ensuring compliance with safety requirements";wording of Article 7 of the CU TR 020/2011 "Conformity assessment” and adding of the articles on conformity assessment (Articles 8 and 9 in the draft amendments of the CU TR 020/2011).</t>
  </si>
  <si>
    <t>Technical means capable of creating electromagnetic interference and (or) the quality of functioning of which depends on the impact of external electromagnetic interference.</t>
  </si>
  <si>
    <t>33.100 - Electromagnetic compatibility (EMC)</t>
  </si>
  <si>
    <d:r xmlns:d="http://schemas.openxmlformats.org/spreadsheetml/2006/main">
      <d:rPr>
        <d:sz val="11"/>
        <d:rFont val="Calibri"/>
      </d:rPr>
      <d:t xml:space="preserve">https://docs.eaeunion.org/pd/ru-ru/0106758/pd_27102021</d:t>
    </d:r>
  </si>
  <si>
    <t>The draft amendments to the Customs Union Technical Regulation “Electromagnetic Compatibility of Technical Means” (CU TR 020/2011) regarding the establishment of forms, schemes, and procedures for conformity assessment on the basis of standard conformity assessment schemes, approved by the Decision No. 44 of the EEC Council of April 18, 2018.</t>
  </si>
  <si>
    <t>The draft amendments to the technical regulation “On the Safety of Equipment for Explosive Environments” (CU TR 012/2011) regarding the establishment of forms, schemes, and procedures for conformity assessment on the basis of standard conformity assessment schemes, approved by the Decision No. 44 of the EEC Council of April 18,2018</t>
  </si>
  <si>
    <t>The draft amendments include clarifications on the following:amendments to the Article 2 “Definitions” of the CU TR 012/2011,wording of Article 5 of the CU TR 012/2011 "Ensuring compliance with safety requirements";wording of  Article 6 of the CU TR 012/2011 "Conformity assessment”</t>
  </si>
  <si>
    <t>Equipment for explosive environments</t>
  </si>
  <si>
    <t>13.230 - Explosion protection; 13.340 - Protective equipment</t>
  </si>
  <si>
    <d:r xmlns:d="http://schemas.openxmlformats.org/spreadsheetml/2006/main">
      <d:rPr>
        <d:sz val="11"/>
        <d:rFont val="Calibri"/>
      </d:rPr>
      <d:t xml:space="preserve">https://docs.eaeunion.org/pd/ru-ru/0106766/pd_27102021</d:t>
    </d:r>
  </si>
  <si>
    <t>The draft amendments to the Customs Union Technical Regulation “On the Safety of Equipment for Explosive Environments” (CU TR 012/2011) regarding the establishment of the Safety of Equipment for Explosive Environments” (CU TR 012/2011) regarding the establishment of forms, schemes, and procedures for conformity assessment on the basis of standard conformity assessment schemes, approved by the Decision No. 44 of the Commission’s Council of April 18, 2018.</t>
  </si>
  <si>
    <t>Draft amendment No 1, to the technical regulation of the Eurasian Economic Union "On the Restrictions of the Use of Dangerous Substances in Electrotechnical and Radioelectronical Devices” (EAEU TR 037/2016)</t>
  </si>
  <si>
    <t>Draft amendment № 1, to the technical regulation of the Eurasian Economic Union "On the Restrictions of the Use of Dangerous Substances in Electrotechnical and Radioelectronical Devices” (EAEU TR 037/2016) provides for the clarification of certain provisions of the technical regulation, in terms of updating the scope of the technical regulation, requirements for a list of hazardous substances under control and limiting their content in electrical and electronic products, including requirements for the disposal of electrical and electronic products that have lost consumer properties.</t>
  </si>
  <si>
    <t>Waste EEE 13.030.30, electrical equipment in general 29.020, electronic components in general 31.020</t>
  </si>
  <si>
    <t>13.030.30 - Special wastes; 31.020 - Electronic components in general</t>
  </si>
  <si>
    <t>Protection of human health or safety (TBT); Protection of the environment (TBT)</t>
  </si>
  <si>
    <t>Draft amendment No 1, to the technical regulation of the Eurasian Economic Union “On the Restrictions of the Use of Dangerous Substances in Electrotechnical and Radioelectronical Devices” (EAEU TR 037/2016)http://publication.pravo.gov.ru/Document/View/0001202104300061?index=1&amp;rangeSize=1</t>
  </si>
  <si>
    <t>Eurasian Economic Commission Collegium Draft Decision on amendments to the Section 1 of the Chapter II of the Common sanitary-epidemiological and hygienic requirements for products subject to sanitary-epidemiological supervision (control)</t>
  </si>
  <si>
    <t xml:space="preserve">The draft provides for the establishment in the Common sanitary-epidemiological and hygienic requirements for products subject to sanitary-epidemiological supervision (control) of the standards for veterinary medicinal preparations in foodstuffs of animal origin._x000D_
The standards have been developed on the basis of the residue limits of veterinary medicinal preparations established in the international standard of the Codex Alimentarius Commission – CX/MRL 2-2018 and the regional standard of the European Commission – Regulation No 37/2010 of 22 December 2009 on pharmacologically active substances and their classification regarding maximum residue limits in foodstuffs of animal origin.</t>
  </si>
  <si>
    <t>Goods (products) subject to sanitary-epidemiological supervision (control)</t>
  </si>
  <si>
    <t>Human health; Maximum residue limits (MRLs); Veterinary drugs; Food safety</t>
  </si>
  <si>
    <d:r xmlns:d="http://schemas.openxmlformats.org/spreadsheetml/2006/main">
      <d:rPr>
        <d:sz val="11"/>
        <d:rFont val="Calibri"/>
      </d:rPr>
      <d:t xml:space="preserve">https://docs.eaeunion.org/ria/ru-ru/0104917/ria_07102021</d:t>
    </d:r>
  </si>
  <si>
    <t>Draft amendments to the Rules of marketing authorization and assessment of medicinal products for human use https://docs.eaeunion.org/ria/ru-ru/0104808/ria%2013082021</t>
  </si>
  <si>
    <t>Detailed instructions are given for groups of unregistered medicines to which patients are granted access in case of threats of emergency situations, as well as groups of advanced therapy medicinal products, breakthrough therapy medicinal products, orphan medicinal products. Additional features are provided for:parallel consideration of applications by several recognition States during the mutual recognition procedure and making changes to the registration dossier before its consideration in the recognition States are introduced;remote assessment of laboratory tests of methods of quality control of a medicinal product;the use of electronic document management when providing module 1 of the registration dossier of a medicinal product.The section on the introduction of post-registration measures has been revised.The Rules are supplemented with special procedures and appendices for:registration of medicines in exceptional cases;conditional registration of medicines;accelerated assessment of medicines.</t>
  </si>
  <si>
    <d:r xmlns:d="http://schemas.openxmlformats.org/spreadsheetml/2006/main">
      <d:rPr>
        <d:sz val="11"/>
        <d:rFont val="Calibri"/>
      </d:rPr>
      <d:t xml:space="preserve">https://docs.eaeunion.org/ria/ru-ru/0104808/ria%2013082021</d:t>
    </d:r>
  </si>
  <si>
    <t>Draft Amendments to the Rules of marketing authorization and assessment of medicinal products for human usehttps://docs.eaeunion.org/ria/ru-ru/0104808/ria%2013082021</t>
  </si>
  <si>
    <t>Letter of the Federal Service for the Veterinary and Phytosanitary Surveillance No. FS-YUSH-3/21513 as of 29 July 2021</t>
  </si>
  <si>
    <t>The Russian Federation lifted the provisional restriction on imports of unmanufactured tobacco and tobacco refuse from India.</t>
  </si>
  <si>
    <t>Plant health; Withdrawal of the measure; Territory protection</t>
  </si>
  <si>
    <t>Letter of the Federal Service for the Veterinary and Phytosanitary Surveillance No. FS-AK-3/23109 as of 13 August 2021</t>
  </si>
  <si>
    <t>The Russian Federation lifted the provisional restriction on imports of unmanufactured tobacco and tobacco refuse from Malawi.</t>
  </si>
  <si>
    <t>Withdrawal of the measure; Territory protection; Plant health</t>
  </si>
  <si>
    <t>Letter of the Federal Service for the Veterinary and Phytosanitary Surveillance No. FS-YUSH-3/21311 as of 28 July 2021</t>
  </si>
  <si>
    <t>The Russian Federation lifted the provisional restriction on imports of unmanufactured tobacco and tobacco refuse from Brazil.</t>
  </si>
  <si>
    <t>Letter of the Federal Service for Veterinary and Phytosanitary Surveillance No. FS-ARe-7/3914-5 of 16 August 2021</t>
  </si>
  <si>
    <t>The Federal Service for Veterinary and Phytosanitary Surveillance introduced a temporary restriction on imports of live bovine animals from Nepal to the territory of the Russian Federation and their transit through the Russian territory due to the outbreak of lumpy skin in Nepal.</t>
  </si>
  <si>
    <t>Live bovine animals; live animals susceptible to lumpy skin disease; bovine semen; animal products not elsewhere specified or included; dead animals of HS Chapters 1 and 3, unfit for human consumption (HS Codes: 0102, 0106, 0511)</t>
  </si>
  <si>
    <t>0511 - Animal products n.e.s.; dead animals of all types, unfit for human consumption; 0102 - Live bovine animals; 0106 - Live animals (excl. horses, asses, mules, hinnies, bovine animals, swine, sheep, goats, poultry, fish, crustaceans, molluscs and other aquatic invertebrates, and microorganic cultures etc.)</t>
  </si>
  <si>
    <t>Nepal</t>
  </si>
  <si>
    <d:r xmlns:d="http://schemas.openxmlformats.org/spreadsheetml/2006/main">
      <d:rPr>
        <d:sz val="11"/>
        <d:rFont val="Calibri"/>
      </d:rPr>
      <d:t xml:space="preserve">https://members.wto.org/crnattachments/2021/SPS/RUS/21_5237_00_x.pdf
https://fsvps.gov.ru/fsvps/laws/8197.html</d:t>
    </d:r>
  </si>
  <si>
    <t>Letter of the Federal Service for Veterinary and Phytosanitary Surveillance № FS-ARe-7/3896-5 of 2 August 2021</t>
  </si>
  <si>
    <t>The Federal Service for Veterinary and Phytosanitary Surveillance (Rosselkhoznadzor) introduced a temporary restriction on import and transportation of life poultry, poultry products and birds' eggs from Togo due to deterioration of the epizootic situation with highly pathogenic avian influenza. </t>
  </si>
  <si>
    <t>0407 - Birds' eggs, in shell, fresh, preserved or cooked;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0207 - Meat and edible offal of fowls of the species Gallus domesticus, ducks, geese, turkeys and guinea fowls, fresh, chilled or frozen; 0106 - Live animals (excl. horses, asses, mules, hinnies, bovine animals, swine, sheep, goats, poultry, fish, crustaceans, molluscs and other aquatic invertebrates, and microorganic cultures etc.)</t>
  </si>
  <si>
    <t>Animal health; Animal diseases; Avian Influenza; Pests</t>
  </si>
  <si>
    <t>Togo</t>
  </si>
  <si>
    <d:r xmlns:d="http://schemas.openxmlformats.org/spreadsheetml/2006/main">
      <d:rPr>
        <d:sz val="11"/>
        <d:rFont val="Calibri"/>
      </d:rPr>
      <d:t xml:space="preserve">https://members.wto.org/crnattachments/2021/SPS/RUS/21_5066_00_x.pdf
https://fsvps.gov.ru/fsvps/laws/8178.html</d:t>
    </d:r>
  </si>
  <si>
    <t>Letter by the Federal Service for Veterinary and Phytosanitary Surveillance No. FS-ARe-7/3891-5 as of 30 July 2021</t>
  </si>
  <si>
    <t>The Federal Service for Veterinary and Phytosanitary Surveillance (Rosselkhoznadzor) introduced a temporary restriction on import and transportation through the territory of the Russian Federation of live sheep and goats; products, produced from meat of sheep and goats from Israel due to the outbreak of ovine rinderpest.</t>
  </si>
  <si>
    <t>Live sheep and goats; products, produced from meat of sheep and goats; milk and milk products; feed of animal origin and other raw materials and products, obtained from sheep and goats slaughter with exception of production subject to the use of technologies providing destruction of PPR in accordance with the provisions of Chapter 14.7 of the OIE Terrestrial Animal Health Code (HS Codes: 0104, 0106, 0204, 0206, 0210, 0401, 0402, 0403, 0404, 0405, 0406, 0506, 0507, 1502, 1503 00, 1505 00, 1506 00 000 0, 1516 10, 1518 00, 1601 00, 1602, 1603 00, 1902 20)</t>
  </si>
  <si>
    <t>0206 - Edible offal of bovine animals, swine, sheep, goats, horses, asses, mules or hinnies, fresh, chilled or frozen; 1602 - Prepared or preserved meat, offal or blood (excl. sausages and similar products, and meat extracts and juices); 0401 - Milk and cream, not concentrated nor containing added sugar or other sweetening matter; 0402 - Milk and cream, concentrated or containing added sugar or other sweetening matter; 1505 - Wool grease and fatty substances derived therefrom, incl. lanolin; 1601 - Sausages and similar products, of meat, offal or blood; food preparations based on these products;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0506 - Bones and horn-cores and their powder and waste, unworked, defatted, simply prepared, treated with acid or degelatinised (excl. cut to shape); 1503 - Lard stearin, lard oil, oleostearin, oleo-oil and tallow oil (excl. emulsified, mixed or otherwise prepared); 040310 - Yogurt, whether or not flavoured or containing added sugar or other sweetening matter, fruits, nuts or cocoa; 1603 - Extracts and juices of meat, fish or crustaceans, molluscs and other aquatic invertebrates; 0403 - Buttermilk, curdled milk and cream, yogurt, kephir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151610 - Animal fats and oils and their fractions, partly or wholly hydrogenated, inter-esterified, re-esterified or elaidinised, whether or not refined, but not further prepared; 151800 -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0104 - Live sheep and goats; 0204 - Meat of sheep or goats, fresh, chilled or frozen; 0406 - Cheese and curd; 1502 - Fats of bovine animals, sheep or goats (excl. oil and oleostearin); 190220 - Pasta, stuffed with meat or other substances, whether or not cooked or otherwise prepared;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040390 - Buttermilk, curdled milk and cream, kephir and other fermented or acidified milk and cream, whether or not concentrated or flavoured or containing added sugar or other sweetening matter, fruits, nuts or cocoa (excl. yogurt);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</si>
  <si>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Pests; Animal health; Animal diseases</t>
  </si>
  <si>
    <t>Israel</t>
  </si>
  <si>
    <d:r xmlns:d="http://schemas.openxmlformats.org/spreadsheetml/2006/main">
      <d:rPr>
        <d:sz val="11"/>
        <d:rFont val="Calibri"/>
      </d:rPr>
      <d:t xml:space="preserve">https://members.wto.org/crnattachments/2021/SPS/RUS/21_5065_00_x.pdf
https://fsvps.gov.ru/fsvps/laws/8171.html</d:t>
    </d:r>
  </si>
  <si>
    <t>Letter of the Federal Service for Veterinary and Phytosanitary Surveillance № FS-ARe-7/3894-5 of 30 July 2021;Letter of the Federal Service for Veterinary and Phytosanitary Surveillance № FS-ARe-7/3893-5 of 30 July 2021.</t>
  </si>
  <si>
    <t>The Federal Service for Veterinary and Phytosanitary Surveillance introduced a temporary restriction on imports of live bovine animals from Cambodia and Lao People's Democratic Republic to the territory of the Russian Federation and their transit through the Russian territory due to the outbreak of lumpy skin disease in these countries.</t>
  </si>
  <si>
    <t>Live bovine animals; live animals susceptible to lumpy skin disease; bovine semen; animal products not elsewhere specified or included; dead animals of HS Chapter 1 and 3, unfit for human consumption (HS Codes: 0102, 0106, 0511)</t>
  </si>
  <si>
    <t>Pests; Animal diseases; Animal health</t>
  </si>
  <si>
    <t>Cambodia, Lao People's Democratic Republic</t>
  </si>
  <si>
    <d:r xmlns:d="http://schemas.openxmlformats.org/spreadsheetml/2006/main">
      <d:rPr>
        <d:sz val="11"/>
        <d:rFont val="Calibri"/>
      </d:rPr>
      <d:t xml:space="preserve">https://members.wto.org/crnattachments/2021/SPS/RUS/21_5067_00_x.pdf
https://members.wto.org/crnattachments/2021/SPS/RUS/21_5067_01_x.pdf
https://fsvps.gov.ru/fsvps/laws/8173.html
https://fsvps.gov.ru/fsvps/laws/8172.html</d:t>
    </d:r>
  </si>
  <si>
    <t>Letter of the Federal Service for the Veterinary and Phytosanitary Surveillance No. FS-ARe-7/3898-5 as of 2 August 2021</t>
  </si>
  <si>
    <t>The Federal Service for Veterinary and Phytosanitary Surveillance (Rosselkhoznadzor) introduced a temporary restriction on import of live swine, meat of swine and products containing pork from Dominican Republic due to the registration of outbreaks of ASF.</t>
  </si>
  <si>
    <t>Live swine, meat of swine, meat and edible meat offal, swine embryos and boar' semen (HS Code(s): 0103; 0203; 020630; 020910; 0210; 0502; 0511; of 5002; of 0511, 160100*, 1602*)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 of Chapter 15.1 of the OIE Terrestrial Animal Health Code.</t>
  </si>
  <si>
    <t>0206 - Edible offal of bovine animals, swine, sheep, goats, horses, asses, mules or hinnies, fresh, chilled or frozen; 1602 - Prepared or preserved meat, offal or blood (excl. sausages and similar products, and meat extracts and juices); 0103 - Live swine; 0511 - Animal products n.e.s.; dead animals of all types, unfit for human consumption; 1601 - Sausages and similar products, of meat, offal or blood; food preparations based on these products; 0502 - Pigs', hogs' or boars' bristles and hair; badger hair and other brush making hair; waste of such bristles or hair; 0203 - Meat of swine, fresh, chilled or frozen; 5002 - Raw silk "non-thrown"; 020910 - Pig fat, free of lean meat, not rendered or otherwise extracted, fresh, chilled, frozen, salted, in brine, dried or smoked; 0210 - Meat and edible offal, salted, in brine, dried or smoked; edible flours and meals of meat or meat offal</t>
  </si>
  <si>
    <t>Animal health; Pests; Animal diseases; African swine fever (ASF)</t>
  </si>
  <si>
    <t>Dominican Republic</t>
  </si>
  <si>
    <d:r xmlns:d="http://schemas.openxmlformats.org/spreadsheetml/2006/main">
      <d:rPr>
        <d:sz val="11"/>
        <d:rFont val="Calibri"/>
      </d:rPr>
      <d:t xml:space="preserve">https://members.wto.org/crnattachments/2021/SPS/RUS/21_5064_00_x.pdf
https://fsvps.gov.ru/fsvps/laws/8179.html</d:t>
    </d:r>
  </si>
  <si>
    <t>Draft guideline for the pharmaceutical development of medicinal products for use in paediatric practice</t>
  </si>
  <si>
    <t>The draft guideline on the pharmaceutical development of medicines for use in paediatric practice provides for the need to establish unified approaches to the process of pharmaceutical development of medicines for use in paediatric practice to create safe and high-quality medicines intended for use for the paediatric population, to provide additional guarantees of a favorable benefit-risk ratio for this critical group of patients, and the possibility of their adequate use by children of different age groups and not creating an unnecessary burden on patients and (or) persons providing care for them.</t>
  </si>
  <si>
    <d:r xmlns:d="http://schemas.openxmlformats.org/spreadsheetml/2006/main">
      <d:rPr>
        <d:sz val="11"/>
        <d:rFont val="Calibri"/>
      </d:rPr>
      <d:t xml:space="preserve">https://docs.eaeunion.org/ria/ru-ru/0104714/ria_19072021</d:t>
    </d:r>
  </si>
  <si>
    <t>Draft guideline for the pharmaceutical development of medicinal products for use in paediatric practicehttps://docs.eaeunion.org/ria/ru-ru/0104714/ria_19072021</t>
  </si>
  <si>
    <t>Letter of the Federal Service for the Veterinary and Phytosanitary Surveilance (Rosselkhoznadzor) No. FS-SA-3/20143 of 16 July 2021</t>
  </si>
  <si>
    <t>This letter notes that, due to systematic detection of "Megaselia scalaris" in unmanufactured tobacco originated from India, South Africa, Brazil and Malawi, imports of unmanufactured tobacco and tobacco refuse from these countries to the Russian Federation is temporarily restricted.</t>
  </si>
  <si>
    <t>Unmanufactured tobacco and tobacco refuse (HS Code: 2401)</t>
  </si>
  <si>
    <t>Territory protection; Plant health</t>
  </si>
  <si>
    <t>Brazil, India, Malawi, South Africa</t>
  </si>
  <si>
    <d:r xmlns:d="http://schemas.openxmlformats.org/spreadsheetml/2006/main">
      <d:rPr>
        <d:sz val="11"/>
        <d:rFont val="Calibri"/>
      </d:rPr>
      <d:t xml:space="preserve">https://members.wto.org/crnattachments/2021/SPS/RUS/21_4838_00_x.pdf</d:t>
    </d:r>
  </si>
  <si>
    <t>Letter of the Federal Service for Veterinary and Phytosanitary Surveillance No. FS-ARe-7/3873-5 of 29 June 2021</t>
  </si>
  <si>
    <t>Rosselkhoznadzor introduced a temporary restriction on imports of live bovine animals from Malaysia to the territory of the Russian Federation and their transit through the Russian territory due to the outbreak of lumpy skin disease in Malaysia.</t>
  </si>
  <si>
    <t>Animal diseases; Zoonoses; Animal health</t>
  </si>
  <si>
    <t>Malaysia</t>
  </si>
  <si>
    <d:r xmlns:d="http://schemas.openxmlformats.org/spreadsheetml/2006/main">
      <d:rPr>
        <d:sz val="11"/>
        <d:rFont val="Calibri"/>
      </d:rPr>
      <d:t xml:space="preserve">https://members.wto.org/crnattachments/2021/SPS/RUS/21_4517_00_x.pdf
https://fsvps.gov.ru/fsvps/laws/8110.html</d:t>
    </d:r>
  </si>
  <si>
    <t>Letter of the Federal Service for Veterinary and Phytosanitary Surveillance (Rosselkhoznadzor) No. FS-AK-7/15799 of 4 June 2021</t>
  </si>
  <si>
    <t>The Federal Service for Veterinary and Phytosanitary Surveillance (Rosselkhoznadzor) introduced a temporary restriction on imports of feed and feed additives used for animal feeding, including feed of plant origin, or containing products of chemical and microbiological synthesis from Estonia to the Russian Federation due to detection of numerous violations of EAEU SPS requirements.</t>
  </si>
  <si>
    <t>Feed and feed additives used for animal feeding, including feed of plant origin, or containing products of chemical and microbiological synthesis (HS Codes: 0106, 0307, 0505, 0511, 1001, 1002, 1003, 1004, 1005, 1103, 1201, 1208, 1211, 1213, 1214, 1501, 1502, 1504, 1505, 1506, 1516, 1518, 2102, 2301, 2302, 2303, 2304, 2306, 2308, 2309)</t>
  </si>
  <si>
    <t>0511 - Animal products n.e.s.; dead animals of all types, unfit for human consumption; 1003 - Barley; 1004 - Oats; 1005 - Maize or corn; 1201 - Soya beans, whether or not broken; 1208 - Flours and meals of oil seeds or oleaginous fruits (excl. mustard); 1505 - Wool grease and fatty substances derived therefrom, incl. lanolin; 1211 - Plants and parts of plants, incl. seeds and fruits, of a kind used primarily in perfumery, in pharmacy or for insecticidal, fungicidal or similar purposes, fresh, chilled, frozen or dried, whether or not cut, crushed or powdered;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1103 - Cereal groats, meal and pellets; 1516 - Animal or vegetable fats and oils and their fractions, partly or wholly hydrogenated, inter-esterified, re-esterified or elaidinised, whether or not refined, but not further prepared; 230110 - Flours, meals and pellets, of meat or offal, unfit for human consumption; greaves; 230120 - Flours, meals and pellets of fish or crustaceans, molluscs or other aquatic invertebrates, unfit for human consumption;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1504 - Fats and oils and their fractions of fish or marine mammals, whether or not refined (excl. chemically modified);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0106 - Live animals (excl. horses, asses, mules, hinnies, bovine animals, swine, sheep, goats, poultry, fish, crustaceans, molluscs and other aquatic invertebrates, and microorganic cultures etc.); 0307 - Molluscs, fit for human consumption, even smoked, whether in shell or not, live, fresh, chilled, frozen, dried, salted or in brine; flours, meals and pellets of molluscs, fit for human consumption; 1001 - Wheat and meslin;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2309 - Preparations of a kind used in animal feeding;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oil and oleostearin); 2306 - Oilcake and other solid residues, whether or not ground or in the form of pellets, resulting from the extraction of vegetable fats or oils (excl. from soya-bean oil and groundnut oil); 1213 - Cereal straw and husks, unprepared, whether or not chopped, ground, pressed or in the form of pellets; 2102 - Yeasts, active or inactive; other dead single-cell micro-organisms, prepared baking powders (excl. single-cell micro-organisms packaged as medicaments)</t>
  </si>
  <si>
    <t>Animal feed; Animal health; Pest- or Disease- free Regions / Regionalization; Feed additives</t>
  </si>
  <si>
    <t>Estonia</t>
  </si>
  <si>
    <d:r xmlns:d="http://schemas.openxmlformats.org/spreadsheetml/2006/main">
      <d:rPr>
        <d:sz val="11"/>
        <d:rFont val="Calibri"/>
      </d:rPr>
      <d:t xml:space="preserve">https://members.wto.org/crnattachments/2021/SPS/RUS/21_4325_00_x.pdf
https://fsvps.gov.ru/fsvps/laws/8053.html</d:t>
    </d:r>
  </si>
  <si>
    <t>Letter of the Federal Service for Veterinary and Phytosanitary Surveillance (Rosselkhoznadzor) No. FS-KS-7/14649 of 25 May 2021</t>
  </si>
  <si>
    <t>The Federal Service for Veterinary and Phytosanitary Surveillance (Rosselkhoznadzor) introduced a temporary restriction on imports of feed and feed additives used for animal feeding, including feed of plant origin, or containing products of chemical and microbiological synthesis from Lithuania to the Russian Federation due to detection of numerous violations of EAEU SPS requirements.</t>
  </si>
  <si>
    <t>0511 - Animal products n.e.s.; dead animals of all types, unfit for human consumption; 1003 - Barley; 1004 - Oats; 1005 - Maize or corn; 1201 - Soya beans, whether or not broken; 1208 - Flours and meals of oil seeds or oleaginous fruits (excl. mustard); 150110 - Lard, rendered or otherwise extracted (excl. lard stearin and lard oil); 150190 - Poultry fat, rendered or otherwise extracted; 1505 - Wool grease and fatty substances derived therefrom, incl. lanolin;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1103 - Cereal groats, meal and pellets; 1516 - Animal or vegetable fats and oils and their fractions, partly or wholly hydrogenated, inter-esterified, re-esterified or elaidinised, whether or not refined, but not further prepared;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1211 - Plants and parts of plants, incl. seeds and fruits, of a kind used primarily in perfumery, in pharmacy or for insecticidal, fungicidal or similar purposes, fresh, chilled, frozen or dried, whether or not cut, crushed or powdered; 150120 - Pig fat, rendered or otherwise extracted (excl. lard);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1504 - Fats and oils and their fractions of fish or marine mammals, whether or not refined (excl. chemically modified);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oil and oleostearin); 2306 - Oilcake and other solid residues, whether or not ground or in the form of pellets, resulting from the extraction of vegetable fats or oils (excl. from soya-bean oil and groundnut oil); 1213 - Cereal straw and husks, unprepared, whether or not chopped, ground, pressed or in the form of pellets; 2102 - Yeasts, active or inactive; other dead single-cell micro-organisms, prepared baking powders (excl. single-cell micro-organisms packaged as medicaments); 0106 - Live animals (excl. horses, asses, mules, hinnies, bovine animals, swine, sheep, goats, poultry, fish, crustaceans, molluscs and other aquatic invertebrates, and microorganic cultures etc.); 0307 - Molluscs, fit for human consumption, even smoked, whether in shell or not, live, fresh, chilled, frozen, dried, salted or in brine; flours, meals and pellets of molluscs, fit for human consumption; 1001 - Wheat and meslin;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2309 - Preparations of a kind used in animal feeding</t>
  </si>
  <si>
    <t>Lithuania</t>
  </si>
  <si>
    <d:r xmlns:d="http://schemas.openxmlformats.org/spreadsheetml/2006/main">
      <d:rPr>
        <d:sz val="11"/>
        <d:rFont val="Calibri"/>
      </d:rPr>
      <d:t xml:space="preserve">https://fsvps.gov.ru/fsvps/laws/8027.html</d:t>
    </d:r>
  </si>
  <si>
    <t>Letter of the Federal Service for Veterinary and Phytosanitary Surveillance (Rosselkhoznadzor) No.FS-KS-7/17439 of 21 June 2021</t>
  </si>
  <si>
    <t>The Federal Service for Veterinary and Phytosanitary Surveillance (Rosselkhoznadzor) introduced a temporary restriction on imports from 24 June 2021 of feed and feed additives used for animal feeding, including feed of plant origin, or containing products of chemical and microbiological synthesis from Latvia to the Russian Federation due to detection of numerous violations of EAEU SPS requirements.</t>
  </si>
  <si>
    <t>1103 - Cereal groats, meal and pellets; 0511 - Animal products n.e.s.; dead animals of all types, unfit for human consumption; 1003 - Barley; 1004 - Oats; 1005 - Maize or corn; 1201 - Soya beans, whether or not broken; 1208 - Flours and meals of oil seeds or oleaginous fruits (excl. mustard); 1505 - Wool grease and fatty substances derived therefrom, incl. lanolin; 1516 - Animal or vegetable fats and oils and their fractions, partly or wholly hydrogenated, inter-esterified, re-esterified or elaidinised, whether or not refined, but not further prepared;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1504 - Fats and oils and their fractions of fish or marine mammals, whether or not refined (excl. chemically modified); 1211 - Plants and parts of plants, incl. seeds and fruits, of a kind used primarily in perfumery, in pharmacy or for insecticidal, fungicidal or similar purposes, fresh, chilled, frozen or dried, whether or not cut, crushed or powdered;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1213 - Cereal straw and husks, unprepared, whether or not chopped, ground, pressed or in the form of pellets; 2102 - Yeasts, active or inactive; other dead single-cell micro-organisms, prepared baking powders (excl. single-cell micro-organisms packaged as medicaments);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121490 - Swedes, mangolds, fodder roots, hay, lucerne "alfalfa", clover, sainfoin, forage kale, lupines, vetches and similar forage products, whether or not in the form of pellets (excl. lucerne "alfalfa" meal and pellets); 1501 - Pig fat, incl. lard, and poultry fat, rendered or otherwise extracted (excl. lard stearin and lard oil); 1502 - Fats of bovine animals, sheep or goats (excl. oil and oleostearin); 2306 - Oilcake and other solid residues, whether or not ground or in the form of pellets, resulting from the extraction of vegetable fats or oils (excl. from soya-bean oil and groundnut oil); 0106 - Live animals (excl. horses, asses, mules, hinnies, bovine animals, swine, sheep, goats, poultry, fish, crustaceans, molluscs and other aquatic invertebrates, and microorganic cultures etc.); 0307 - Molluscs, fit for human consumption, even smoked, whether in shell or not, live, fresh, chilled, frozen, dried, salted or in brine; flours, meals and pellets of molluscs, fit for human consumption; 1001 - Wheat and meslin; 121410 - Alfalfa meal and pellets;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2309 - Preparations of a kind used in animal feeding</t>
  </si>
  <si>
    <t>Feed additives; Animal feed; Animal health; Pest- or Disease- free Regions / Regionalization</t>
  </si>
  <si>
    <t>Latvia</t>
  </si>
  <si>
    <d:r xmlns:d="http://schemas.openxmlformats.org/spreadsheetml/2006/main">
      <d:rPr>
        <d:sz val="11"/>
        <d:rFont val="Calibri"/>
      </d:rPr>
      <d:t xml:space="preserve">https://members.wto.org/crnattachments/2021/SPS/RUS/21_4323_00_x.pdf
https://fsvps.gov.ru/fsvps/laws/8081.html</d:t>
    </d:r>
  </si>
  <si>
    <t>Letter of the Federal Service for Veterinary and Phytosanitary Surveillance (Rosselkhoznadzor) No. FS-YUSH-7/17140 of 17 June 2021</t>
  </si>
  <si>
    <t>The Federal Service for Veterinary and Phytosanitary Surveillance (Rosselkhoznadzor) introduced a temporary restriction on imports from 21 June 2021 of feed and feed additives used for animal feeding, including feed of plant origin, or containing products of chemical and microbiological synthesis from the Czech Repuplic to the Russian Federation due to detection of numerous violations of EAEU SPS requirements.</t>
  </si>
  <si>
    <t>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1211 - Plants and parts of plants, incl. seeds and fruits, of a kind used primarily in perfumery, in pharmacy or for insecticidal, fungicidal or similar purposes, fresh, chilled, frozen or dried, whether or not cut, crushed or powdered;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1103 - Cereal groats, meal and pellets; 0511 - Animal products n.e.s.; dead animals of all types, unfit for human consumption; 1003 - Barley; 1004 - Oats; 1005 - Maize or corn; 1201 - Soya beans, whether or not broken; 1208 - Flours and meals of oil seeds or oleaginous fruits (excl. mustard); 1505 - Wool grease and fatty substances derived therefrom, incl. lanolin; 1504 - Fats and oils and their fractions of fish or marine mammals, whether or not refined (excl. chemically modified); 1213 - Cereal straw and husks, unprepared, whether or not chopped, ground, pressed or in the form of pellets; 2102 - Yeasts, active or inactive; other dead single-cell micro-organisms, prepared baking powders (excl. single-cell micro-organisms packaged as medicaments); 1516 - Animal or vegetable fats and oils and their fractions, partly or wholly hydrogenated, inter-esterified, re-esterified or elaidinised, whether or not refined, but not further prepared; 230110 - Flours, meals and pellets, of meat or offal, unfit for human consumption; greaves; 230120 - Flours, meals and pellets of fish or crustaceans, molluscs or other aquatic invertebrates, unfit for human consumption;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oil and oleostearin); 2306 - Oilcake and other solid residues, whether or not ground or in the form of pellets, resulting from the extraction of vegetable fats or oils (excl. from soya-bean oil and groundnut oil); 0106 - Live animals (excl. horses, asses, mules, hinnies, bovine animals, swine, sheep, goats, poultry, fish, crustaceans, molluscs and other aquatic invertebrates, and microorganic cultures etc.); 0307 - Molluscs, fit for human consumption, even smoked, whether in shell or not, live, fresh, chilled, frozen, dried, salted or in brine; flours, meals and pellets of molluscs, fit for human consumption; 1001 - Wheat and meslin;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2309 - Preparations of a kind used in animal feeding</t>
  </si>
  <si>
    <d:r xmlns:d="http://schemas.openxmlformats.org/spreadsheetml/2006/main">
      <d:rPr>
        <d:sz val="11"/>
        <d:rFont val="Calibri"/>
      </d:rPr>
      <d:t xml:space="preserve">https://members.wto.org/crnattachments/2021/SPS/RUS/21_4321_00_x.pdf
https://fsvps.gov.ru/fsvps/laws/8073.html</d:t>
    </d:r>
  </si>
  <si>
    <t>Letter of the Federal Service for Veterinary and Phytosanitary Surveillance (Rosselkhoznadzor) No.FS-KS-7/17583 of 22 June 2021</t>
  </si>
  <si>
    <t>The Federal Service for Veterinary and Phytosanitary Surveillance (Rosselkhoznadzor) introduced a temporary restriction on imports from 25 June 2021 of feed and feed additives used for animal feeding, including feed of plant origin, or containing products of chemical and microbiological synthesis from Poland to the Russian Federation due to detection of numerous violations of EAEU SPS requirements.</t>
  </si>
  <si>
    <t>0511 - Animal products n.e.s.; dead animals of all types, unfit for human consumption; 1003 - Barley; 1004 - Oats; 1005 - Maize or corn; 1201 - Soya beans, whether or not broken; 1208 - Flours and meals of oil seeds or oleaginous fruits (excl. mustard); 1505 - Wool grease and fatty substances derived therefrom, incl. lanolin; 1103 - Cereal groats, meal and pellets; 1516 - Animal or vegetable fats and oils and their fractions, partly or wholly hydrogenated, inter-esterified, re-esterified or elaidinised, whether or not refined, but not further prepared;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oil and oleostearin); 2306 - Oilcake and other solid residues, whether or not ground or in the form of pellets, resulting from the extraction of vegetable fats or oils (excl. from soya-bean oil and groundnut oil); 1211 - Plants and parts of plants, incl. seeds and fruits, of a kind used primarily in perfumery, in pharmacy or for insecticidal, fungicidal or similar purposes, fresh, chilled, frozen or dried, whether or not cut, crushed or powdered;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1504 - Fats and oils and their fractions of fish or marine mammals, whether or not refined (excl. chemically modified); 230800 - Acorns, horse-chestnuts, marc and other vegetable materials and vegetable waste, vegetable residues and by-products of a kind used in animal feeding, whether or not in the form of pellets, n.e.s.; 1213 - Cereal straw and husks, unprepared, whether or not chopped, ground, pressed or in the form of pellets; 2102 - Yeasts, active or inactive; other dead single-cell micro-organisms, prepared baking powders (excl. single-cell micro-organisms packaged as medicaments); 0106 - Live animals (excl. horses, asses, mules, hinnies, bovine animals, swine, sheep, goats, poultry, fish, crustaceans, molluscs and other aquatic invertebrates, and microorganic cultures etc.); 0307 - Molluscs, fit for human consumption, even smoked, whether in shell or not, live, fresh, chilled, frozen, dried, salted or in brine; flours, meals and pellets of molluscs, fit for human consumption; 1001 - Wheat and meslin;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2309 - Preparations of a kind used in animal feeding</t>
  </si>
  <si>
    <d:r xmlns:d="http://schemas.openxmlformats.org/spreadsheetml/2006/main">
      <d:rPr>
        <d:sz val="11"/>
        <d:rFont val="Calibri"/>
      </d:rPr>
      <d:t xml:space="preserve">https://members.wto.org/crnattachments/2021/SPS/RUS/21_4322_00_x.pdf
https://fsvps.gov.ru/fsvps/laws/8092.html</d:t>
    </d:r>
  </si>
  <si>
    <t>Eurasian Economic Commission Council Draft Decision "On Amendments to Certain Decisions of the Customs Union Commission and the Eurasian Economic Commission Council"</t>
  </si>
  <si>
    <t xml:space="preserve">The Draft provides for the amendment of the List of products under quarantine (cargo, materials, regulated goods) which are subject to quarantine phytosanitary control (supervision) at the customs border of the Customs Union and in the customs territory of the Customs Union due to the change of the level of phytosanitary risk of unmanufactured tobacco and tobacco refuse from low to high phytosanitary risk._x000D_
The Draft also provides for the following quarantine phytosanitary requirements for the above mentioned products: "must come from places and (or) production sites free from coffin fly (Megaselia scalaris)".</t>
  </si>
  <si>
    <t>Territory protection; Plant diseases; Plant health</t>
  </si>
  <si>
    <d:r xmlns:d="http://schemas.openxmlformats.org/spreadsheetml/2006/main">
      <d:rPr>
        <d:sz val="11"/>
        <d:rFont val="Calibri"/>
      </d:rPr>
      <d:t xml:space="preserve">https://members.wto.org/crnattachments/2021/SPS/RUS/21_4214_00_x.pdf
https://docs.eaeunion.org/ria/ru-ru/0104660/ria_02062021</d:t>
    </d:r>
  </si>
  <si>
    <t>Draft Amendments No. 4 to the technical regulation of the Customs Union "On Safety of Machines and Equipment" (TR CU 010/2011 )</t>
  </si>
  <si>
    <t xml:space="preserve">- clarification and specification of certain provisions of the CU TR 010 /2011 , taking into account the accumulated experience of its application;_x000D_
- elimination of duplications with the technical regulations CU TR 004/2011 and CU TR 031/2012;_x000D_
- ensuring uniform understanding and compliance with the requirements of the CU TR 010/2011 for the release of machinery and equipment in the customs territory of the Eurasian Economic Union</t>
  </si>
  <si>
    <t>Machines and equipment</t>
  </si>
  <si>
    <t>13.110 - Safety of machinery</t>
  </si>
  <si>
    <d:r xmlns:d="http://schemas.openxmlformats.org/spreadsheetml/2006/main">
      <d:rPr>
        <d:sz val="11"/>
        <d:rFont val="Calibri"/>
      </d:rPr>
      <d:t xml:space="preserve">https://docs.eaeunion.org/pd/ru-ru/0106031/pd_01062021</d:t>
    </d:r>
  </si>
  <si>
    <t>Draft Amendments No. 4 to the technical regulation of the Customs Union "On Safety of Machines and Equipment" (TR CU 010 /2011)</t>
  </si>
  <si>
    <t>Letter of the Federal Service for Veterinary and Phytosanitary Surveillance No. FS-ARe-7/3787-3 of 26 April 2021</t>
  </si>
  <si>
    <t>The Federal Service for Veterinary and Phytosanitary Surveillance introduced a temporary restriction on imports of live bovine animals from Viet Nam to the territory of the Russian Federation and their transit through the Russian territory due to the outbreak of lumpy skin disease in Viet Nam.</t>
  </si>
  <si>
    <d:r xmlns:d="http://schemas.openxmlformats.org/spreadsheetml/2006/main">
      <d:rPr>
        <d:sz val="11"/>
        <d:rFont val="Calibri"/>
      </d:rPr>
      <d:t xml:space="preserve">https://members.wto.org/crnattachments/2021/SPS/RUS/21_3321_00_x.pdf
https://fsvps.gov.ru/fsvps/laws/7960.html</d:t>
    </d:r>
  </si>
  <si>
    <t>Letter of the Federal Service for Veterinary and Phytosanitary Surveillance No. FS-ARe-7/3782-3 of 23 April 2021 (Hungary, Hajdú-Bihar county)</t>
  </si>
  <si>
    <t>The Hajdú-Bihar county of Hungary has been included into the list of territories under the temporary restriction on import of live poultry, birds' eggs and poultry products, introduced by the Federal Service for Veterinary and Phytosanitary Surveillance on 23 April 2021. The measure is applied due to an outbreak of highly pathogenic avian influenza.</t>
  </si>
  <si>
    <t>Animal diseases; Food safety; Avian Influenza; Zoonoses; Animal health; Human health; Pest- or Disease- free Regions / Regionalization; Modification of content/scope of regulation</t>
  </si>
  <si>
    <t>Draft amendments to the Rules for investigation of biological medicinal products of the Eurasian Economic Union</t>
  </si>
  <si>
    <t>The draft amendments to the Rules for investigation of biological medicinal products of the Eurasian Economic Union provide for the elimination of differences in the requirements for pharmaceutical development, planning and conducting studies of the safety and quality of blood products, by establishing unified, objective and transparent rules for research of this group of drugs and also avoid the possibility of unreliable reporting on the safety of blood products from infectious agents that may be dangerous to life, health and well-being of patients.</t>
  </si>
  <si>
    <d:r xmlns:d="http://schemas.openxmlformats.org/spreadsheetml/2006/main">
      <d:rPr>
        <d:sz val="11"/>
        <d:rFont val="Calibri"/>
      </d:rPr>
      <d:t xml:space="preserve">https://docs.eaeunion.org/ria/ru-ru/0104601/ria_19042021</d:t>
    </d:r>
  </si>
  <si>
    <t>Draft amendments to the Rules for investigation of biological medicinal products of the Eurasian Economic Union https://docs.eaeunion.org/ria/ru-ru/0104601/ria_19042021</t>
  </si>
  <si>
    <t>Draft Requirements for the stability testing of herbal substances and herbal medicinal products</t>
  </si>
  <si>
    <t>The draft Requirements for the stability testing of herbal preparations and herbal medicinal products provide for the need to establish common approaches to the stability testing of herbal substances and herbal medicinal products, in order to ensure the unity and continuity of the processes of pharmaceutical development and quality assurance of this group of medicines.</t>
  </si>
  <si>
    <d:r xmlns:d="http://schemas.openxmlformats.org/spreadsheetml/2006/main">
      <d:rPr>
        <d:sz val="11"/>
        <d:rFont val="Calibri"/>
      </d:rPr>
      <d:t xml:space="preserve">https://docs.eaeunion.org/ria/ru-ru/0104596/ria_19042021</d:t>
    </d:r>
  </si>
  <si>
    <t>Draft Requirements for the stability testing of herbal substances and herbal medicinal products https://docs.eaeunion.org/ria/ru-ru/0104596/ria_19042021</t>
  </si>
  <si>
    <t>Letter of the Federal Service for Veterinary and Phytosanitary Surveillance No. FS-YUSH-7/11688-3 of 23 April 2021</t>
  </si>
  <si>
    <t>The Federal Service for Veterinary and Phytosanitary Surveillance (Rosselkhoznadzor) introduced a temporary restriction on import of life poultry, poultry products and birds' eggs from the Slovak Republic due to deterioration of the epizootic situation with highly pathogenic avian influenza.</t>
  </si>
  <si>
    <t>0407 - Birds' eggs, in shell, fresh, preserved or cooked; 0207 - Meat and edible offal of fowls of the species Gallus domesticus, ducks, geese, turkeys and guinea fowls, fresh, chilled or frozen; 0106 - Live animals (excl. horses, asses, mules, hinnies, bovine animals, swine, sheep, goats, poultry, fish, crustaceans, molluscs and other aquatic invertebrates, and microorganic cultures etc.);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t>
  </si>
  <si>
    <t>Avian Influenza; Animal diseases; Zoonoses; Animal health</t>
  </si>
  <si>
    <d:r xmlns:d="http://schemas.openxmlformats.org/spreadsheetml/2006/main">
      <d:rPr>
        <d:sz val="11"/>
        <d:rFont val="Calibri"/>
      </d:rPr>
      <d:t xml:space="preserve">https://members.wto.org/crnattachments/2021/SPS/RUS/21_3017_00_x.pdf
https://fsvps.gov.ru/fsvps/laws/7956.html</d:t>
    </d:r>
  </si>
  <si>
    <t>Letter of the Federal Service for Veterinary and Phytosanitary Surveillance No. FS-ARe-7/3771-3 of 15 April 2021</t>
  </si>
  <si>
    <t>The Rosselkhoznadzor introduced a temporary restriction on imports of live animals susceptible to lumpy skin disease from Thailand to the territory of the Russian Federation and their transit through the Russian territory due to the outbreak of lumpy skin disease in Thailand.</t>
  </si>
  <si>
    <t>Thailand</t>
  </si>
  <si>
    <d:r xmlns:d="http://schemas.openxmlformats.org/spreadsheetml/2006/main">
      <d:rPr>
        <d:sz val="11"/>
        <d:rFont val="Calibri"/>
      </d:rPr>
      <d:t xml:space="preserve">https://members.wto.org/crnattachments/2021/SPS/RUS/21_3016_00_x.pdf
https://fsvps.gov.ru/fsvps/laws/7938.html</d:t>
    </d:r>
  </si>
  <si>
    <t>Draft amendments No 4 to the Technical Regulation of the Customs Union «Labeling of Food Products»</t>
  </si>
  <si>
    <t>Draft amendments № 4 to the Technical Regulation of the Custom s Union "Labelling of Food Products" clarifies certain provisions of the technical regulation, taking into account the practice of its application, including the indication in the composition of products of the type of vegetable (animal) oil, fat, used at manufacturing.</t>
  </si>
  <si>
    <t>Requirements for the labeling of food products</t>
  </si>
  <si>
    <t>Prevention of deceptive practices and consumer protection (TBT)</t>
  </si>
  <si>
    <d:r xmlns:d="http://schemas.openxmlformats.org/spreadsheetml/2006/main">
      <d:rPr>
        <d:sz val="11"/>
        <d:rFont val="Calibri"/>
      </d:rPr>
      <d:t xml:space="preserve">https://docs.eaeunion.org/pd/ru-ru/0105861/pd_08042021
http://www.eurasiancommission.org/ru/act/texnreg/deptexreg/tr/Pages/PischevkaMarkirovka.aspx</d:t>
    </d:r>
  </si>
  <si>
    <t>Draft amendments No. 4 to the Technical Regulation of the Customs Union "Labeling of Food Products": https://docs.eaeunion.org/pd/ru-ru/0105861/pd_08042021Technical Regulation of the Customs Union "Labeling of Food Products": http://www.eurasiancommission.org/ru/act/texnreg/deptexreg/tr/Pages/PischevkaMarkirovka.aspx</t>
  </si>
  <si>
    <t>The draft amendments to the Customs Union Technical Regulation «On safety of meat and meat products» (CU TR 034/2013)</t>
  </si>
  <si>
    <t xml:space="preserve">The draft amendments provide for the introduction of a new wording:_x000D_
- paragraph 17 of the CU TR 034/2013, supplemented by the requirement that the actual indicators of protein and fat of meat products for baby food should not exceed the permissible levels established in Annex No. 4 to the CU TR 034/2013;_x000D_
- paragraph 106 of the CU TR 034/2013, supplemented by the requirement on the permissible limits of the actual values of the content of food substances (protein, fat, carbohydrates, energy value (calories)) when specifying information about the nutritional value of slaughter products and meat products.</t>
  </si>
  <si>
    <t>Slaughter products and meat products.</t>
  </si>
  <si>
    <t>02 - MEAT AND EDIBLE MEAT OFFAL</t>
  </si>
  <si>
    <t>67.120 - Meat, meat products and other animal produce</t>
  </si>
  <si>
    <t>Prevention of deceptive practices and consumer protection (TBT); Protection of human health or safety (TBT); Quality requirements (TBT)</t>
  </si>
  <si>
    <d:r xmlns:d="http://schemas.openxmlformats.org/spreadsheetml/2006/main">
      <d:rPr>
        <d:sz val="11"/>
        <d:rFont val="Calibri"/>
      </d:rPr>
      <d:t xml:space="preserve">https://docs.eaeunion.org/pd/ru-ru/0105895/pd_14042021
https://docs.eaeunion.org/docs/ru-ru/0043629/cncd_11102013_68</d:t>
    </d:r>
  </si>
  <si>
    <t>Relevant documents:The draft amendments to the Customs Union Technical Regulation «On safety of meat and meat products» (CU TR 034/2013): https://docs.eaeunion.org/pd/ru-ru/0105895/pd_14042021The Customs Union Technical Regulation «On safety of meat and meat products» (CU TR 034/2013): https://docs.eaeunion.org/docs/ru-ru/0043629/cncd_11102013_68</t>
  </si>
  <si>
    <t>Draft amendments No. 3 to the Customs Union Technical Regulation “On Safety of Perfumes and Cosmetic Products” (CU TR 009/2011)</t>
  </si>
  <si>
    <t>Draft amendments № 3 to the technical regulation of the Customs Union On Safety of Perfumes and Cosmetic Products (CU TR 009/2011) provides for clarification of the scope of application, rules for product identification, adding of terms and rules for market circulation, establishment of requirements for toxicological indicators obtained on the basis of the analysis of toxicological characteristics of ingredients, establishment of an assessment of the irritant effect on the mucous membranes by alternative methods in vitro, establishment of packaging requirements, establishment of requirements for labeling and conformity assessment of products that are simultaneously subject to several technical regulations of the Customs Union</t>
  </si>
  <si>
    <t>Perfumes and cosmetics</t>
  </si>
  <si>
    <d:r xmlns:d="http://schemas.openxmlformats.org/spreadsheetml/2006/main">
      <d:rPr>
        <d:sz val="11"/>
        <d:rFont val="Calibri"/>
      </d:rPr>
      <d:t xml:space="preserve">http://docs.eaeunion.org/pd/ru-ru/0105914/pd_16042021
http://www.eurasiancommission.org/ru/act/texnreg/deptexreg/tr/Pages/bezopParfum.aspx</d:t>
    </d:r>
  </si>
  <si>
    <t>Draft amendments No. 3 to the Customs Union Technical Regulation “On Safety of Perfumes and Cosmetic Products” (CU TR 009/2011): http://docs.eaeunion.org/pd/ru-ru/0105914/pd_16042021The Customs Union Technical Regulation “On Safety of Perfumes and Cosmetic Products”: http://www.eurasiancommission.org/ru/act/texnreg/deptexreg/tr/Pages/bezopParfum.aspx</t>
  </si>
  <si>
    <t>Draft amendments N°4 to the technical regulation of the Customs Union "Labeling of Food Products" (TR CU 022/2011)</t>
  </si>
  <si>
    <t>Draft amendments N° 4 to the technical regulation of the Customs Union "Labeling of Food Products" clarifies certain provisions of the technical regulation including the indication of oils and fats used in the composition.</t>
  </si>
  <si>
    <t>Draft amendments N° 4 to the technical regulation of the Customs Union "Labeling of Food Products" (TR CU 022/2011) https://docs.eaeunion.org/pd/ru-ru/0105861/pd_08042021The technical regulation of the Customs Union "Labeling of Food Products" (TR CU 022/2011) http://www.eurasiancommission.org/ru/act/texnreg/deptexreg/tr/Pages/PischevkaMarkirovka.aspx</t>
  </si>
  <si>
    <t>Letter of the Federal Service for the Veterinary and Phytosanitary No. FS-ARe-7/3737-3 as of 26 March 2021</t>
  </si>
  <si>
    <t>The Federal Service for Veterinary and Phytosanitary Surveillance (Rosselkhoznadzor) introduced a temporary restriction on import of live swine, meat of swine and products containing pork from Malaysia due to the registration of outbreaks of African Swine Fever (ASF).</t>
  </si>
  <si>
    <t xml:space="preserve">Live swine, meat of swine, meat and edible meat offal, swine embryos and boar' semen (HS Code(s): 0103; 0203; 020630; 020910; 0210; 0502; 0511; of 5002; of 0511, 160100*, 1602*)_x000D_
* with exception of prepared heat-treated goods of pork, prepared goods containing pork or raw materials of animal origin (from pork) for the production of feeds for non-productive and fur-producing animals with the use of technologies providing destruction of ASFV in accordance with the provision of Chapter 15.1 of the OIE Terrestrial Animal Health Code.</t>
  </si>
  <si>
    <t>0103 - Live swine; 0209 - Pig fat, free of lean meat, and poultry fat, not rendered or otherwise extracted, fresh, chilled, frozen, salted, in brine, dried or smoked; 0511 - Animal products n.e.s.; dead animals of all types, unfit for human consumption; 1601 - Sausages and similar products, of meat, offal or blood; food preparations based on these products; 0206 - Edible offal of bovine animals, swine, sheep, goats, horses, asses, mules or hinnies, fresh, chilled or frozen; 1602 - Prepared or preserved meat, offal or blood (excl. sausages and similar products, and meat extracts and juices); 9705 - Collections and collector's pieces of zoological, botanical, mineralogical, anatomical, historical, archaeological, palaeontological, ethnographic or numismatic interest; 0203 - Meat of swine, fresh, chilled or frozen; 020990 - Poultry fat, not rendered or otherwise extracted, fresh, chilled, frozen, salted, in brine, dried or smoked; 5002 - Raw silk "non-thrown"; 0502 - Pigs', hogs' or boars' bristles and hair; badger hair and other brush making hair; waste of such bristles or hair; 9601 - Worked ivory, bone, tortoiseshell, horn, antlers, coral, mother-of-pearl and other animal carving material, and articles of these material, incl. articles obtained by moulding, n.e.s.; 0210 - Meat and edible offal, salted, in brine, dried or smoked; edible flours and meals of meat or meat offal; 2309 - Preparations of a kind used in animal feeding; 3101 - Animal or vegetable fertilisers, whether or not mixed together or chemically treated; fertilisers produced by the mixing or chemical treatment of animal or vegetable products (excl. those in pellet or similar forms, or in packages with a gross weight of &lt;= 10 kg); 020910 - Pig fat, free of lean meat, not rendered or otherwise extracted, fresh, chilled, frozen, salted, in brine, dried or smoked</t>
  </si>
  <si>
    <t>Animal health; Animal diseases; African swine fever (ASF); Zoonoses</t>
  </si>
  <si>
    <d:r xmlns:d="http://schemas.openxmlformats.org/spreadsheetml/2006/main">
      <d:rPr>
        <d:sz val="11"/>
        <d:rFont val="Calibri"/>
      </d:rPr>
      <d:t xml:space="preserve">https://members.wto.org/crnattachments/2021/SPS/RUS/21_2650_00_x.pdf
https://fsvps.gov.ru/fsvps/laws/7883.html</d:t>
    </d:r>
  </si>
  <si>
    <t>Draft amendments to the technical regulation of the Customs Union "On the Safety of Packaging" (CU TR 005/2011)</t>
  </si>
  <si>
    <t xml:space="preserve">The draft amendments to the technical regulation of the Customs Union "On the safety of packaging" (TR CU 005/2011) (hereinafter respectively - the draft amendments, CU TR 005/2011) was developed in accordance with paragraph 39 of Section II of the Plan for the development of technical regulations of the Eurasian Economic Union and amendments to the technical regulations of the Customs Union, approved by the Decision of the EEC Council No. 79 of 1 October 2014._x000D_
Draft amendments to the technical regulation of the Customs Union "On the safety of packaging" (TR CU 005/2011) has been developed to clarify individual requirements of the technical regulation based on the results of the practice of its application.</t>
  </si>
  <si>
    <t>Packaging (closures); processes of production (manufacturing), storage, transportation, sale and disposal associated with the requirements for packaging (closures).</t>
  </si>
  <si>
    <t>55.020 - Packaging and distribution of goods in general</t>
  </si>
  <si>
    <t>Packaging</t>
  </si>
  <si>
    <d:r xmlns:d="http://schemas.openxmlformats.org/spreadsheetml/2006/main">
      <d:rPr>
        <d:sz val="11"/>
        <d:rFont val="Calibri"/>
      </d:rPr>
      <d:t xml:space="preserve">http://www.eurasiancommission.org/ru/act/texnreg/deptexreg/tr/Documents/TR%20TS%20Upakovka.pdf</d:t>
    </d:r>
  </si>
  <si>
    <t>Draft amendments to the technical regulation of the Customs Union "On the Safety of Packaging" (CU TR 005/2011) http://docs.eaunion.org/pd/ru-ru/0105824/pd_31032021Technical regulation of the Customs Union "On the Safety of Packaging " (CU TR 005/2011) http://www.eurasiancommission.org/ru/act/texnreg/deptexreg/tr/Documents/TR%20TS%20Upakovka.pdf</t>
  </si>
  <si>
    <t>Letter by the Federal Service for Veterinary and Phytosanitary Surveillance No. FS-ARe-7/3756-3 as of 30 March 2021</t>
  </si>
  <si>
    <t>The Federal Service for Veterinary and Phytosanitary Surveillance (Rosselkhoznadzor) introduced a temporary restriction on import of live sheep and goats, products produced from meat of sheep and goats from Pakistan due to the outbreak of ovine rinderpest. Transit through the territory of the Russian Federation of live sheep and goats susceptible to peste des petits ruminants (PPR) originating from Pakistan is also temporary restricted.</t>
  </si>
  <si>
    <t>Live sheep and goats; products produced from meat of sheep and goats; milk and milk products; feed of animal origin and other raw materials and products obtained from sheep and goats slaughter with exception of production subject to the use of technologies providing destruction of PPR in accordance with the provisions of Chapter 14.7 of the OIE Terrestrial Animal Health Code (HS Codes: 0104, 0106, 0204, 0206, 0210, 0401, 0402, 0403, 0404, 0405, 0406, 0506, 0507, 1502, 1503 00, 1505 00, 1506 00 000 0, 1516 10, 1518 00, 1601 00, 1602, 1603 00, 1902 20)</t>
  </si>
  <si>
    <t>02064 - - Of swine, frozen :; 0506 - Bones and horn-cores and their powder and waste, unworked, defatted, simply prepared, treated with acid or degelatinised (excl. cut to shape); 1503 - Lard stearin, lard oil, oleostearin, oleo-oil and tallow oil (excl. emulsified, mixed or otherwise prepared); 0401 - Milk and cream, not concentrated nor containing added sugar or other sweetening matter; 0402 - Milk and cream, concentrated or containing added sugar or other sweetening matter; 1505 - Wool grease and fatty substances derived therefrom, incl. lanolin; 1601 - Sausages and similar products, of meat, offal or blood; food preparations based on these products; 020610 - Fresh or chilled edible offal of bovine animals; 020680 - Fresh or chilled edible offal of sheep, goats, horses, asses, mules and hinnies; 0403 - Buttermilk, curdled milk and cream, yogurt, kephir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151610 - Animal fats and oils and their fractions, partly or wholly hydrogenated, inter-esterified, re-esterified or elaidinised, whether or not refined, but not further prepared; 0206 - Edible offal of bovine animals, swine, sheep, goats, horses, asses, mules or hinnies, fresh, chilled or frozen; 1516 - Animal or vegetable fats and oils and their fractions, partly or wholly hydrogenated, inter-esterified, re-esterified or elaidinised, whether or not refined, but not further prepared; 1602 - Prepared or preserved meat, offal or blood (excl. sausages and similar products, and meat extracts and juices); 020630 - Fresh or chilled edible offal of swine;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0106 - Live animals (excl. horses, asses, mules, hinnies, bovine animals, swine, sheep, goats, poultry, fish, crustaceans, molluscs and other aquatic invertebrates, and microorganic cultures etc.); 02062 - - Of bovine animals, frozen :; 0210 - Meat and edible offal, salted, in brine, dried or smoked; edible flours and meals of meat or meat offal; 02101 - - Meat of swine :; 0104 - Live sheep and goats; 0204 - Meat of sheep or goats, fresh, chilled or frozen; 021020 - Meat of bovine animals, salted, in brine, dried or smoked; 02109 - - Other, including edible flours and meals of meat or meat offal :; 0406 - Cheese and curd; 1502 - Fats of bovine animals, sheep or goats (excl. oil and oleostearin); 1902 - Pasta, whether or not cooked or stuffed with meat or other substances or otherwise prepared, such as spaghetti, macaroni, noodles, lasagne, gnocchi, ravioli, cannelloni; couscous, whether or not prepared; 020690 - Frozen edible offal of sheep, goats, horses, asses, mules and hinnies; 151620 - Vegetable fats and oils and their fractions, partly or wholly hydrogenated, inter-esterified, re-esterified or elaidinised, whether or not refined, but not further prepared;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1603 - Extracts and juices of meat, fish or crustaceans, molluscs and other aquatic invertebrates</t>
  </si>
  <si>
    <t>Pakistan</t>
  </si>
  <si>
    <d:r xmlns:d="http://schemas.openxmlformats.org/spreadsheetml/2006/main">
      <d:rPr>
        <d:sz val="11"/>
        <d:rFont val="Calibri"/>
      </d:rPr>
      <d:t xml:space="preserve">https://members.wto.org/crnattachments/2021/SPS/RUS/21_2490_00_x.pdf
https://fsvps.gov.ru/fsvps/laws/7897.html</d:t>
    </d:r>
  </si>
  <si>
    <t>Letter of the Federal Service for the Veterinary and Phytosanitary Surveillance No. FS-ARe-7/3747-3 as of 31 March 2021</t>
  </si>
  <si>
    <t xml:space="preserve">The Federal Service for the Veterinary and Phytosanitary Surveillance introduced a temporary restriction on import of products mentioned in item 3 from Mauritius to the territory of the Russian Federation and transit of live animals susceptible to FMD through the territory of the Russian Federation originating from Mauritius due to the registration of outbreaks of FMD._x000D_
_x000D_
A temporary restriction is imposed on:_x000D_
- live animals susceptible to FMD; _x000D_
- genetic material (except selected in vivo in accordance with the provisions of Article 8.8.17 of the OIE Terrestrial Animal Health Code); _x000D_
- raw meat and meat products, not heat-treated, that guarantees the destruction of the FMD virus (in accordance with the Article 8.8.31 of the OIE Terrestrial Animal Health Code); _x000D_
- milk and milk products, not heat-treated, that guarantees the destruction of the FMD virus (in accordance with the Article 8.8.35); _x000D_
- wool, hair, bristles, trophies, raw intestines, hides and skins, untreated by technology that guarantees the destruction of the FMD virus (in accordance with the Articles 8.8.32, 8.8.33, 8.8.34, 8.8.37, 8.8.38 of the OIE Terrestrial Animal Health Code).</t>
  </si>
  <si>
    <t>Live animals susceptible to FMD; genetic material (except selected in vivo); raw meat and meat products, not heat-treated; milk and milk products, not heat-treated; wool, hair, bristles, trophies, raw intestines, hides and skins, untreated by technology (HS Codes: 0102, 0103, 0104,0106, 0201, 0202, 0203, 0204,0206, 0208, 0209, 0210, 0401, 0402, 0403, 0404, 0405, 0406, 0410 00 000 0, 0502, 0504 00 000 0, 0506, 0507, 0510 00 000 0, 0511, 1501, 1502, 1503 00, 1505, 1506 00 000 0, 1516 10, 1518 00, 2105 00, 2106, 1601 00, 1602, 1603 00, 1902 20, 1904 20)</t>
  </si>
  <si>
    <t>0206 - Edible offal of bovine animals, swine, sheep, goats, horses, asses, mules or hinnies, fresh, chilled or frozen; 0510 - Ambergris, castoreum, civet and musk; cantharides; bile, whether or not dried; glands and other animal products used in the preparation of pharmaceutical products, fresh, chilled, frozen or otherwise provisionally preserved; 1516 - Animal or vegetable fats and oils and their fractions, partly or wholly hydrogenated, inter-esterified, re-esterified or elaidinised, whether or not refined, but not further prepared; 0203 - Meat of swine, fresh, chilled or frozen; 0103 - Live swine; 0201 - Meat of bovine animals, fresh or chilled; 0202 - Meat of bovine animals, frozen; 0209 - Pig fat, free of lean meat, and poultry fat, not rendered or otherwise extracted, fresh, chilled, frozen, salted, in brine, dried or smoked; 0401 - Milk and cream, not concentrated nor containing added sugar or other sweetening matter; 0402 - Milk and cream, concentrated or containing added sugar or other sweetening matter; 0511 - Animal products n.e.s.; dead animals of all types, unfit for human consumption; 1505 - Wool grease and fatty substances derived therefrom, incl. lanolin; 1511 - Palm oil and its fractions, whether or not refined (excl. chemically modified); 0506 - Bones and horn-cores and their powder and waste, unworked, defatted, simply prepared, treated with acid or degelatinised (excl. cut to shape); 1503 - Lard stearin, lard oil, oleostearin, oleo-oil and tallow oil (excl. emulsified, mixed or otherwise prepared); 0208 - Meat and edible offal of rabbits, hares, pigeons and other animals, fresh, chilled or frozen (excl. of bovine animals, swine, sheep, goats, horses, asses, mules, hinnies, poultry "fowls of the species Gallus domesticus", ducks, geese, turkeys and guinea fowls); 0403 - Buttermilk, curdled milk and cream, yogurt, kephir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0410 - Turtles' eggs, birds' nests and other edible products of animal origin, n.e.s.;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0104 - Live sheep and goats; 0204 - Meat of sheep or goats, fresh, chilled or frozen; 0406 - Cheese and curd; 0504 - Guts, bladders and stomachs of animals (other than fish), whole and pieces thereof, fresh, chilled, frozen, salted, in brine, dried or smoked; 1501 - Pig fat, incl. lard, and poultry fat, rendered or otherwise extracted (excl. lard stearin and lard oil); 1502 - Fats of bovine animals, sheep or goats (excl. oil and oleostearin)</t>
  </si>
  <si>
    <t>Mauritius</t>
  </si>
  <si>
    <d:r xmlns:d="http://schemas.openxmlformats.org/spreadsheetml/2006/main">
      <d:rPr>
        <d:sz val="11"/>
        <d:rFont val="Calibri"/>
      </d:rPr>
      <d:t xml:space="preserve">https://members.wto.org/crnattachments/2021/SPS/RUS/21_2491_00_x.pdf
https://fsvps.gov.ru/fsvps/laws/7901.html</d:t>
    </d:r>
  </si>
  <si>
    <t>Letter of the Federal Service for Veterinary and Phytosanitary Surveillance No. FS-ARe-7/3738-3 of 26 March 2021 (Czech Republic, Zlín region)</t>
  </si>
  <si>
    <t>The Zlín region of the Czech Republic has been included into the list of territories under the temporary restriction on import of live poultry, birds' eggs and poultry products, introduced by the Federal Service for Veterinary and Phytosanitary Surveillance on 26 March 2021. The measure is applied due to an outbreak of highly pathogenic avian influenza.</t>
  </si>
  <si>
    <t>0105 - Live poultry, "fowls of the species Gallus domesticus, ducks, geese, turkeys and guinea fowls"; 0106 - Live animals (excl. horses, asses, mules, hinnies, bovine animals, swine, sheep, goats, poultry, fish, crustaceans, molluscs and other aquatic invertebrates, and microorganic cultures etc.); 0407 - Birds' eggs, in shell, fresh, preserved or cooked</t>
  </si>
  <si>
    <t>Avian Influenza; Animal health; Human health; Pest- or Disease- free Regions / Regionalization; Zoonoses; Modification of content/scope of regulation; Animal diseases; Food safety</t>
  </si>
  <si>
    <t>Eurasian Economic Commission Council Draft Decision on amendments to the Table 8 of the Common Quarantine Phytosanitary Requirements for Quarantine Products and Quarantine Objects on the Customs Border and the Customs Territory of the Eurasian Economic Union (EAEU)</t>
  </si>
  <si>
    <t>The draft provides for the quarantine phytosanitary requirements for mushroom spawn.</t>
  </si>
  <si>
    <t>Mushroom spawn (from HS Code 0602)</t>
  </si>
  <si>
    <t>0602 - Live plants incl. their roots, cuttings and slips; mushroom spawn (excl. bulbs, tubers, tuberous roots, corms, crowns and rhizomes, and chicory plants and roots)</t>
  </si>
  <si>
    <t>Plant health; Plant diseases</t>
  </si>
  <si>
    <d:r xmlns:d="http://schemas.openxmlformats.org/spreadsheetml/2006/main">
      <d:rPr>
        <d:sz val="11"/>
        <d:rFont val="Calibri"/>
      </d:rPr>
      <d:t xml:space="preserve">https://members.wto.org/crnattachments/2021/SPS/RUS/21_2470_00_x.pdf
https://docs.eaeunion.org/ria/ru-ru/0104522/ria_23032021</d:t>
    </d:r>
  </si>
  <si>
    <t>Eurasian Economic Commission Council Draft Decision on amendments to the Customs Union Commission Decision as of 18 June 2010 No. 318</t>
  </si>
  <si>
    <t>The draft provides for few changes in the use of electronic form of commercial, transport (shipping) documents and phytosanitary certificates by the competent authorities within the framework of quarantine phytosanitary control (supervision), as well  as in conveying the results of quarantine phytosanitary control (supervision) in electronic form via information systems of the competent authorities.</t>
  </si>
  <si>
    <t>Plant health; Plant diseases; Territory protection</t>
  </si>
  <si>
    <d:r xmlns:d="http://schemas.openxmlformats.org/spreadsheetml/2006/main">
      <d:rPr>
        <d:sz val="11"/>
        <d:rFont val="Calibri"/>
      </d:rPr>
      <d:t xml:space="preserve">https://members.wto.org/crnattachments/2021/SPS/RUS/21_2471_00_x.pdf
https://docs.eaeunion.org/ria/ru-ru/0104526/ria_23032021</d:t>
    </d:r>
  </si>
  <si>
    <t>Eurasian Economic Commission Collegium Draft Decision on amendments to the Decision of the Commission of the Customs Union of 7 April 2011 No. 607</t>
  </si>
  <si>
    <t>The draft amends the form of a veterinary health certificate No. 28 for milk and dairy products exported to the customs territory of the EAEU and provides for the use of this veterinary certificate for goods made from milk in which animal fat is replaced by vegetable fat by more than 50%.</t>
  </si>
  <si>
    <t>Dairy products, goods made from milk in which animal fat is replaced by vegetable fat by more than 50% (HS Codes: from 2106 90, from 1901 90)</t>
  </si>
  <si>
    <t>210690 - Food preparations, n.e.s.; 190190 - 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 heading 0401 to 0404, not containing cocoa or containing &lt; 5% by weight of cocoa calculated on a totally defatted basis, n.e.s. (excl. for infant use, put up for retail sale, and mixes and doughs for the preparation of bakers' wares of heading 1905)</t>
  </si>
  <si>
    <t>Food safety; Animal health; Human health</t>
  </si>
  <si>
    <d:r xmlns:d="http://schemas.openxmlformats.org/spreadsheetml/2006/main">
      <d:rPr>
        <d:sz val="11"/>
        <d:rFont val="Calibri"/>
      </d:rPr>
      <d:t xml:space="preserve">https://members.wto.org/crnattachments/2021/SPS/RUS/21_2076_00_x.pdf
https://docs.eaeunion.org/ria/ru-ru/0104513/ria_18032021</d:t>
    </d:r>
  </si>
  <si>
    <t>Draft Eurasian Economic Commission Council Decision on amendments to the Common List of Goods Subject to Veterinary Control (surveillance) and Draft Eurasian Economic Commission Collegium Decision on amendments to the Regulation on Common veterinary (sanitary and veterinary) requirements for goods subject to veterinary control (surveillance)</t>
  </si>
  <si>
    <t>The drafts provide for expansion of the list of goods subject to veterinary control on goods from HS Code 3823 of the EAEU Commodity Nomenclature of Foreign Economic Activity, as well as specification of veterinary measures applied for goods from HS code 3823 of EAEU CN of FEA.</t>
  </si>
  <si>
    <t>Feed additives (HS Code: from 3823)</t>
  </si>
  <si>
    <t>3823 - Industrial monocarboxylic fatty acids; acid oils from refining; industrial fatty alcohols</t>
  </si>
  <si>
    <t>Animal feed; Animal health; Feed additives</t>
  </si>
  <si>
    <d:r xmlns:d="http://schemas.openxmlformats.org/spreadsheetml/2006/main">
      <d:rPr>
        <d:sz val="11"/>
        <d:rFont val="Calibri"/>
      </d:rPr>
      <d:t xml:space="preserve">https://members.wto.org/crnattachments/2021/SPS/RUS/21_2077_00_x.pdf
https://members.wto.org/crnattachments/2021/SPS/RUS/21_2077_01_x.pdf
https://docs.eaeunion.org/ria/ru-ru/0104507/ria_18032021
https://docs.eaeunion.org/ria/ru-ru/0104510/ria_18032021</d:t>
    </d:r>
  </si>
  <si>
    <t>Letter of the Federal Service for Veterinary and Phytosanitary Surveillance No. FS-ARe-7/3710-3 of 12 March 2021 (Czech Republic, Moravian-Silesian region)</t>
  </si>
  <si>
    <t>The Moravian-Silesian region of the Czech Republic has been included into the list of territories under the temporary restriction on import of live poultry, birds' eggs and poultry products, introduced by the Federal Service for Veterinary and Phytosanitary Surveillance on 12 March 2021. The measure is applied due to an outbreak of highly pathogenic avian influenza.</t>
  </si>
  <si>
    <t>0407 - Birds' eggs, in shell, fresh, preserved or cooked; 0106 - Live animals (excl. horses, asses, mules, hinnies, bovine animals, swine, sheep, goats, poultry, fish, crustaceans, molluscs and other aquatic invertebrates, and microorganic cultures etc.); 0105 - Live poultry, "fowls of the species Gallus domesticus, ducks, geese, turkeys and guinea fowls"</t>
  </si>
  <si>
    <t>Avian Influenza; Animal diseases; Modification of content/scope of regulation; Zoonoses; Animal health; Human health; Pest- or Disease- free Regions / Regionalization; Food safety</t>
  </si>
  <si>
    <t>Letter of the Federal Service for Veterinary and Phytosanitary Surveillance No. FS-ARe-7/3650-3 of 1 February 2021</t>
  </si>
  <si>
    <t>Rosselkhoznadzor introduced a temporary restriction on imports of live bovine animals from Sri Lanka to the territory of the Russian Federation and their transit through the Russian territory due to the outbreak of lumpy skin disease in Sri Lanka.</t>
  </si>
  <si>
    <d:r xmlns:d="http://schemas.openxmlformats.org/spreadsheetml/2006/main">
      <d:rPr>
        <d:sz val="11"/>
        <d:rFont val="Calibri"/>
      </d:rPr>
      <d:t xml:space="preserve">https://members.wto.org/crnattachments/2021/SPS/RUS/21_2057_00_x.pdf
https://fsvps.gov.ru/fsvps/laws/7767.html</d:t>
    </d:r>
  </si>
  <si>
    <t>Letter of the Federal Service for Veterinary and Phytosanitary Surveillance No. FS-ARe-7/3711-3 of 12 March 2021 (Sweden, Halland county)</t>
  </si>
  <si>
    <t>The Halland county of Sweden has been included into the list of territories under the temporary restriction on import of live poultry, birds' eggs and poultry products, introduced by the Federal Service for Veterinary and Phytosanitary Surveillance on 12 March 2021. The measure is applied due to an outbreak of highly pathogenic avian influenza.</t>
  </si>
  <si>
    <t>Avian Influenza; Animal diseases; Food safety; Modification of content/scope of regulation; Zoonoses; Animal health; Human health; Pest- or Disease- free Regions / Regionalization</t>
  </si>
  <si>
    <t>Letter by the Federal Service for Veterinary and Phytosanitary Surveillance No. FS-ARe-7/3692-3 as of 2 March 2021</t>
  </si>
  <si>
    <t>The Federal Service for Veterinary and Phytosanitary Surveillance (Rosselkhoznadzor) introduced a temporary restriction on import of live sheep and goats; products produced from meat of sheep and goats from Thailand due to the outbreak of ovine rinderpest. Transit through the territory of the Russian Federation of live sheep and goats susceptible to peste des petits ruminants (PPR) originating from Thailand is also temporary restricted.</t>
  </si>
  <si>
    <t>1603 - Extracts and juices of meat, fish or crustaceans, molluscs and other aquatic invertebrates; 0104 - Live sheep and goats; 0204 - Meat of sheep or goats, fresh, chilled or frozen; 0406 - Cheese and curd; 050690 - Bones and horn-cores and their powder and waste, unworked, defatted, degelatinised or simply prepared (excl. ossein and bones treated with acid and cut to shape); 1502 - Fats of bovine animals, sheep or goats (excl. oil and oleostearin); 1902 - Pasta, whether or not cooked or stuffed with meat or other substances or otherwise prepared, such as spaghetti, macaroni, noodles, lasagne, gnocchi, ravioli, cannelloni; couscous, whether or not prepared; 0403 - Buttermilk, curdled milk and cream, yogurt, kephir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050610 - Ossein and bones treated with acid; 0401 - Milk and cream, not concentrated nor containing added sugar or other sweetening matter; 0402 - Milk and cream, concentrated or containing added sugar or other sweetening matter; 1505 - Wool grease and fatty substances derived therefrom, incl. lanolin; 1601 - Sausages and similar products, of meat, offal or blood; food preparations based on these products; 0506 - Bones and horn-cores and their powder and waste, unworked, defatted, simply prepared, treated with acid or degelatinised (excl. cut to shape); 1503 - Lard stearin, lard oil, oleostearin, oleo-oil and tallow oil (excl. emulsified, mixed or otherwise prepared); 0206 - Edible offal of bovine animals, swine, sheep, goats, horses, asses, mules or hinnies, fresh, chilled or frozen; 1516 - Animal or vegetable fats and oils and their fractions, partly or wholly hydrogenated, inter-esterified, re-esterified or elaidinised, whether or not refined, but not further prepared; 1602 - Prepared or preserved meat, offal or blood (excl. sausages and similar products, and meat extracts and juices);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</si>
  <si>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d:r xmlns:d="http://schemas.openxmlformats.org/spreadsheetml/2006/main">
      <d:rPr>
        <d:sz val="11"/>
        <d:rFont val="Calibri"/>
      </d:rPr>
      <d:t xml:space="preserve">https://fsvps.gov.ru/fsvps/laws/7830.html</d:t>
    </d:r>
  </si>
  <si>
    <t>Letter of the Federal Service for Veterinary and Phytosanitary Surveillance No. FS-ARe-7/3698-3 of 4 March 2021 (Sweden, East Gothland region)</t>
  </si>
  <si>
    <t>The East Gothland region of Sweden has been included into the list of territories under the temporary restriction on import of live poultry, birds' eggs and poultry products, introduced by the Federal Service for Veterinary and Phytosanitary Surveillance on 4 March 2021. The measure is applied due to an outbreak of highly pathogenic avian influenza.</t>
  </si>
  <si>
    <t>Animal health; Modification of content/scope of regulation; Avian Influenza; Human health; Pest- or Disease- free Regions / Regionalization; Animal diseases; Food safety; Zoonoses</t>
  </si>
  <si>
    <t>The Federal Service for Veterinary and Phytosanitary Surveillance introduced a temporary restriction on import of live poultry, poultry products and birds' eggs from the Friuli Venezia Giulia region of Italy due to the outbreak of highly pathogenic avian influenza.</t>
  </si>
  <si>
    <t>0207 - Meat and edible offal of fowls of the species Gallus domesticus, ducks, geese, turkeys and guinea fowls, fresh, chilled or frozen;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0106 - Live animals (excl. horses, asses, mules, hinnies, bovine animals, swine, sheep, goats, poultry, fish, crustaceans, molluscs and other aquatic invertebrates, and microorganic cultures etc.); 0407 - Birds' eggs, in shell, fresh, preserved or cooked</t>
  </si>
  <si>
    <t>Zoonoses; Avian Influenza; Animal diseases; Animal health; Pest- or Disease- free Regions / Regionalization</t>
  </si>
  <si>
    <t>Italy, Friuli Venezia Giulia region</t>
  </si>
  <si>
    <d:r xmlns:d="http://schemas.openxmlformats.org/spreadsheetml/2006/main">
      <d:rPr>
        <d:sz val="11"/>
        <d:rFont val="Calibri"/>
      </d:rPr>
      <d:t xml:space="preserve">https://members.wto.org/crnattachments/2021/SPS/RUS/21_1877_00_x.pdf
https://fsvps.gov.ru/fsvps/laws/7837.html</d:t>
    </d:r>
  </si>
  <si>
    <t>Letter of the Federal Service for Veterinary and Phytosanitary Surveillance No. FS-ARe-7/3695-3 of 3 March 2021 (Czech Republic: Vysočina, Pardubice and Plzeň regions)</t>
  </si>
  <si>
    <t>Vysočina, Pardubice and Plzeň regions of the Czech Republic have been included into the list of territories under the temporary restriction on import of live poultry, birds' eggs and poultry products, introduced by the Federal Service for Veterinary and Phytosanitary Surveillance on 3 March 2021. The measure is applied due to an outbreak of highly pathogenic avian influenza.</t>
  </si>
  <si>
    <t>0105 - Live poultry, "fowls of the species Gallus domesticus, ducks, geese, turkeys and guinea fowls"; 0407 - Birds' eggs, in shell, fresh, preserved or cooked; 0106 - Live animals (excl. horses, asses, mules, hinnies, bovine animals, swine, sheep, goats, poultry, fish, crustaceans, molluscs and other aquatic invertebrates, and microorganic cultures etc.)</t>
  </si>
  <si>
    <t>Modification of content/scope of regulation; Avian Influenza; Animal diseases; Food safety; Zoonoses; Animal health; Human health; Pest- or Disease- free Regions / Regionalization</t>
  </si>
  <si>
    <t>Draft amendments to the Rules of Good Pharmacovigilance Practice (GVP) of the Eurasian Economic Union</t>
  </si>
  <si>
    <t xml:space="preserve">Harmonization with the current version of the European Pharmacovigilance Regulations 2014-2019, generalization and use of experience in assessing actual issues of safety and_x000D_
efficacy of medicinal products being in circulation on the pharmaceutical market from 2005 to 2019. Clarification of approaches to the preparation of risk management plans and of periodically updated reports on the safety of medicines.</t>
  </si>
  <si>
    <d:r xmlns:d="http://schemas.openxmlformats.org/spreadsheetml/2006/main">
      <d:rPr>
        <d:sz val="11"/>
        <d:rFont val="Calibri"/>
      </d:rPr>
      <d:t xml:space="preserve">https://docs.eaeunion.org/ria/ru-ru/0104482/ria_02032021
http://www.eurasiancommission.org/ru/act/texnreg/deptexreg/LS1/Pages/drug_products.aspx</d:t>
    </d:r>
  </si>
  <si>
    <t>Draft amendments to the Rules of Good Pharmacovigilance Practice (GVP) of the Eurasian Economic Union: https://docs.eaeunion.org/ria/ru-ru/0104482/ria_02032021Decision No.87 of the Council of the Eurasian Economic Commission of 3 November 2016: http://www.eurasiancommission.org/ru/act/texnreg/deptexreg/LS1/Pages/drug_products.aspx</t>
  </si>
  <si>
    <t>Letter of the Federal Service for Veterinary and Phytosanitary Surveillance N° FS-ARe-7/3690-3 of 25 February 2021</t>
  </si>
  <si>
    <t>The Rosselkhoznadzor introduced a temporary restriction on import of live poultry, poultry products and birds' eggs from Estonia due to the outbreak of highly pathogenic avian influenza.</t>
  </si>
  <si>
    <t>Pest- or Disease- free Regions / Regionalization; Animal diseases; Zoonoses; Avian Influenza; Animal health</t>
  </si>
  <si>
    <d:r xmlns:d="http://schemas.openxmlformats.org/spreadsheetml/2006/main">
      <d:rPr>
        <d:sz val="11"/>
        <d:rFont val="Calibri"/>
      </d:rPr>
      <d:t xml:space="preserve">https://fsvps.gov.ru/fsvps/laws/7822.html</d:t>
    </d:r>
  </si>
  <si>
    <t>Letter of the Federal Service for Veterinary and Phytosanitary Surveillance N° FS-ARe-7/3686-3 of 20 February 2021 (Västra Götaland County, Sweden)</t>
  </si>
  <si>
    <t>Västra Götaland County of Sweden has been included into the list of territories under the temporary restriction on import of live poultry, birds' eggs and poultry products, introduced by the Federal Service for Veterinary and Phytosanitary Surveillance on 27 January 2021. The measure is applied due to an outbreak of highly pathogenic avian influenza.</t>
  </si>
  <si>
    <t>0407 - Birds' eggs, in shell, fresh, preserved or cooked; 0105 - Live poultry, "fowls of the species Gallus domesticus, ducks, geese, turkeys and guinea fowls"; 0106 - Live animals (excl. horses, asses, mules, hinnies, bovine animals, swine, sheep, goats, poultry, fish, crustaceans, molluscs and other aquatic invertebrates, and microorganic cultures etc.)</t>
  </si>
  <si>
    <t>Letter of the Federal Service for the Veterinary and Phytosanitary Surveillance (Rosselkhoznadzor) No. FS-YUSH-3/4010 of 15 February 2021</t>
  </si>
  <si>
    <t>Rosselkhoznadzor, on the basis of the detection of pepino mosaic virus in fresh tomatoes originated in Senegal and supplied from the Netherlands, imposed a temporary restriction on imports of tomatoes which are accompanied by a phytosanitary certificate for re-export issued in the Netherlands.</t>
  </si>
  <si>
    <t>Tomatoes (HS Code: 0702)</t>
  </si>
  <si>
    <t>0702 - Tomatoes, fresh or chilled</t>
  </si>
  <si>
    <t>Pest- or Disease- free Regions / Regionalization; Plant health; Pests</t>
  </si>
  <si>
    <d:r xmlns:d="http://schemas.openxmlformats.org/spreadsheetml/2006/main">
      <d:rPr>
        <d:sz val="11"/>
        <d:rFont val="Calibri"/>
      </d:rPr>
      <d:t xml:space="preserve">https://members.wto.org/crnattachments/2021/SPS/RUS/21_1274_00_x.pdf</d:t>
    </d:r>
  </si>
  <si>
    <t>Draft rules on the formation and maintenance of the register of chemicals and mixtures and notification of chemicals in the Eurasian Economic Union</t>
  </si>
  <si>
    <t>The draft rules set the procedures of formation and maintenance of the register of chemicals and mixtures in the Eurasian Economic Union.</t>
  </si>
  <si>
    <t>Chemical substances and mixtures</t>
  </si>
  <si>
    <t>National security requirements (TBT); Consumer information, labelling (TBT); Protection of human health or safety (TBT)</t>
  </si>
  <si>
    <d:r xmlns:d="http://schemas.openxmlformats.org/spreadsheetml/2006/main">
      <d:rPr>
        <d:sz val="11"/>
        <d:rFont val="Calibri"/>
      </d:rPr>
      <d:t xml:space="preserve">https://docs.eaeunion.org/ria/ru-ru/0104473/ria_16022021</d:t>
    </d:r>
  </si>
  <si>
    <t>Notification procedures, register, the draft decision of the Council of the Eurasian Economic Union on approval of the rules https://docs.eaeunion.org/ria/ru-ru/0104473/ria_16022021  </t>
  </si>
  <si>
    <t>Letter of the Federal Service for Veterinary and Phytosanitary Surveillance No. FS-ARe-7/3672-3 of 12 February 2021</t>
  </si>
  <si>
    <t>The Rosselkhoznadzor introduced a temporary restriction on import of life poultry, poultry products and birds' eggs from Finland due to the outbreak of highly pathogenic avian influenza.</t>
  </si>
  <si>
    <t>Live poultry, poultry products, birds' eggs (HS Codes: 0105; 0106; 0207; 0407)</t>
  </si>
  <si>
    <t>0407 - Birds' eggs, in shell, fresh, preserved or cooked; 0105 - Live poultry, "fowls of the species Gallus domesticus, ducks, geese, turkeys and guinea fowls"; 0207 - Meat and edible offal of fowls of the species Gallus domesticus, ducks, geese, turkeys and guinea fowls, fresh, chilled or frozen; 0106 - Live animals (excl. horses, asses, mules, hinnies, bovine animals, swine, sheep, goats, poultry, fish, crustaceans, molluscs and other aquatic invertebrates, and microorganic cultures etc.)</t>
  </si>
  <si>
    <t>Animal diseases; Zoonoses; Avian Influenza; Animal health; Pest- or Disease- free Regions / Regionalization</t>
  </si>
  <si>
    <t>Finland</t>
  </si>
  <si>
    <d:r xmlns:d="http://schemas.openxmlformats.org/spreadsheetml/2006/main">
      <d:rPr>
        <d:sz val="11"/>
        <d:rFont val="Calibri"/>
      </d:rPr>
      <d:t xml:space="preserve">https://members.wto.org/crnattachments/2021/SPS/RUS/21_1177_00_x.pdf
https://fsvps.gov.ru/fsvps/laws/7808.html</d:t>
    </d:r>
  </si>
  <si>
    <t>Eurasian Economic Commission Council Draft Decision On Amendments to the Customs Union Technical Regulation "On Safety of Food Products" (CU TR 021/2011)</t>
  </si>
  <si>
    <t>The draft provides for maximum residue levels of veterinary medicinal preparations (pharmacologically active substances) in unprocessed and processed food products of animal origin.</t>
  </si>
  <si>
    <t>Maximum residue limits (MRLs); Veterinary drugs; Human health; Food safety</t>
  </si>
  <si>
    <d:r xmlns:d="http://schemas.openxmlformats.org/spreadsheetml/2006/main">
      <d:rPr>
        <d:sz val="11"/>
        <d:rFont val="Calibri"/>
      </d:rPr>
      <d:t xml:space="preserve">https://docs.eaeunion.org/pd/ru-ru/0105708/pd_05022021</d:t>
    </d:r>
  </si>
  <si>
    <t>Letter of the Federal Service for Veterinary and Phytosanitary Surveillance No. FS-ARe-7/3638-3 of 29 January 2021 (Romania); Letter of the Federal Service for Veterinary and Phytosanitary Surveillance No. FS-ARe-7/3637-3 of 27 January 2021 (Czech Republic, South Bohemian region); Letter of the Federal Service for Veterinary and Phytosanitary Surveillance No. FS-ARe-7/3628-3 of 27 January 2021 (Sweden, Calmar county).</t>
  </si>
  <si>
    <t xml:space="preserve">In Item 7, the objective and rationale of the notified measures should read as below:_x000D_
_x000D_
_x000D_
7.         Objective and rationale: [ ] food safety, [X] animal health, [ ] plant protection, [ ] protect humans from animal/plant pest or disease, [ ] protect territory from other damage from pests. Prevention of HPAI spread as a measure to protect animal health.</t>
  </si>
  <si>
    <t>Zoonoses; Human health; Pest- or Disease- free Regions / Regionalization; Animal diseases; Food safety; Avian Influenza; Animal health</t>
  </si>
  <si>
    <t>Letter of the Federal Service for Veterinary and Phytosanitary Surveillance No. FS-ARe-7/3664-3 of 8 February 2021</t>
  </si>
  <si>
    <t>The Federal Service for Veterinary and Phytosanitary Surveillance (Rosselkhoznadzor) introduced a temporary restriction on import of live poultry, poultry products and birds' eggs from Bulgaria due to the outbreak of highly pathogenic avian influenza.</t>
  </si>
  <si>
    <t>Zoonoses; Avian Influenza; Animal health; Animal diseases</t>
  </si>
  <si>
    <d:r xmlns:d="http://schemas.openxmlformats.org/spreadsheetml/2006/main">
      <d:rPr>
        <d:sz val="11"/>
        <d:rFont val="Calibri"/>
      </d:rPr>
      <d:t xml:space="preserve">https://fsvps.gov.ru/fsvps/laws/7788.html</d:t>
    </d:r>
  </si>
  <si>
    <t>Letter of the Federal Service for the Veterinary and Phytosanitary No. FS-ARe-7/3668-3 as 10 February 2021</t>
  </si>
  <si>
    <t>The Federal Service for Veterinary and Phytosanitary Surveillance (Rosselkhoznadzor) introduced a temporary restriction on import of live swine, meat of swine and products containing pork from Hong Kong, China due to the registration of outbreaks of African swine fever (ASF).</t>
  </si>
  <si>
    <t xml:space="preserve">Live swine, meat of swine, meat and edible meat offal, swine embryos and boar' semen (HS Code(s): 0103; 0203; 020630; 020910; 0210; 0502; 0511; of 5002; of 0511, 160100*, 1602*)_x000D_
* with exception of prepared heat-treated goods of pork, prepared goods containing pork or raw materials of animal origin (from pork) for the production of feeds for non-productive and fur-producing animals with the use of technologies providing destruction of African swine fever virus (ASFV) in accordance with the provision of Chapter 15.1 of the OIE Terrestrial Animal Health Code.</t>
  </si>
  <si>
    <t>0103 - Live swine; 0511 - Animal products n.e.s.; dead animals of all types, unfit for human consumption; 1601 - Sausages and similar products, of meat, offal or blood; food preparations based on these products; 1602 - Prepared or preserved meat, offal or blood (excl. sausages and similar products, and meat extracts and juices); 020630 - Fresh or chilled edible offal of swine; 0502 - Pigs', hogs' or boars' bristles and hair; badger hair and other brush making hair; waste of such bristles or hair; 020910 - Pig fat, free of lean meat, not rendered or otherwise extracted, fresh, chilled, frozen, salted, in brine, dried or smoked; 0203 - Meat of swine, fresh, chilled or frozen; 0210 - Meat and edible offal, salted, in brine, dried or smoked; edible flours and meals of meat or meat offal; 2309 - Preparations of a kind used in animal feeding</t>
  </si>
  <si>
    <t>Animal diseases; Zoonoses; African swine fever (ASF); Animal health</t>
  </si>
  <si>
    <d:r xmlns:d="http://schemas.openxmlformats.org/spreadsheetml/2006/main">
      <d:rPr>
        <d:sz val="11"/>
        <d:rFont val="Calibri"/>
      </d:rPr>
      <d:t xml:space="preserve">https://members.wto.org/crnattachments/2021/SPS/RUS/21_1081_00_x.pdf
https://fsvps.gov.ru/fsvps/laws/7794.html</d:t>
    </d:r>
  </si>
  <si>
    <t>Letter of the Federal Service for Veterinary and Phytosanitary Surveillance No. FS-ARe-7/3663-3 of 8 February 2021 (Czech Republic, Central Bohemian Region)</t>
  </si>
  <si>
    <t>On 8 February 2021, the Rosselkhoznadzor introduced a temporary restriction on import of live poultry, birds' eggs and poultry products from the Central Bohemian region of the Czech Republic, due to an outbreak of highly pathogenic avian influenza.</t>
  </si>
  <si>
    <t>Avian Influenza; Animal diseases; Food safety; Zoonoses; Modification of content/scope of regulation; Animal health; Human health; Pest- or Disease- free Regions / Regionalization</t>
  </si>
  <si>
    <t>Letter of the Federal Service for Veterinary and Phytosanitary Surveillance No. FS-ARe-7/3661-3 of 5 February 2021 (India); Letter of the Federal Service for Veterinary and Phytosanitary Surveillance No. FS-ARe-7/3653-3 of 2 February 2021 (the State of Kuwait); Letter of the Federal Service for Veterinary and Phytosanitary Surveillance No. FS-ARe-7/3652-3 of 2 February 2021 (Senegal)</t>
  </si>
  <si>
    <t>The Rosselkhoznadzor introduced a temporary restriction on import of live poultry and birds eggs from India, the State of Kuwait and Senegal, due to the outbreak of low pathogenic avian influenza in these countries.</t>
  </si>
  <si>
    <t>Live poultry; meat and edible offal of fowls, of the species Gallus domesticus, ducks, geese, turkeys; birds' eggs (HS Codes: 0105; 0106; 0207; 0407)</t>
  </si>
  <si>
    <t>0207 - Meat and edible offal of fowls of the species Gallus domesticus, ducks, geese, turkeys and guinea fowls, fresh, chilled or frozen; 0105 - Live poultry, "fowls of the species Gallus domesticus, ducks, geese, turkeys and guinea fowls"; 0407 - Birds' eggs, in shell, fresh, preserved or cooked; 0106 - Live animals (excl. horses, asses, mules, hinnies, bovine animals, swine, sheep, goats, poultry, fish, crustaceans, molluscs and other aquatic invertebrates, and microorganic cultures etc.)</t>
  </si>
  <si>
    <t>Avian Influenza; Pests; Animal health; Human health; Animal diseases; Food safety</t>
  </si>
  <si>
    <t>India, the State of Kuwait, Senegal</t>
  </si>
  <si>
    <d:r xmlns:d="http://schemas.openxmlformats.org/spreadsheetml/2006/main">
      <d:rPr>
        <d:sz val="11"/>
        <d:rFont val="Calibri"/>
      </d:rPr>
      <d:t xml:space="preserve">https://fsvps.gov.ru/fsvps/laws/7781.html (India)
https://fsvps.gov.ru/fsvps/laws/7772.html (the State of Kuwait)
https://fsvps.gov.ru/fsvps/laws/7771.html (Senegal)</d:t>
    </d:r>
  </si>
  <si>
    <t>Draft amendments to the Customs Union Technical Regulation «On Safety of Food Products» (CU TR 021/2011).</t>
  </si>
  <si>
    <t xml:space="preserve">Draft amendments to the Customs Union Technical Regulation «On Safety of Food Products» (CU TR 021/2011) (hereinafter referred to as draft amendments, TR CU 021/2011) were developed in accordance with the Mandate of the Eurasian Intergovernmental Council No. 12 of July 17, 2020._x000D_
Draft amendments to the Customs Union Technical Regulation «On Safety of Food Products» (CU TR 021/2011) were developed in terms of establishing the maximum permissible levels of residues of veterinary medicines (pharmacologically active substances), which can be contained in both unprocessed and processed food products of animal origin.</t>
  </si>
  <si>
    <t>Food products; the processes of production (manufacturing), storage, transportation, sale and disposal related to the requirements for food products.</t>
  </si>
  <si>
    <d:r xmlns:d="http://schemas.openxmlformats.org/spreadsheetml/2006/main">
      <d:rPr>
        <d:sz val="11"/>
        <d:rFont val="Calibri"/>
      </d:rPr>
      <d:t xml:space="preserve">https://docs.eaeunion.org/pd/ru-ru/0105708/pd_05022021
http://www.eurasiancommission.org/ru/act/texnreg/deptexreg/tr/Pages/PischevayaProd.aspx</d:t>
    </d:r>
  </si>
  <si>
    <t>Draft amendments to the Customs Union Technical Regulation «On Safety of Food Products» (CU TR 021/2011)Customs Union Technical Regulation «On Safety of Food Products» (CU TR 021/2011)</t>
  </si>
  <si>
    <t>Letter of the Federal Service for Veterinary and Phytosanitary Surveillance No. FS-ARe-7/3638-3 of 29 January 2021 (Romania); Letter of the Federal Service for Veterinary and Phytosanitary Surveillance No. FS-ARe-7/3637-3 of 27 January 2021 (Czech Republic, South Bohemian region); Letter of the Federal Service for Veterinary and Phytosanitary Surveillance No. FS-ARe-7/3628-3 of 27 January 2021 (Sweden, Calmar county)</t>
  </si>
  <si>
    <t>The Rosselkhoznadzor introduced temporary restrictions on import of life poultry and birds' eggs from Romania, the South Bohemian region of the Czech Republic and the Calmar county of Sweden due to the outbreak of highly pathogenic avian influenza.</t>
  </si>
  <si>
    <t>Live poultry, birds' eggs (HS Codes: 0105; 0106; 0407)</t>
  </si>
  <si>
    <t>Avian Influenza; Food safety; Zoonoses; Animal health; Human health; Pest- or Disease- free Regions / Regionalization; Animal diseases</t>
  </si>
  <si>
    <t>Romania, Czech Republic (South Bohemian region), Sweden (Calmar county)</t>
  </si>
  <si>
    <d:r xmlns:d="http://schemas.openxmlformats.org/spreadsheetml/2006/main">
      <d:rPr>
        <d:sz val="11"/>
        <d:rFont val="Calibri"/>
      </d:rPr>
      <d:t xml:space="preserve">https://members.wto.org/crnattachments/2021/SPS/RUS/21_0822_00_x.pdf
https://members.wto.org/crnattachments/2021/SPS/RUS/21_0822_01_x.pdf
https://members.wto.org/crnattachments/2021/SPS/RUS/21_0822_02_x.pdf
https://fsvps.gov.ru/fsvps/laws/7765.html (Romania)
https://fsvps.gov.ru/fsvps/laws/7759.html (Czech Republic
 South Bohemian region)
https://fsvps.gov.ru/fsvps/laws/7758.html (Sweden
 Calmar county)</d:t>
    </d:r>
  </si>
  <si>
    <t>Eurasian Economic Commission Council Draft Decision on Amendments to the Common quarantine phytosanitary requirements for quarantine products and quarantined objects on the customs border and the customs territory of the Eurasian Economic Union (EAEU)</t>
  </si>
  <si>
    <t xml:space="preserve">This draft provides for the amendment of the existing requirements with the following:- provisions allowing the movement of quarantine products between the member States of the EAEU in hand luggage and passengers' luggage without a phytosanitary certificate;- provisions allowing to import into the customs territory of the EAEU and move through its territory fruits and berries infected with quarantine species of lecanium, scale insects, bacteria, viruses, viroids, nematodes and phytoplasmas;- requirements for carrot seeds, seeds, micro-plants and minitubers of potato, raw sugar beet seeds for sowing, seedlings, stocks and cuttings of cherry (Prunus mahaleb), peach (Prunus persica), sweet cherry (Prunus avium) and olive (Olea europaea), seedlings of fuchsia (Fuchsia), carnations (Dianthus), pumpkin crops, onion species (Allium spp.) and asparagus rhizomes;- clarification of the requirements for seed and planting material for a wide range of agricultural and forestry crops;- clarification of the requirements for fresh vegetables, fruits and berries;_x000D_
- special quarantine phytosanitary requirements for peat in relation to its production in areas free of the polyphagous humpbacked fly (Megaselia scalaris).</t>
  </si>
  <si>
    <d:r xmlns:d="http://schemas.openxmlformats.org/spreadsheetml/2006/main">
      <d:rPr>
        <d:sz val="11"/>
        <d:rFont val="Calibri"/>
      </d:rPr>
      <d:t xml:space="preserve">https://members.wto.org/crnattachments/2021/SPS/RUS/21_0756_00_x.pdf
https://docs.eaeunion.org/ria/ru-ru/0104426/ria_19012021</d:t>
    </d:r>
  </si>
  <si>
    <t>Eurasian Economic Commission Council Draft Decision on amendments to the Part I of the List of quarantined products (quarantined freights, quarantined materials, quarantined goods) subject to quarantine phytosanitary control (supervision) at the customs border of the Eurasian Economic Union and in the customs territory of the Eurasian Economic Union (hereinafter "the List")</t>
  </si>
  <si>
    <t>The Draft includes mushroom spawn to the List of quarantined products with a high phytosanitary risk.</t>
  </si>
  <si>
    <t>Live plants, including their roots, cuttings, slims and mushroom spawn (HS Code: 0602)</t>
  </si>
  <si>
    <d:r xmlns:d="http://schemas.openxmlformats.org/spreadsheetml/2006/main">
      <d:rPr>
        <d:sz val="11"/>
        <d:rFont val="Calibri"/>
      </d:rPr>
      <d:t xml:space="preserve">https://members.wto.org/crnattachments/2021/SPS/RUS/21_0753_00_x.pdf
https://docs.eaeunion.org/ria/ru-ru/0104422/ria_19012021</d:t>
    </d:r>
  </si>
  <si>
    <t>Letter of the Federal Service for Veterinary and Phytosanitary Surveillance N° FS-ARe-7/3616-5 as of 14 January 2021</t>
  </si>
  <si>
    <t>This letter introduces a temporary restriction on import of life poultry and poultry products from Lithuania due to the outbreak of highly pathogenic avian influenza.</t>
  </si>
  <si>
    <t>Live poultry and hatching egg, poultry meat and poultry processed products not heat-treated, feeds and feed additives for poultry (with the exception of feed additives of vegetable origin, chemical and microbiological synthesis), used equipment and supplies for transportation, breeding, stockkeeping, slaughtering and cutting of poultryHS Codes: of 0105, of 0106, of 0207, of 0208, of 0209, of 0210, of 0407, of 0408, of 0410000000, of 0510000000, of 0504000000, of 0505, of 0507, of 1501, of 0511, of 150300, of 1506000000, of 151610, of 151800, of 160100, of 1602, of 160300, of 190220, of 190420, of 2104, of 2106, of 2309, of 2301, of 2309, of 3101000000, of 3502, of 350400, of 3507, of 4206000000, of 9508100000, of 9705000000</t>
  </si>
  <si>
    <t>0209 - Pig fat, free of lean meat, and poultry fat, not rendered or otherwise extracted, fresh, chilled, frozen, salted, in brine, dried or smoked; 0511 - Animal products n.e.s.; dead animals of all types, unfit for human consumption; 1601 - Sausages and similar products, of meat, offal or blood; food preparations based on these products; 2936 - Provitamins and vitamins, natural or reproduced by synthesis, incl. natural concentrates, derivatives thereof used primarily as vitamins, and intermixtures of the foregoing, whether or not in any solvent; 3824 - Prepared binders for foundry moulds or cores; chemical products and preparations for the chemical or allied industries, incl. mixtures of natural products, n.e.s.; 7020 -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0407 - Birds' eggs, in shell, fresh, preserved or cooked; 3504 - Peptones and their derivatives; other protein substances and their derivatives, n.e.s.; hide powder, whether or not chromed (excl. organic or inorganic compounds of mercury whether or not chemically defined); 4421 - Other articles of wood, n.e.s.; 860691 - Railway or tramway goods vans and wagons, covered and closed (excl. self-discharging goods vans and wagons and tank wagons and the like); 0208 - Meat and edible offal of rabbits, hares, pigeons and other animals, fresh, chilled or frozen (excl. of bovine animals, swine, sheep, goats, horses, asses, mules, hinnies, poultry "fowls of the species Gallus domesticus", ducks, geese, turkeys and guinea fowls); 151610 - Animal fats and oils and their fractions, partly or wholly hydrogenated, inter-esterified, re-esterified or elaidinised, whether or not refined, but not further prepared; 3926 - Articles of plastics and articles of other materials of heading 3901 to 3914, n.e.s.; 7309 -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7616 - Articles of aluminium, n.e.s.;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1603 - Extracts and juices of meat, fish or crustaceans, molluscs and other aquatic invertebrates; 2106 - Food preparations, n.e.s.; 2102 - Yeasts, active or inactive; other dead single-cell micro-organisms, prepared baking powders (excl. single-cell micro-organisms packaged as medicaments); 843621 - Poultry incubators and brooders; 8609 - Containers, incl. containers for the transport of fluids, specially designed and equipped for carriage by one or more modes of transport; 1602 - Prepared or preserved meat, offal or blood (excl. sausages and similar products, and meat extracts and juices); 4206 - Articles of gut, goldbeater's skin, bladders or tendons (excl. silkworm gut, sterile catgut, other sterile surgical suture material and strings for musical instruments); 9705 - Collections and collector's pieces of zoological, botanical, mineralogical, anatomical, historical, archaeological, palaeontological, ethnographic or numismatic interest;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871639 - Trailers and semi-trailers for the transport of goods, not designed for running on rails (excl. self-loading or self-unloading trailers and semi-trailers for agricultural purposes and tanker trailers and tanker semi-trailers); 0410 - Turtles' eggs, birds' nests and other edible products of animal origin, n.e.s.;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3507 - Enzymes; prepared enzymes, n.e.s.; 950810 - Travelling circuses and travelling menageries; 3923 - Articles for the conveyance or packaging of goods, of plastics; stoppers, lids, caps and other closures, of plastics; 4416 - Casks, barrels, vats, tubs and other coopers' products parts thereof, of wood, incl. staves; 843680 - Agricultural, horticultural, forestry or bee-keeping machinery, n.e.s.;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0210 - Meat and edible offal, salted, in brine, dried or smoked; edible flours and meals of meat or meat offal; 0106 - Live animals (excl. horses, asses, mules, hinnies, bovine animals, swine, sheep, goats, poultry, fish, crustaceans, molluscs and other aquatic invertebrates, and microorganic cultures etc.);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190420 - Prepared foods obtained from unroasted cereal flakes or from mixtures of unroasted cereal flakes and roasted cereal flakes or swelled cereals; 2104 - Soups and broths and preparations therefor; food preparations consisting of finely homogenised mixtures of two or more basic ingredients such as meat, fish, vegetables or fruit, put up for retail sale as infant food or for dietetic purposes, in containers of &lt;= 250 g; 2309 - Preparations of a kind used in animal feeding</t>
  </si>
  <si>
    <t>Avian Influenza; Zoonoses; Animal health; Human health; Pest- or Disease- free Regions / Regionalization; Animal diseases; Food safety</t>
  </si>
  <si>
    <d:r xmlns:d="http://schemas.openxmlformats.org/spreadsheetml/2006/main">
      <d:rPr>
        <d:sz val="11"/>
        <d:rFont val="Calibri"/>
      </d:rPr>
      <d:t xml:space="preserve">https://members.wto.org/crnattachments/2021/SPS/RUS/21_0474_00_x.pdf</d:t>
    </d:r>
  </si>
  <si>
    <t>Draft Eurasian Economic Commission Collegium Decision on amendments to the Regulation on Common veterinary (sanitary and veterinary) requirements for goods subject to veterinary control (surveillance) and Draft Eurasian Economic Commission Collegium Decision on amendments to the Forms of Common Veterinary Certificates for import into the customs territory of the Eurasian Economic Union of controlled goods from third countries</t>
  </si>
  <si>
    <t>The amendments notified by the Russian Federation in G/SPS/N/RUS/195 have been withdrawn.</t>
  </si>
  <si>
    <t>020220 - Frozen bovine cuts, with bone in (excl. carcases and halfcarcases); 0206 - Edible offal of bovine animals, swine, sheep, goats, horses, asses, mules or hinnies, fresh, chilled or frozen; 0102 - Live bovine animals; 0210 - Meat and edible offal, salted, in brine, dried or smoked; edible flours and meals of meat or meat offal; 2309 - Preparations of a kind used in animal feeding; 020210 - Frozen bovine carcases and halfcarcases; 1602 - Prepared or preserved meat, offal or blood (excl. sausages and similar products, and meat extracts and juices); 0201 - Meat of bovine animals, fresh or chilled; 0202 - Meat of bovine animals, frozen; 020230 - Frozen, boneless meat of bovine animals; 1601 - Sausages and similar products, of meat, offal or blood; food preparations based on these products</t>
  </si>
  <si>
    <t>Animal diseases; Zoonoses; Animal health; Bovine Spongiform Encephalopathy (BSE); Withdrawal of the measure</t>
  </si>
  <si>
    <t>Addendum to Regular Notification</t>
  </si>
  <si>
    <t>Letter of the Federal Service for the Veterinary and Phytosanitary Surveilance (Rosselkhoznadzor) No. FS-YUSH-3/33271 of 1 December 2020</t>
  </si>
  <si>
    <t>This letter notes that, due to systematic detection of "Megaselia scalaris" in unmanufactured tobacco originated from Japan, imports of unmanufactured tobacco and tobacco refuse from Japan to the Russian Federation is temporally prohibited.</t>
  </si>
  <si>
    <d:r xmlns:d="http://schemas.openxmlformats.org/spreadsheetml/2006/main">
      <d:rPr>
        <d:sz val="11"/>
        <d:rFont val="Calibri"/>
      </d:rPr>
      <d:t xml:space="preserve">https://members.wto.org/crnattachments/2020/SPS/RUS/20_7523_00_x.pdf</d:t>
    </d:r>
  </si>
  <si>
    <t>Letter of the Federal Service for the Veterinary and Phytosanitary Surveillance (Rosselkhoznadzor) No. FS-YUSH-3/32682 of 25 November 2020</t>
  </si>
  <si>
    <t>Rosselkhoznadzor, on the basis of systematic detection of "pepino mosaic virus" in fresh tomatoes originated from third countries and supplied from Belgium, imposed a temporary restriction on imports of tomatoes which are accompanied by a phytosanitary certificate for re-export issued in Belgium.</t>
  </si>
  <si>
    <t>Territory protection; Plant health; Pest- or Disease- free Regions / Regionalization; Plant diseases</t>
  </si>
  <si>
    <t>Belgium</t>
  </si>
  <si>
    <d:r xmlns:d="http://schemas.openxmlformats.org/spreadsheetml/2006/main">
      <d:rPr>
        <d:sz val="11"/>
        <d:rFont val="Calibri"/>
      </d:rPr>
      <d:t xml:space="preserve">https://members.wto.org/crnattachments/2020/SPS/RUS/20_7524_00_x.pdf</d:t>
    </d:r>
  </si>
  <si>
    <t xml:space="preserve">Letter of the Federal Service for Veterinary and Phytosanitary Surveillance (Rosselkhoznadzor) № FS-ARe-7/3578-3 of 30 November 2020 (Belgium);_x000D_
Letter of the Federal Service for Veterinary and Phytosanitary Surveillance (Rosselkhoznadzor) № FS-ARe-7/3568-3 of 19 November 2020 (Denmark);_x000D_
Letter of the Federal Service for Veterinary and Phytosanitary Surveillance (Rosselkhoznadzor) № FS-КS-7/31287 of 11 November 2020 (Japan);_x000D_
Letter of the Federal Service for Veterinary and Phytosanitary Surveillance (Rosselkhoznadzor) № FS-ARe-7/3542-3 of 3 November 2020 (Netherlands);_x000D_
Letter of the Federal Service for Veterinary and Phytosanitary Surveillance (Rosselkhoznadzor) № FS-ARe-7/3575-3 of 27 November 2020 (Poland);_x000D_
Letter of the Federal Service for Veterinary and Phytosanitary Surveillance (Rosselkhoznadzor) № FS-ARe-7/3573-3 of 27 November 2020 (United Kingdom)_x000D_
_x000D_
_x000D_
</t>
  </si>
  <si>
    <t>The letters introduce a temporary restriction on import of life poultry and poultry products from Belgium, Denmark, Japan, the Netherlands, Poland and the United Kingdom due to the outbreak of highly pathogenic avian influenza.</t>
  </si>
  <si>
    <t>Live poultry, bird eggs, meat and edible offal of poultry (HS Codes: 0105; 0106; 0207; 0208, 0209, 0210, 0407, 0408; 0410 00 000 0,0504 00 000 0,0505, 0511,1501,1506 00 000 0,1516 10,1518 00,1601 00,1602, 1603 00,1902 20,1904 20, products from group 20, 2102, from 2104, from 2106, 2309)</t>
  </si>
  <si>
    <t>0209 - Pig fat, free of lean meat, and poultry fat, not rendered or otherwise extracted, fresh, chilled, frozen, salted, in brine, dried or smoked; 0511 - Animal products n.e.s.; dead animals of all types, unfit for human consumption; 1601 - Sausages and similar products, of meat, offal or blood; food preparations based on these products; 1516 - Animal or vegetable fats and oils and their fractions, partly or wholly hydrogenated, inter-esterified, re-esterified or elaidinised, whether or not refined, but not further prepared; 1602 - Prepared or preserved meat, offal or blood (excl. sausages and similar products, and meat extracts and juices); 19021 - - Uncooked pasta, not stuffed or otherwise prepared :;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1603 - Extracts and juices of meat, fish or crustaceans, molluscs and other aquatic invertebrates; 2102 - Yeasts, active or inactive; other dead single-cell micro-organisms, prepared baking powders (excl. single-cell micro-organisms packaged as medicaments); 2106 - Food preparations, n.e.s.; 0208 - Meat and edible offal of rabbits, hares, pigeons and other animals, fresh, chilled or frozen (excl. of bovine animals, swine, sheep, goats, horses, asses, mules, hinnies, poultry "fowls of the species Gallus domesticus", ducks, geese, turkeys and guinea fowls); 20 - PREPARATIONS OF VEGETABLES, FRUIT, NUTS OR OTHER PARTS OF PLANTS; 0410 - Turtles' eggs, birds' nests and other edible products of animal origin, n.e.s.;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190240 - Couscous, whether or not prepared; 2104 - Soups and broths and preparations therefor; food preparations consisting of finely homogenised mixtures of two or more basic ingredients such as meat, fish, vegetables or fruit, put up for retail sale as infant food or for dietetic purposes, in containers of &lt;= 250 g; 2309 - Preparations of a kind used in animal feeding; 0407 - Birds' eggs, in shell, fresh, preserved or cooked; 190230 - Pasta, cooked or otherwise prepared (excl. stuffed);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1902 - Pasta, whether or not cooked or stuffed with meat or other substances or otherwise prepared, such as spaghetti, macaroni, noodles, lasagne, gnocchi, ravioli, cannelloni; couscous, whether or not prepared; 190220 - Pasta, stuffed with meat or other substances, whether or not cooked or otherwise prepared; 1904 - Prepared foods obtained by the swelling or roasting of cereals or cereal products, e.g. corn flakes; cereals (other than maize "corn") in grain form or in the form of flakes or other worked grains (except flour, groats and meal), pre-cooked or otherwise prepared, n.e.s.</t>
  </si>
  <si>
    <t>Avian Influenza; Animal diseases; Food safety; Zoonoses; Animal health; Human health; Pest- or Disease- free Regions / Regionalization</t>
  </si>
  <si>
    <t>Belgium, Denmark, Japan, the Netherlands, Poland, the United Kingdom</t>
  </si>
  <si>
    <d:r xmlns:d="http://schemas.openxmlformats.org/spreadsheetml/2006/main">
      <d:rPr>
        <d:sz val="11"/>
        <d:rFont val="Calibri"/>
      </d:rPr>
      <d:t xml:space="preserve">https://members.wto.org/crnattachments/2020/SPS/RUS/20_7525_00_x.pdf
https://members.wto.org/crnattachments/2020/SPS/RUS/20_7525_01_x.pdf
https://members.wto.org/crnattachments/2020/SPS/RUS/20_7525_02_x.pdf
https://members.wto.org/crnattachments/2020/SPS/RUS/20_7525_03_x.pdf
https://members.wto.org/crnattachments/2020/SPS/RUS/20_7525_04_x.pdf
https://members.wto.org/crnattachments/2020/SPS/RUS/20_7525_05_x.pdf
https://fsvps.gov.ru/fsvps/laws/7624.html (Belgium);
https://fsvps.gov.ru/fsvps/laws/7604.html (Denmark);
https://fsvps.gov.ru/fsvps/laws/7585.html (Japan);
https://fsvps.gov.ru/fsvps/laws/7591.html (Netherlands);
https://fsvps.gov.ru/fsvps/laws/7618.html (Poland);
https://fsvps.gov.ru/fsvps/laws/7617.html (United Kingdom)</d:t>
    </d:r>
  </si>
  <si>
    <t>Letter of the Federal Service for the Veterinary and Phytosanitary Surveillance (Rosselkhoznadzor) No. FS-YUSH-3/20932 as of July 24, 2020</t>
  </si>
  <si>
    <t>Rosselkhoznadzor on the basis of phytosanitary risk analysis imposes new requirements for tomatoes and peppers (including their fruits, seedlings and seeds) imports to Russia and their transit through the Russian territory. The abovementioned products should be free from tomato brown rugose fruit virus (ToBRFV), tomato spotted wilt virus (TSWV) and pepino mosaic virus.</t>
  </si>
  <si>
    <t>Seeds, seedlings and fruits of tomatoes and peppers</t>
  </si>
  <si>
    <t>0702 - Tomatoes, fresh or chilled; 070960 - Fresh or chilled fruits of the genus Capsicum or Pimenta</t>
  </si>
  <si>
    <t>Seeds; Plant health; Plant diseases; Territory protection</t>
  </si>
  <si>
    <t>Draft Amendments to the Customs Union Technical Regulations "On safety of furniture production" (CU TR 025/2012)</t>
  </si>
  <si>
    <t xml:space="preserve">The draft amendments include clarifications in the following parts:_x000D_
_x000D_
The statement of subparagraph 5.1 of paragraph 5 of article 2 of CU TR 025/2012 "Definitions”, the statement of Article 5 CU TR 025/2012 "Ensuring compliance with safety requirements”, as well as amendments to article 6 of CU TR 025/2012 "Conformity assessment"; clarifications of conformity assessment procedures CU TR 025/201 2 in terms of establishing forms, schemes and procedures for conformity assessment based on standard conformity assessment schemes approved by the decision of the Council of the Eurasian Economic Commission dated 18 April 2018 No. 44.</t>
  </si>
  <si>
    <t>Furniture</t>
  </si>
  <si>
    <t>97.140 - Furniture</t>
  </si>
  <si>
    <d:r xmlns:d="http://schemas.openxmlformats.org/spreadsheetml/2006/main">
      <d:rPr>
        <d:sz val="11"/>
        <d:rFont val="Calibri"/>
      </d:rPr>
      <d:t xml:space="preserve">https://docs.eaeunion.org/pd/ru-ru/0105397/pd_23102020 
 http://eec.eaeunion.org/ru/Lists/EECDocs/RS_P_32.pdf</d:t>
    </d:r>
  </si>
  <si>
    <t xml:space="preserve">Draft Amendments to the Customs Union Technical Regulations «On safety of furniture production» (CU TR 025/2012) ; _x000D_
https://docs.eaeunion.org/pd/ru-ru/0105397/pd_231020202Customs Union Technical Regulations "On safety of furniture production" (CU TR 025/2012) _x000D_
http://eec.eaeunion.org/ru/Lists/EECDocs/RS_P_32.pdf</t>
  </si>
  <si>
    <t>Draft Amendments to the Customs Union Technical Regulation "On safety of light industry products" CU TR 017/2011The Eurasian Economic Commission</t>
  </si>
  <si>
    <t>The Draft Amendments include clarifications in the following parts:- the statement of article 2 of CU TR 017/2011, amendments to article 10 of CU TR 017/2011 "Ensuring compliance with safety requirements", amendments to Article 11 of CU TR 017/2011, to Article 11 "conformity assessment", deletion of tables 1 and 2 of Article 11.- clarifications of CAP in terms of establishing forms, schemes and procedures for conformity assessment based on standard conformity assessment schemes approved by the decision of the Council of the Eurasian Economic Union of April 18, 2018 № 44.</t>
  </si>
  <si>
    <t>Light industry products</t>
  </si>
  <si>
    <d:r xmlns:d="http://schemas.openxmlformats.org/spreadsheetml/2006/main">
      <d:rPr>
        <d:sz val="11"/>
        <d:rFont val="Calibri"/>
      </d:rPr>
      <d:t xml:space="preserve">https://docs.eaunion.org/pd/ru-ru/0105386/pd_23102020</d:t>
    </d:r>
  </si>
  <si>
    <t>Draft amendments to CU TR 017/2011: https://docs.eaunion.org/pd/ru-ru/0105386/pd_23102020</t>
  </si>
  <si>
    <t>Eurasian Economic Commission Council Draft Decision "On Amendments to Certain Decisions of the Eurasian Economic Commission".</t>
  </si>
  <si>
    <t>The Draft provides for the addition of tomato brown rugose fruit virus (ToBRFV), pepino mosaic virus (PepMV), and tomato spotted wilt virus (TSWV) to the Common list of plant quarantine objects of the Eurasian Economic Union,  and of relevant requirements to the Common quarantine phytosanitary requirements for quarantine products and quarantined objects on the Customs Border and the Customs Territory of the Eurasian Economic Union.</t>
  </si>
  <si>
    <t>Plant diseases; Plant health</t>
  </si>
  <si>
    <d:r xmlns:d="http://schemas.openxmlformats.org/spreadsheetml/2006/main">
      <d:rPr>
        <d:sz val="11"/>
        <d:rFont val="Calibri"/>
      </d:rPr>
      <d:t xml:space="preserve">https://members.wto.org/crnattachments/2020/SPS/RUS/20_6311_00_x.pdf
https://docs.eaeunion.org/ria/ru-ru/0104276/ria_06102020</d:t>
    </d:r>
  </si>
  <si>
    <t>Eurasian Economic Commission Collegium Draft Decision on amendments to the Regulation on Common veterinary (sanitary and veterinary) requirements for goods subject to veterinary control (surveillance) and Eurasian Economic Commission Collegium Draft Decision on amendments to the Decision of the Commission of the Customs Union of 7 April 2011 No. 607.</t>
  </si>
  <si>
    <t>The drafts determine veterinary requirements and forms of veterinary certificates for non-food raw materials obtained from fish, crustaceans, molluscs or other aquatic animals, as well as for fertilizers of animal origin or containing components of animal origin.</t>
  </si>
  <si>
    <t>Animal health; Certification, control and inspection</t>
  </si>
  <si>
    <d:r xmlns:d="http://schemas.openxmlformats.org/spreadsheetml/2006/main">
      <d:rPr>
        <d:sz val="11"/>
        <d:rFont val="Calibri"/>
      </d:rPr>
      <d:t xml:space="preserve">https://members.wto.org/crnattachments/2020/SPS/RUS/20_6115_00_x.pdf
https://members.wto.org/crnattachments/2020/SPS/RUS/20_6115_01_x.pdf
https://docs.eaeunion.org/ria/ru-ru/0104290/ria_12102020
https://docs.eaeunion.org/ria/ru-ru/0104294/ria_12102020</d:t>
    </d:r>
  </si>
  <si>
    <t>Eurasian Economic Commission Collegium Draft Decision on amendments to the Section 20 of the Chapter II of the Common sanitary-epidemiological and hygienic requirements for products subject to sanitary-epidemiological supervision (control)</t>
  </si>
  <si>
    <t>Draft amendments provides for the addition of the Section 20 of the Chapter II of the Common sanitary-epidemiological and hygienic requirements for products subject to sanitary-epidemiological supervision (control) with requirements for skin disinfectants (skin antiseptics) and with the List of documents for studying and assessing toxicity and safety of disinfectants.</t>
  </si>
  <si>
    <t>Skin disinfectants (skin antiseptics)</t>
  </si>
  <si>
    <t>11.080.20 - Disinfectants and antiseptics</t>
  </si>
  <si>
    <d:r xmlns:d="http://schemas.openxmlformats.org/spreadsheetml/2006/main">
      <d:rPr>
        <d:sz val="11"/>
        <d:rFont val="Calibri"/>
      </d:rPr>
      <d:t xml:space="preserve">http://docs.eaeunion.org/ria/ru-ru/0104285/ria_09102020</d:t>
    </d:r>
  </si>
  <si>
    <t>The draft regulation is published: http://docs.eaeunion.org/ria/ru-ru/0104285/ria_09102020</t>
  </si>
  <si>
    <t>Eurasian Economic Commission Council Draft Decision "On Amendments to the Regulation on Common Procedure of Veterinary Control (Surveillance) at the Customs Border of the Eurasian Economic Union and within the Customs Territory of the Eurasian Economic Union"</t>
  </si>
  <si>
    <t>The draft provides for the possibility to use veterinary certificates issued in electronic form for mutual and foreign trade by competent authorities.</t>
  </si>
  <si>
    <d:r xmlns:d="http://schemas.openxmlformats.org/spreadsheetml/2006/main">
      <d:rPr>
        <d:sz val="11"/>
        <d:rFont val="Calibri"/>
      </d:rPr>
      <d:t xml:space="preserve">https://members.wto.org/crnattachments/2020/SPS/RUS/20_5531_00_x.pdf
https://docs.eaeunion.org/ria/ru-ru/0104227/ria_17092020</d:t>
    </d:r>
  </si>
  <si>
    <t>Draft Eurasian Economic Commission Collegium Decision on amendments to the Regulation on Common veterinary (sanitary and veterinary) requirements for goods subject to veterinary control (surveillance) and Draft Eurasian Economic Commission Collegium Decision on amendments to the Forms of Common Veterinary Certificates for import into the customs territory of the Eurasian Economic Union of controlled goods from third countries.</t>
  </si>
  <si>
    <t xml:space="preserve"> The drafts provide for the harmonization of veterinary requirements and Forms of Common Veterinary Certificates with the Terrestrial Animal Health Code of the Office of the World Organization for Animal Health (OIE) in terms of bovine spongiform encephalopathy.</t>
  </si>
  <si>
    <t>Goods (products) subject to veterinary control under the following HS code of the Common Commodity Nomenclature of Foreign Economic Activity of the Customs Union: 0102, 0201, 0202, 0206, 0210, 160100, 1602, 2309.</t>
  </si>
  <si>
    <t>020210 - Frozen bovine carcases and half-carcases; 0206 - Edible offal of bovine animals, swine, sheep, goats, horses, asses, mules or hinnies, fresh, chilled or frozen; 1602 - Prepared or preserved meat, offal or blood (excl. sausages and similar products, and meat extracts and juices); 0201 - Meat of bovine animals, fresh or chilled; 0202 - Meat of bovine animals, frozen; 020230 - Frozen, boneless meat of bovine animals; 1601 - Sausages and similar products, of meat, offal or blood; food preparations based on these products; 0102 - Live bovine animals; 020220 - Frozen bovine cuts, with bone in (excl. carcases and half-carcases); 0210 - Meat and edible offal, salted, in brine, dried or smoked; edible flours and meals of meat or meat offal; 2309 - Preparations of a kind used in animal feeding; 020220 - Frozen bovine cuts, with bone in (excl. carcases and halfcarcases); 0206 - Edible offal of bovine animals, swine, sheep, goats, horses, asses, mules or hinnies, fresh, chilled or frozen; 0102 - Live bovine animals; 0210 - Meat and edible offal, salted, in brine, dried or smoked; edible flours and meals of meat or meat offal; 2309 - Preparations of a kind used in animal feeding; 020210 - Frozen bovine carcases and halfcarcases; 1602 - Prepared or preserved meat, offal or blood (excl. sausages and similar products, and meat extracts and juices); 0201 - Meat of bovine animals, fresh or chilled; 0202 - Meat of bovine animals, frozen; 020230 - Frozen, boneless meat of bovine animals; 1601 - Sausages and similar products, of meat, offal or blood; food preparations based on these products</t>
  </si>
  <si>
    <t>Animal diseases; Bovine Spongiform Encephalopathy (BSE); Animal health; Zoonoses</t>
  </si>
  <si>
    <d:r xmlns:d="http://schemas.openxmlformats.org/spreadsheetml/2006/main">
      <d:rPr>
        <d:sz val="11"/>
        <d:rFont val="Calibri"/>
      </d:rPr>
      <d:t xml:space="preserve">https://members.wto.org/crnattachments/2020/SPS/RUS/20_5050_00_x.pdf
https://docs.eaeunion.org/ria/ru-ru/0104150/ria_11082020</d:t>
    </d:r>
  </si>
  <si>
    <t>Draft amendments № 4 to the Customs Union Technical Regulation «On safety of food products» Draft amendments № 1 to the Customs Union Technical Regulation "On safety of specific types of specialized food products including the therapeutic and preventive dietary food"</t>
  </si>
  <si>
    <t>Draft amendments № 4 to the Customs Union Technical Regulation «On safety of food products» (CU TR 021/2011) provides for the exclusion of special requirements for biologically active food additives,Draft amendments № 1 to the Customs Union Technical Regulation On safety of specific types of specialized food products including the therapeutic and preventive dietary food» (CU TR 027/2012) sets special requirements for biologically active food additives, their manufacturing, distribution and labeling.</t>
  </si>
  <si>
    <t>Food products; processes of manufacturing (including research), storage, transportation, distribution and utilization related to product requirements.</t>
  </si>
  <si>
    <d:r xmlns:d="http://schemas.openxmlformats.org/spreadsheetml/2006/main">
      <d:rPr>
        <d:sz val="11"/>
        <d:rFont val="Calibri"/>
      </d:rPr>
      <d:t xml:space="preserve">https://docs.eaeunion.org/pd/ru-ru/0105063/pd_14082020
http://www.eurasiancommission.org/ru/act/texnreg/deptexreg/tr/Pages/PischevayaProd.aspx
http://www.eurasiancommission.org/ru/act/texnreg/deptexreg/tr/Pages/bezopSpecProd.aspx</d:t>
    </d:r>
  </si>
  <si>
    <t>Draft amendments № 4 to the Customs Union Technical Regulation «On safety of food products» (CU TR 021/2011) и Draft amendments № 1 to the Customs Union Technical Regulation On safety of specific types of specialized food products including the therapeutic and preventive dietary food» (CU TR 027/2012): https://docs.eaeunion.org/pd/ru-ru/0105063/pd_14082020Customs Union Technical Regulation «On safety of food products» (CU TR 021/2011): http://www.eurasiancommission.org/ru/act/texnreg/deptexreg/tr/Pages/PischevayaProd.aspxCustoms Union Technical Regulation "On safety of specific types of specialized food products including the therapeutic and preventive dietary food» (CU TR 027/2012) http://www.eurasiancommission.org/ru/act/texnreg/deptexreg/tr/Pages/bezopSpecProd.aspx</t>
  </si>
  <si>
    <t>Letter of the Federal Service for the Veterinary and Phytosanitary Surveillance No. FS-ARE-7/3477-3 of 10 August 2020.</t>
  </si>
  <si>
    <t>This letter introduced a temporary restriction on import of live poultry, bird's eggs and other poultry products from Bulgaria due to complicated epizootic situation with Newcastle disease.</t>
  </si>
  <si>
    <t>Live poultry, bird's eggs and other poultry products. </t>
  </si>
  <si>
    <t>0209 - Pig fat, free of lean meat, and poultry fat, not rendered or otherwise extracted, fresh, chilled, frozen, salted, in brine, dried or smoked; 0511 - Animal products n.e.s.; dead animals of all types, unfit for human consumption; 1601 - Sausages and similar products, of meat, offal or blood; food preparations based on these products;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1603 - Extracts and juices of meat, fish or crustaceans, molluscs and other aquatic invertebrates; 2106 - Food preparations, n.e.s.; 0510 - Ambergris, castoreum, civet and musk; cantharides; bile, whether or not dried; glands and other animal products used in the preparation of pharmaceutical products, fresh, chilled, frozen or otherwise provisionally preserved; 1516 - Animal or vegetable fats and oils and their fractions, partly or wholly hydrogenated, inter-esterified, re-esterified or elaidinised, whether or not refined, but not further prepared; 1602 - Prepared or preserved meat, offal or blood (excl. sausages and similar products, and meat extracts and juices); 4206 - Articles of gut, goldbeater's skin, bladders or tendons (excl. silkworm gut, sterile catgut, other sterile surgical suture material and strings for musical instruments); 9705 -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1904 - Prepared foods obtained by the swelling or roasting of cereals or cereal products, e.g. corn flakes; cereals (other than maize "corn") in grain form or in the form of flakes or other worked grains (except flour, groats and meal), pre-cooked or otherwise prepared, n.e.s.; 0208 - Meat and edible offal of rabbits, hares, pigeons and other animals, fresh, chilled or frozen (excl. of bovine animals, swine, sheep, goats, horses, asses, mules, hinnies, poultry "fowls of the species Gallus domesticus", ducks, geese, turkeys and guinea fowls); 20 - PREPARATIONS OF VEGETABLES, FRUIT, NUTS OR OTHER PARTS OF PLANTS; 2301 - Flours, meals and pellets, of meat or meat offal, of fish or of crustaceans, molluscs or other aquatic invertebrates, unfit for human consumption; greaves; 0407 - Birds' eggs, in shell, fresh, preserved or cooked; 1503 - Lard stearin, lard oil, oleostearin, oleo-oil and tallow oil (excl. emulsified, mixed or otherwise prepared); 3504 - Peptones and their derivatives; other protein substances and their derivatives, n.e.s.; hide powder, whether or not chromed (excl. organic or inorganic compounds of mercury whether or not chemically defined); 0410 - Turtles' eggs, birds' nests and other edible products of animal origin, n.e.s.;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3502 - Albumins, incl. concentrates of two or more whey proteins containing by weight &gt; 80% whey proteins, calculated on the dry matter, albuminates and other albumin derivatives; 3507 - Enzymes; prepared enzymes, n.e.s.;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1518 - 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 2104 - Soups and broths and preparations therefor; food preparations consisting of finely homogenised mixtures of two or more basic ingredients such as meat, fish, vegetables or fruit, put up for retail sale as infant food or for dietetic purposes, in containers of &lt;= 250 g; 2309 - Preparations of a kind used in animal feeding; 3101 - Animal or vegetable fertilisers, whether or not mixed together or chemically treated; fertilisers produced by the mixing or chemical treatment of animal or vegetable products (excl. those in pellet or similar forms, or in packages with a gross weight of &lt;= 10 kg)</t>
  </si>
  <si>
    <t>Animal diseases; Animal health; Pest- or Disease- free Regions / Regionalization; Newcastle Disease; Zoonoses</t>
  </si>
  <si>
    <d:r xmlns:d="http://schemas.openxmlformats.org/spreadsheetml/2006/main">
      <d:rPr>
        <d:sz val="11"/>
        <d:rFont val="Calibri"/>
      </d:rPr>
      <d:t xml:space="preserve">https://members.wto.org/crnattachments/2020/SPS/RUS/20_5018_00_x.pdf</d:t>
    </d:r>
  </si>
  <si>
    <t>Draft amendments to the Rules for conducting studies (tests) for evaluation of biological action of medical products</t>
  </si>
  <si>
    <t xml:space="preserve">The Draft amendments to the Rules for conducting studies (tests) for evaluation of biological action of medical products to medical devices issued for circulation in the territory of the Eurasian Economic Union and provide for the following:_x000D_
- clarification of the concepts;_x000D_
- determining the grounds for excluding testing laboratories (centers) from the unified register of authorized organizations that have the right to conduct research (testing) of medical devices for the purpose of their registration;_x000D_
- clarification of the form of the Protocol of studies (tests) for evaluation of biological action of medical products.</t>
  </si>
  <si>
    <t>Wadding, gauze, bandages and similar products (bandaging material, adhesive plasters,poultices), impregnated or coated with pharmaceutical substances or put up in forms or packings for retail sale for medical, surgical, dental or veterinary purposes (HS 3005); Instruments and appliances used in medical, surgical, dental or veterinary sciences,including scintigraphic apparatus, other electro-medical apparatus and sight testing instruments (HS 9018); X-ray, alpha, beta, gamma radiation apparatus; x-ray tubes, x-ray generators, high tension generators, control panels and desks, screens, examinationor treatment tables, chairs and the like (HS 9022); Furniture; medical, surgical, dental or veterinary (e.g. operating tables, hospital beds, dentists' chairs) barbers' chairs; parts (HS 9402).</t>
  </si>
  <si>
    <t>9022 -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9402 - Medical, surgical, dental or veterinary furniture, e.g. operating tables, examination tables, hospital beds with mechanical fittings and dentists' chairs; barbers' chairs and similar chairs having rotating as well as both reclining and elevating movement; parts thereof; 3005 - Wadding, gauze, bandages and the like, e.g. dressings, adhesive plasters, poultices, impregnated or covered with pharmaceutical substances or put up for retail sale for medical, surgical, dental or veterinary purposes; 9018 - Instruments and appliances used in medical, surgical, dental or veterinary sciences, incl. scintigraphic apparatus, other electro-medical apparatus and sight-testing instruments, n.e.s.</t>
  </si>
  <si>
    <d:r xmlns:d="http://schemas.openxmlformats.org/spreadsheetml/2006/main">
      <d:rPr>
        <d:sz val="11"/>
        <d:rFont val="Calibri"/>
      </d:rPr>
      <d:t xml:space="preserve">http://www.eurasiancommission.org/en/act/texnreg/deptexreg/LS1/Documents/Rules%20for%20Studies%20%28Tests%29%20for%20Evaluation%20of%20Biological%20Action_38.pdf
https://docs.eaeunion.org/ria/ru-ru/0104121/ria_20072020</d:t>
    </d:r>
  </si>
  <si>
    <t>Draft amendments to the Rules for conducting studies (tests) for evaluation of biological action of medical products to medical devices: https://docs.eaeunion.org/ria/ru-ru/0104121/ria_20072020Decision No.38 of the Council of the Eurasian Economic Commission of May 16, 2016 http://www.eurasiancommission.org/en/act/texnreg/deptexreg/LS1/Documents/Rules%20for%20Studies%20%28Tests%29%20for%20Evaluation%20of%20Biological%20Action_38.pdf</t>
  </si>
  <si>
    <t>Draft amendments to the technical regulation of the Customs Union "On the Safety of Toys" (CU TR 008/2011) regarding the establishment of forms, schemes, and procedures for conformity assessment based on standard conformity assessment schemes approved by the Decision of the Council of the Commission No. 44 of 18 April 2018</t>
  </si>
  <si>
    <t>The draft amendments include clarifications on the following: statements of the Article 2 “Definitions" of the CU TR 008/2011, statements of the Article 5 "Ensuring compliance with safety requirements” of the CU TR 008/2011, as well as amendments to the Article 6 "Conformity Assessment" of CU TR 008/2011</t>
  </si>
  <si>
    <t>Consumer information, labelling (TBT); Prevention of deceptive practices and consumer protection (TBT); Protection of human health or safety (TBT)</t>
  </si>
  <si>
    <d:r xmlns:d="http://schemas.openxmlformats.org/spreadsheetml/2006/main">
      <d:rPr>
        <d:sz val="11"/>
        <d:rFont val="Calibri"/>
      </d:rPr>
      <d:t xml:space="preserve">https://docs.eaeunion.org/pd/ru-ru/0104871/pd</d:t>
    </d:r>
  </si>
  <si>
    <t>Draft amendments to the technical regulation of the Customs Union "On the Safety of Toys" (CU TR 008/2011) regarding the establishment of forms, schemes and procedures for conformity assessment based on standard conformity assessment schemes approved by the Decision of the Council of the Commission No. 44 of 18 April 2018Technical regulation of the Customs Union "On the Safety of Toys" (CU TR 008/2011), adopted by the Decision of the Commission of the Customs Union of 23 September 2011 No. 798https://docs.eaeunion.org/pd/ru-ru/0104871/pd</t>
  </si>
  <si>
    <t>Draft amendments to the technical regulation of the Customs Union "On the Safety of Packaging" (CU TR 005/2011) regarding the establishment of forms, schemes, and procedures for conformity assessment based on standard conformity assessment schemes approved by the Decision of the Council of the Commission No. 44 of 18 April 2018.</t>
  </si>
  <si>
    <t xml:space="preserve">Description of content:_x000D_
The draft amendments include clarifications on the following:statements of the Article 3 "Rules of circulation on the market" of the CU TR 005/2011,statements of the Article 4 "Ensuring compliance with safety requirements" of the CU TR 005/2011as well as amendments to the Article 7 "Conformity assessment" of the CU TR 005/2011.</t>
  </si>
  <si>
    <t>Packaging (closures)</t>
  </si>
  <si>
    <d:r xmlns:d="http://schemas.openxmlformats.org/spreadsheetml/2006/main">
      <d:rPr>
        <d:sz val="11"/>
        <d:rFont val="Calibri"/>
      </d:rPr>
      <d:t xml:space="preserve">https://docs.eaeunion.org/pd/ru-ru/0104863/pd_30062020</d:t>
    </d:r>
  </si>
  <si>
    <t>Draft amendments to the technical regulation of the Customs Union «On the Safety of Packaging» (CU TR 005/2011) regarding the establishment of forms, schemes, and procedures for conformity assessment based on standard conformity assessment schemes approved by the Decision of the Coijmcil of the Commission No. 44 of 18 April 2018 https://docs.eaeunion.org/pd/ru-ru/0104863/pd_30062020Technical regulation of the Customs Union "On the Safety of Packaging " (CU TR 005/2011), adopted by the Decision of the Commission of the Customs Union of 16 August 2011 No. 769 https://www.eurasiancommission.org/ru/act/texnreg/deptexreg/tr/Pages/bezopupakovki.aspx</t>
  </si>
  <si>
    <t>The Draft amendments to the Rules of the Good Manufacturing Practice in the Eurasian Economic Union</t>
  </si>
  <si>
    <t>The Draft amendments to the Rules of the Good Manufacturing Practice in the Eurasian Economic Union applies to medicinal products put into circulation on the territory of the Eurasian Economic Union and envisages the need to establish a unified approach to the procedures for qualification and validation of medicinal products, in order to prove that the parameters of critical processes (equipment) meet the specified requirements, as well as in case of significant changes in premises, equipment and processes that may affect the quality of finished products, which makes it possible to ensure stable output of products with a given level of quality at pharmaceutical enterprises.</t>
  </si>
  <si>
    <t>Medicaments consisting of two or more constituents mixed together for therapeutic or prophylactic uses, not in measured doses or put up for retail sale (excl. goods of heading 3002, 3005 or 3006) (HS code(s): 3003); Medicaments consisting of mixed or unmixed products for therapeutic or prophylactic uses, put up in measured doses "incl. those in the form of transdermal administration" or in forms or packings for retail sale (excl. goods of heading 3002, 3005 or 3006) (HS code(s): 3004); Pharmaceutics (ICS code(s): 11.120)</t>
  </si>
  <si>
    <t>3003 - Medicaments consisting of two or more constituents mixed together for therapeutic or prophylactic uses, not in measured doses or put up for retail sale (excl. goods of heading 3002, 3005 or 3006); 3004 - Medicaments consisting of mixed or unmixed products for therapeutic or prophylactic uses, put up in measured doses "incl. those in the form of transdermal administration" or in forms or packings for retail sale (excl. goods of heading 3002, 3005 or 3006)</t>
  </si>
  <si>
    <d:r xmlns:d="http://schemas.openxmlformats.org/spreadsheetml/2006/main">
      <d:rPr>
        <d:sz val="11"/>
        <d:rFont val="Calibri"/>
      </d:rPr>
      <d:t xml:space="preserve">https://docs.eaeunion.org/ria/ru-ru/0104038/ria_16062020</d:t>
    </d:r>
  </si>
  <si>
    <t>Draft amendments to Rules good manufacturing practice the Eurasian Economic Union https://docs.eaeunion.org/ria/ru-ru/0104038/ria_16062020Decision No. 77 of the Council of the Eurasian Economic Commission of 3 November 2016 http://www.eurasiancommission.org/ru/act/texnreg/deptexreg/LSl/Pages/drug_products.aspx</t>
  </si>
  <si>
    <t>Letter of the Federal Service for the Veterinary and Phytosanitary No. FS-NV-3/19938 as of July 14, 2020</t>
  </si>
  <si>
    <t>This letter notes that due to detection of Ralstonia solanacearum in two provinces of the Neterlands - Groningen and Friesland from 15 July 2020 imports of seed potatoes from the Netherlands to the Russian Federation is carried out on the basis of preshipment control conducted on the territory of the Netherlands.</t>
  </si>
  <si>
    <t>Seed potatoes</t>
  </si>
  <si>
    <t>070110 - Seed potatoes</t>
  </si>
  <si>
    <t>Pests; Territory protection; Seeds; Plant health; Pest- or Disease- free Regions / Regionalization</t>
  </si>
  <si>
    <d:r xmlns:d="http://schemas.openxmlformats.org/spreadsheetml/2006/main">
      <d:rPr>
        <d:sz val="11"/>
        <d:rFont val="Calibri"/>
      </d:rPr>
      <d:t xml:space="preserve">https://members.wto.org/crnattachments/2020/SPS/RUS/20_4475_00_x.pdf</d:t>
    </d:r>
  </si>
  <si>
    <t>Eurasian Economic Commission Council Draft Decision "On Amendments to the Regulation on Common Procedure of Veterinary Control at the Customs Border of the Customs Union and within the Customs Territory of the Customs Union"</t>
  </si>
  <si>
    <t>The Draft provides for the application of risk-based approach within veterinary control (supervision) at checkpoints and full customs clearance sites. The document is intended to amend the "Regulation on Common Procedure of Veterinary Control at the Customs Border of the Customs Union and within the Customs Territory of the Customs Union" adopted by the Decision of the Customs Union Commission No. 317 as of 18 June 2010.</t>
  </si>
  <si>
    <d:r xmlns:d="http://schemas.openxmlformats.org/spreadsheetml/2006/main">
      <d:rPr>
        <d:sz val="11"/>
        <d:rFont val="Calibri"/>
      </d:rPr>
      <d:t xml:space="preserve">https://members.wto.org/crnattachments/2020/SPS/RUS/20_3375_00_x.pdf
https://docs.eaeunion.org/ria/ru-ru/0104026/ria_22052020</d:t>
    </d:r>
  </si>
  <si>
    <t>Letter of the Federal Service for the Veterinary and Phytosanitary No. FS-NV-7/14160 as of 15 May 2020</t>
  </si>
  <si>
    <t>This letter introduces a temporary restriction on import of life poultry and poultry products from North Macedonia mentioned in point 3 due to the outbreak of Newcastle disease virus.</t>
  </si>
  <si>
    <t>Life poultry and hatching egg, poultry meat and poultry processed products not heat-treated (at least 70° C), feeds and feed additives for poultry (with the exception of feed additives of vegetable origin, chemical and microbiological synthesis), used equipment and supplies for transportation, breeding, stockkeeping, slaughtering and cutting of poultry from North Macedonia (HS Code(s): of 0105, of 0106, of 0207, of 0208, of 0209, of 0210, of 0407, of 0408, 0410000000, of 0510000000, of 0504000000, of 0505, of 0507, of 1501, of 0511, of 150300, of 1506000000, of 151610, of 151800, of 160100, of 1602, of 160300, of 190220, of 190420, of 2104, of 2106, of 2309, of 2301, of 2309, of 3101000000, of 3502, of 350400, of 3507, of 4206000000, of 9508100000, of 9705000000)</t>
  </si>
  <si>
    <t>0407 - Birds' eggs, in shell, fresh, preserved or cooked.;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2104 - Soups and broths and preparations therefor; food preparations consisting of finely homogenised mixtures of two or more basic ingredients such as meat, fish, vegetables or fruit, put up for retail sale as infant food or for dietetic purposes, in containers of &lt;= 250 g; 9705 - Collections and collectors' pieces of zoological, botanical, mineralogical, anatomical, historical, archaeological, palaeontological, ethnographic or numismatic interest.; 0209 - Pig fat, free of lean meat, and poultry fat, not rendered or otherwise extracted, fresh, chilled, frozen, salted, in brine, dried or smoked.; 0507 - Ivory, tortoiseshell, whalebone and whalebone hair, horns, antlers, hooves, nails, claws and beaks, unworked or simply prepared; powder and waste of these products (excl. cut to shape); 1603 - Extracts and juices of meat, fish or crustaceans, molluscs or other aquatic invertebrates.; 0511 - Animal products n.e.s.; dead animals of all types, unfit for human consumption; 1506 - Other animal fats and oils and their fractions, whether or not refined, but not chemically modified.; 1602 - Prepared or preserved meat, offal or blood (excl. sausages and similar products, and meat extracts and juices); 3101 - Animal or vegetable fertilisers, whether or not mixed together or chemically treated; fertilisers produced by the mixing or chemical treatment of animal or vegetable products.; 3502 - Albumins, incl. concentrates of two or more whey proteins containing by weight &gt; 80% whey proteins, calculated on the dry matter, albuminates and other albumin derivatives; 3507 - Enzymes; prepared enzymes, n.e.s.; 0210 - Meat and edible offal, salted, in brine, dried or smoked; edible flours and meals of meat or meat offal; 1516 - Animal or vegetable fats and oils and their fractions, partly or wholly hydrogenated, inter-esterified, re-esterified or elaidinised, whether or not refined, but not further prepared; 2309 - Preparations of a kind used in animal feeding; 4206 - Articles of gut (other than silk-worm gut), of goldbeater's skin, of bladders or of tendons.; 0105 - Live poultry, "fowls of the species Gallus domesticus, ducks, geese, turkeys and guinea fowls"; 0106 - Live animals (excl. horses, asses, mules, hinnies, bovine animals, swine, sheep, goats, poultry, fish, crustaceans, molluscs and other aquatic invertebrates, and microorganic cultures etc.); 0408 - Birds'' eggs, not in shell, and egg yolks, fresh, dried, cooked by steaming or by boiling in water, moulded, frozen or otherwise preserved, whether or not containing added sugar or other sweetening matter; 0410 - Edible products of animal origin, not elsewhere specified or included.; 2106 - Food preparations, n.e.s.; 1503 - Lard stearin, lard oil, oleostearin, oleo-oil and tallow oil, not emulsified or mixed or otherwise prepared.; 3504 - Peptones and their derivatives; other protein substances and their derivatives, not elsewhere specified or included; hide powder, whether or not chromed.; 0208 - Meat and edible offal of rabbits, hares, pigeons and other animals, fresh, chilled or frozen (excl. of bovine animals, swine, sheep, goats, horses, asses, mules, hinnies, poultry "fowls of the species Gallus domesticus", ducks, geese, turkeys and guinea fowls); 2301 - Flours, meals and pellets, of meat or meat offal, of fish or of crustaceans, molluscs or other aquatic invertebrates, unfit for human consumption; greaves;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0510 - Ambergris, castoreum, civet and musk; cantharides; bile, whether or not dried; glands and other animal products used in the preparation of pharmaceutical products, fresh, chilled, frozen or otherwise provisionally preserved.; 1501 - Pig fat (including lard) and poultry fat, other than that of heading 02.09 or 15.03.; 1601 - Sausages and similar products, of meat, meat offal or blood; food preparations based on these products.; 1902 - Pasta, whether or not cooked or stuffed with meat or other substances or otherwise prepared, such as spaghetti, macaroni, noodles, lasagne, gnocchi, ravioli, cannelloni; couscous, whether or not prepared; 1904 - Prepared foods obtained by the swelling or roasting of cereals or cereal products, e.g. corn flakes; cereals (other than maize "corn") in grain form or in the form of flakes or other worked grains (except flour, groats and meal), pre-cooked or otherwise prepared, n.e.s.; 9508 - Roundabouts, swings, shooting galleries and other fairground amusements; travelling circuses and travelling menageries; travelling theatres (excl. booths, incl. the goods on sale, goods for distribution as prizes, gaming machines accepting coins or tokens, and tractors and other transport vehicles, incl. normal trailers)</t>
  </si>
  <si>
    <d:r xmlns:d="http://schemas.openxmlformats.org/spreadsheetml/2006/main">
      <d:rPr>
        <d:sz val="11"/>
        <d:rFont val="Calibri"/>
      </d:rPr>
      <d:t xml:space="preserve">https://members.wto.org/crnattachments/2020/SPS/RUS/20_3326_00_x.pdf</d:t>
    </d:r>
  </si>
  <si>
    <t>Letter of the Federal Service for Veterinary and Phytosanitary Surveillance No. FS-NV-7/14290 as of 18 March 2020</t>
  </si>
  <si>
    <t>Russian Federation lifted the provisional restriction on imports of milk and dairy products from the Republic of Korea heat-treated with temperatures that guarantee a destruction of the virus which causes foot-and-mouth disease in accordance with the OIE recommendations.</t>
  </si>
  <si>
    <t>Milk and dairy products, heat-treated with temperatures that guarantee a destruction of the virus which causes foot-and-mouth disease.</t>
  </si>
  <si>
    <t>0401 - Milk and cream, not concentrated nor containing added sugar or other sweetening matter;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210500 - Ice cream and other edible ice, whether or not containing cocoa; 2106 - Food preparations, n.e.s.; 0402 - Milk and cream, concentrated or containing added sugar or other sweetening matter; 041000 - Turtles' eggs, birds' nests and other edible products of animal origin, n.e.s.; 3501 - Casein, caseinates and other casein derivatives; casein glues (excl. those packaged as glue for retail sale and weighing &lt;= 1 kg); 0406 - Cheese and curd;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0511 - Animal products n.e.s.; dead animals of all types, unfit for human consumption; 151610 - Animal fats and oils and their fractions, partly or wholly hydrogenated, inter-esterified, re-esterified or elaidinized, whether or not refined, but not further prepared</t>
  </si>
  <si>
    <t>Animal diseases; Food safety; Animal health; Human health; Foot and mouth disease</t>
  </si>
  <si>
    <t>The Republic of Korea</t>
  </si>
  <si>
    <d:r xmlns:d="http://schemas.openxmlformats.org/spreadsheetml/2006/main">
      <d:rPr>
        <d:sz val="11"/>
        <d:rFont val="Calibri"/>
      </d:rPr>
      <d:t xml:space="preserve">https://www.fsvps.ru/fsvps/laws/7286.html</d:t>
    </d:r>
  </si>
  <si>
    <t>Letter of the Federal Service for the Veterinary and Phytosanitary Surveillance No. FS-NV-7/14107 as of 15 May 2020</t>
  </si>
  <si>
    <t>The Russian Federation lifted the provisional restriction on imports of exotic and decorative animals, including insects, arthropods, amphibians, reptiles and live fish from China reflecting the risk assessment of the epizootic situation with Covid-19 in China.</t>
  </si>
  <si>
    <t>0106 - Live animals (excl. horses, asses, mules, hinnies, bovine animals, swine, sheep, goats, poultry, fish, crustaceans, molluscs and other aquatic invertebrates, and microorganic cultures etc.); 010620 - Live reptiles "e.g. snakes, turtles, alligators, caymans, iguanas, gavials and lizards"; 0301 - Live fish</t>
  </si>
  <si>
    <t>Animal health (SPS); Protect humans from animal/plant pest or disease (SPS)</t>
  </si>
  <si>
    <t>Animal diseases; Withdrawal of the measure; Animal health; Human health; COVID-19 SPS</t>
  </si>
  <si>
    <t>Letter of the Federal Service for Veterinary and Phytosanitary Surveillance No. FS-NV-7/13614 as of 8 May 2020</t>
  </si>
  <si>
    <t>The letter introduces a temporary restriction on import of life poultry and poultry products from Hungary (Békés county) due to the outbreak of highly pathogenic avian influenza.</t>
  </si>
  <si>
    <t>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0407 - Birds' eggs, in shell, fresh, preserved or cooked; 3504 - Peptones and their derivatives; other albuminous substances and their derivatives, n.e.s.; hide powder, whether or not chromed; 4421 - Other articles of wood, n.e.s.</t>
  </si>
  <si>
    <t>Food safety (SPS); Protect humans from animal/plant pest or disease (SPS)</t>
  </si>
  <si>
    <t>Avian Influenza; Human health; Pest- or Disease- free Regions / Regionalization; Modification of content/scope of regulation; Zoonoses; Animal health; Animal diseases; Food safety</t>
  </si>
  <si>
    <t>Letter of the Federal Service for the Veterinary and Phytosanitary Surveillance No. FS-KS-7/13055 as of 29 April 2020</t>
  </si>
  <si>
    <t>This letter partially lifts the provisional restriction on imports of poultry and poultry products to the Russian Federation due to changes in assessment of the epizootic situation with avian influenza in Leipzig area (Sachsen), Germany.</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</si>
  <si>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0407 - Birds' eggs, in shell, fresh, preserved or cooked; 3504 - Peptones and their derivatives; other albuminous substances and their derivatives, n.e.s.; hide powder, whether or not chromed; 4421 - Other articles of wood, n.e.s.</t>
  </si>
  <si>
    <t>Modification of content/scope of regulation; Zoonoses; Animal health; Human health; Pest- or Disease- free Regions / Regionalization; Animal diseases; Food safety; Avian Influenza</t>
  </si>
  <si>
    <t>Letter of the Federal Service for Veterinary and Phytosanitary Surveillance № FS-KS-7/12061 as of 17 April 2020</t>
  </si>
  <si>
    <t>This letter introduces a temporary restriction on import of life poultry and poultry products from Bulgaria (Kyustendil province) due to the outbreak of highly pathogenic avian influenza</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</si>
  <si>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0407 - Birds' eggs, in shell, fresh, preserved or cooked; 3504 - Peptones and their derivatives; other albuminous substances and their derivatives, n.e.s.; hide powder, whether or not chromed; 4421 - Other articles of wood, n.e.s.;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t>
  </si>
  <si>
    <t>Avian Influenza; Pests; Animal health; Human health; Pest- or Disease- free Regions / Regionalization; Animal diseases; Food safety; Zoonoses</t>
  </si>
  <si>
    <t>Bulgaria, Kyustendil province</t>
  </si>
  <si>
    <d:r xmlns:d="http://schemas.openxmlformats.org/spreadsheetml/2006/main">
      <d:rPr>
        <d:sz val="11"/>
        <d:rFont val="Calibri"/>
      </d:rPr>
      <d:t xml:space="preserve">https://www.fsvps.ru/fsvps/laws/7238.html</d:t>
    </d:r>
  </si>
  <si>
    <t>Letter of the Federal Service for Veterinary and Phytosanitary Surveillance No. FS-KS-7/10367 as of 2 April 2020</t>
  </si>
  <si>
    <t>The letter introduces a temporary restriction on import of life poultry and poultry products from Germany (Börde, Sachsen-Anhalt) due to the outbreak of highly pathogenic avian influenza.</t>
  </si>
  <si>
    <t>0407 - Birds' eggs, in shell, fresh, preserved or cooked.;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2104 - Soups and broths and preparations therefor; food preparations consisting of finely homogenised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9705 - Collections and collectors' pieces of zoological, botanical, mineralogical, anatomical, historical, archaeological, palaeontological, ethnographic or numismatic interest.; 0209 - Pig fat, free of lean meat, and poultry fat, not rendered or otherwise extracted, fresh, chilled, frozen, salted, in brine, dried or smoked.; 1603 - Extracts and juices of meat, fish or crustaceans, molluscs or other aquatic invertebrates.;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7309 - Reservoirs, tanks, vats and similar containers for any material (other than compressed or liquefied gas), of iron or steel, of a capacity exceeding 300 l, whether or not lined or heat-insulated, but not fitted with mechanical or thermal equipment.;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0511 - Animal products n.e.s.; dead animals of all types, unfit for human consumption; 1506 - Other animal fats and oils and their fractions, whether or not refined, but not chemically modified.; 1602 - Prepared or preserved meat, offal or blood (excl. sausages and similar products, and meat extracts and juices); 3507 - Enzymes; prepared enzymes, n.e.s.; 4416 - Casks, barrels, vats, tubs and other coopers' products and parts thereof, of wood, including staves.; 843621 - Poultry incubators and brooders; 8609 - Containers (including containers for the transport of fluids) specially designed and equipped for carriage by one or more modes of transport.;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3923 - Articles for the conveyance or packaging of goods, of plastics; stoppers, lids, caps and other closures, of plastics; 4206 - Articles of gut (other than silk-worm gut), of goldbeater's skin, of bladders or of tendons.; 4421 - Other articles of wood, n.e.s.; 0105 - Live poultry, "fowls of the species Gallus domesticus, ducks, geese, turkeys and guinea fowls"; 0106 - Live animals (excl. horses, asses, mules, hinnies, bovine animals, swine, sheep, goats, poultry, fish, crustaceans, molluscs and other aquatic invertebrates, and microorganic cultures etc.); 0408 - Birds'' eggs, not in shell, and egg yolks, fresh, dried, cooked by steaming or by boiling in water, moulded, frozen or otherwise preserved, whether or not containing added sugar or other sweetening matter; 0410 - Edible products of animal origin, not elsewhere specified or included.; 2106 - Food preparations, n.e.s.; 950810 - Travelling circuses and travelling menageries;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(including lard) and poultry fat, other than that of heading 02.09 or 15.03.; 151610 - Animal fats and oils and their fractions, partly or wholly hydrogenated, inter-esterified, re-esterified or elaidinised, whether or not refined, but not further prepared; 1601 - Sausages and similar products, of meat, meat offal or blood; food preparations based on these products.; 190220 - Pasta, stuffed with meat or other substances, whether or not cooked or otherwise prepared; 7616 - Articles of aluminium, n.e.s.; 843610 - Machinery for preparing animal feedingstuffs in agricultural holdings and similar undertakings (excl. machinery for the feedingstuff industry, forage harvesters and autoclaves for cooking fodder); 843629 - Poultry-keeping machinery (excl. machines for sorting or grading eggs, poultry pickers of heading 8438 and incubators and brooders); 0208 - Meat and edible offal of rabbits, hares, pigeons and other animals, fresh, chilled or frozen (excl. of bovine animals, swine, sheep, goats, horses, asses, mules, hinnies, poultry "fowls of the species Gallus domesticus", ducks, geese, turkeys and guinea fowls); 2102 - Yeasts, active or inactive; other dead single-cell micro-organisms, prepared baking powders (excl. single-cell micro-organisms packaged as medicaments); 3824 - Prepared binders for foundry moulds or cores; chemical products and preparations for the chemical or allied industries, incl. mixtures of natural products, n.e.s.; 7020 - Other articles of glass.; 3504 - Peptones and their derivatives; other protein substances and their derivatives, not elsewhere specified or included; hide powder, whether or not chromed.</t>
  </si>
  <si>
    <t>Avian Influenza; Animal diseases; Food safety; Modification of content/scope of regulation; Animal health; Human health; Pest- or Disease- free Regions / Regionalization; Zoonoses</t>
  </si>
  <si>
    <t>Letter of the Federal Service for Veterinary and Phytosanitary Surveillance No. FS-KS-7/10517 as of 2 April 2020</t>
  </si>
  <si>
    <t>The letter introduces a temporary restriction on import of life poultry and poultry products from Poland (Lubusz Voivodeship) due to the outbreak of highly pathogenic avian influenza</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</si>
  <si>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0407 - Birds' eggs, in shell, fresh, preserved or cooked; 3504 - Peptones and their derivatives; other albuminous substances and their derivatives, n.e.s.; hide powder, whether or not chromed; 4421 - Other articles of wood,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t>
  </si>
  <si>
    <t>Avian Influenza; Animal diseases; Modification of content/scope of regulation; Food safety; Animal health; Human health; Pest- or Disease- free Regions / Regionalization; Zoonoses</t>
  </si>
  <si>
    <t>The letter introduces a temporary restriction on import of life poultry and poultry products from Hungary (Bács-Kiskun and Csongrád counties) due to the outbreak of highly pathogenic avian influenza.</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</si>
  <si>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0407 - Birds' eggs, in shell, fresh, preserved or cooked; 3504 - Peptones and their derivatives; other albuminous substances and their derivatives, n.e.s.; hide powder, whether or not chromed; 4421 - Other articles of wood,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t>
  </si>
  <si>
    <t>Hungary, Bács-Kiskun and Csongrád counties</t>
  </si>
  <si>
    <d:r xmlns:d="http://schemas.openxmlformats.org/spreadsheetml/2006/main">
      <d:rPr>
        <d:sz val="11"/>
        <d:rFont val="Calibri"/>
      </d:rPr>
      <d:t xml:space="preserve">https://members.wto.org/crnattachments/2020/SPS/RUS/20_3010_00_x.pdf
https://www.fsvps.ru/fsvps/laws/7215.html</d:t>
    </d:r>
  </si>
  <si>
    <t>Letter of the Federal Service for the Veterinary and Phytosanitary Surveillance No. FS-KS-7/11865 as of 16 April 2020</t>
  </si>
  <si>
    <t>This letter lifts the provisional restriction on imports to the Russian Federation and transit through its territory of live hydrobionts due to changes in assessment of the epizootic situation with Covid-19 in China. (HS codes: 0306, 0307, 0308)</t>
  </si>
  <si>
    <t>0106 - Live animals (excl. horses, asses, mules, hinnies, bovine animals, swine, sheep, goats, poultry, fish, crustaceans, molluscs and other aquatic invertebrates, and microorganic cultures etc.); 0301 - Live fish; 010620 - Live reptiles "e.g. snakes, turtles, alligators, caymans, iguanas, gavials and lizards"</t>
  </si>
  <si>
    <t>Modification of content/scope of regulation; Animal health; Human health; COVID-19 SPS; Animal diseases</t>
  </si>
  <si>
    <t>Letter of the Federal Service for the Veterinary and Phytosanitary No. FS-KS-7/6356 as of 02 March 2020</t>
  </si>
  <si>
    <t>This letter introduces a temporary restriction on import of life poultry and poultry products from Dominican Republic mentioned in point 3 due to the outbreak of Newcastle disease virus.</t>
  </si>
  <si>
    <t>Life poultry and hatching egg, poultry meat and poultry processed products not heat-treated (at least 70 °C), feeds and feed additives for poultry (with the exception of feed additives of vegetable origin, chemical and microbiological synthesis), used equipment and supplies for transportation, breeding, stockkeeping, slaughtering and cutting of poultry from Dominican Republic (HS Code(s): of 0105, of 0106, of 0207, of 0208, of 0209, of 0210, of 0407, of 0408, 0410000000, of 0510000000, of 0504000000, of 0505, of 0507, of 1501, of 0511, of 150300, of 1506000000, of 151610, of 151800, of 160100, of 1602, of 160300, of 190220, of 190420, of 2104, of 2106, of 2309, of 2301, of 2309, of 3101000000, of 3502, of 350400, of 3507, of 4206000000, of 9508100000, of 9705000000)</t>
  </si>
  <si>
    <t>0407 - Birds' eggs, in shell, fresh, preserved or cooked.; 1518 - 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2104 - Soups and broths and preparations therefor; food preparations consisting of finely homogenised mixtures of two or more basic ingredients such as meat, fish, vegetables or fruit, put up for retail sale as infant food or for dietetic purposes, in containers of &lt;= 250 g; 9705 -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0510 - Ambergris, castoreum, civet and musk; cantharides; bile, whether or not dried; glands and other animal products used in the preparation of pharmaceutical products, fresh, chilled, frozen or otherwise provisionally preserved.; 1501 - Pig fat (including lard) and poultry fat, other than that of heading 02.09 or 15.03.; 1601 - Sausages and similar products, of meat, meat offal or blood; food preparations based on these products.; 1902 - Pasta, whether or not cooked or stuffed with meat or other substances or otherwise prepared, such as spaghetti, macaroni, noodles, lasagne, gnocchi, ravioli, cannelloni; couscous, whether or not prepared; 1904 - Prepared foods obtained by the swelling or roasting of cereals or cereal products, e.g. corn flakes; cereals (other than maize "corn") in grain form or in the form of flakes or other worked grains (except flour, groats and meal), pre-cooked or otherwise prepared, n.e.s.; 9508 - Roundabouts, swings, shooting galleries and other fairground amusements; travelling circuses and travelling menageries; travelling theatres (excl. booths, incl. the goods on sale, goods for distribution as prizes, gaming machines accepting coins or tokens, and tractors and other transport vehicles, incl. normal trailers); 1503 - Lard stearin, lard oil, oleostearin, oleo-oil and tallow oil, not emulsified or mixed or otherwise prepared.; 3504 - Peptones and their derivatives; other protein substances and their derivatives, not elsewhere specified or included; hide powder, whether or not chromed.; 0209 - Pig fat, free of lean meat, and poultry fat, not rendered or otherwise extracted, fresh, chilled, frozen, salted, in brine, dried or smoked.; 0507 - Ivory, tortoiseshell, whalebone and whalebone hair, horns, antlers, hooves, nails, claws and beaks, unworked or simply prepared; powder and waste of these products (excl. cut to shape); 1603 - Extracts and juices of meat, fish or crustaceans, molluscs or other aquatic invertebrates.; 0511 - Animal products n.e.s.; dead animals of all types, unfit for human consumption; 1506 - Other animal fats and oils and their fractions, whether or not refined, but not chemically modified.; 1602 - Prepared or preserved meat, offal or blood (excl. sausages and similar products, and meat extracts and juices); 3101 - Animal or vegetable fertilisers, whether or not mixed together or chemically treated; fertilisers produced by the mixing or chemical treatment of animal or vegetable products.; 3502 - Albumins, incl. concentrates of two or more whey proteins containing by weight &gt; 80% whey proteins, calculated on the dry matter, albuminates and other albumin derivatives; 3507 - Enzymes; prepared enzymes, n.e.s.; 0210 - Meat and edible offal, salted, in brine, dried or smoked; edible flours and meals of meat or meat offal; 1516 - Animal or vegetable fats and oils and their fractions, partly or wholly hydrogenated, inter-esterified, re-esterified or elaidinised, whether or not refined, but not further prepared; 2309 - Preparations of a kind used in animal feeding; 4206 - Articles of gut (other than silk-worm gut), of goldbeater's skin, of bladders or of tendons.; 0105 - Live poultry, "fowls of the species Gallus domesticus, ducks, geese, turkeys and guinea fowls"; 0106 - Live animals (excl. horses, asses, mules, hinnies, bovine animals, swine, sheep, goats, poultry, fish, crustaceans, molluscs and other aquatic invertebrates, and microorganic cultures etc.); 0410 - Edible products of animal origin, not elsewhere specified or included.; 2106 - Food preparations, n.e.s.; 0208 - Meat and edible offal of rabbits, hares, pigeons and other animals, fresh, chilled or frozen (excl. of bovine animals, swine, sheep, goats, horses, asses, mules, hinnies, poultry "fowls of the species Gallus domesticus", ducks, geese, turkeys and guinea fowls); 2301 - Flours, meals and pellets, of meat or meat offal, of fish or of crustaceans, molluscs or other aquatic invertebrates, unfit for human consumption; greaves</t>
  </si>
  <si>
    <t>Animal diseases; Animal health; Newcastle Disease; Zoonoses</t>
  </si>
  <si>
    <d:r xmlns:d="http://schemas.openxmlformats.org/spreadsheetml/2006/main">
      <d:rPr>
        <d:sz val="11"/>
        <d:rFont val="Calibri"/>
      </d:rPr>
      <d:t xml:space="preserve">https://members.wto.org/crnattachments/2020/SPS/RUS/20_2423_00_x.pdf</d:t>
    </d:r>
  </si>
  <si>
    <t>Letter of the Federal Service for the Veterinary and Phytosanitary No. FS-KS-7/8610 as of 20 March 2020</t>
  </si>
  <si>
    <t>Imports of goods, subject to veterinary and phytosanitary control, allowed with a copy of accompanying veterinary and phytosanitary documents provided by cargo receiver whenever a prior notification from the competent authority of exporting country is received, along with a guarantee letter from the cargo receiver confirming that it submits original documents after their receipt to the relevant Rosselkhoznadzor territorial unit.</t>
  </si>
  <si>
    <t>Goods subject to veterinary or phytosanitary control</t>
  </si>
  <si>
    <t>Territory protection; Animal diseases; Food safety; COVID-19 SPS; Animal health; Human health; Plant health</t>
  </si>
  <si>
    <d:r xmlns:d="http://schemas.openxmlformats.org/spreadsheetml/2006/main">
      <d:rPr>
        <d:sz val="11"/>
        <d:rFont val="Calibri"/>
      </d:rPr>
      <d:t xml:space="preserve">https://members.wto.org/crnattachments/2020/SPS/RUS/20_2339_00_x.pdf</d:t>
    </d:r>
  </si>
  <si>
    <t>Letter of the Federal Service for the Veterinary and Phytosanitary No. FS-KS-7/7068 as of 06 March 2020</t>
  </si>
  <si>
    <t>This letter introduces a temporary restriction on import of live swine, meat of swine and products containing pork, embryos of swine and boar semen from Kenya due to the registration of ASF outbreaks.</t>
  </si>
  <si>
    <t>Live swine, meat of swine, meat and edible meat offal, swine embryos and boar' semen (HS Code(s): 0103; 0203; of 0511; 020630000; 020910; 4103300000; of 0210; of 5002; of 0511, 0f 9601; of 9705 00 000 0; 3101; 2309* of 160100*; 1602*) *with exception of prepared heat-treated goods of pork, prepared goods containing pork or raw materials of animal origin (from pork) for the production of feeds for non-productive and fur-producing animals with the use of technologies providing destruction of ASF in accordance with the provision of Chapter 15.1 of the OIE Terrestrial Animal Health Code.</t>
  </si>
  <si>
    <t>02101 - - Meat of swine:; 3101 - Animal or vegetable fertilizers, whether or not mixed together or chemically treated; fertilizers produced by the mixing or chemical treatment of animal or vegetable products (excl. those in pellet or similar forms, or in packages with a gross weight of &lt;= 10 kg); 9705 - Collections and collector's pieces of zoological, botanical, mineralogical, anatomical, historical, archaeological, palaeontological, ethnographic or numismatic interest; 1601 - Sausages and similar products, of meat, meat offal or blood; food preparations based on these products.; 5002 - Raw silk "non-thrown"; 0511 - Animal products n.e.s.; dead animals of all types, unfit for human consumption; 1602 - Prepared or preserved meat, offal or blood (excl. sausages and similar products, and meat extracts and juices);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 2309 - Preparations of a kind used in animal feeding; 0203 - Meat of swine, fresh, chilled or frozen; 020630 - Fresh or chilled edible offal of swine; 9601 - Worked ivory, bone, tortoiseshell, horn, antlers, coral, mother-of-pearl and other animal carving material, and articles of these material, incl. articles obtained by moulding, n.e.s.; 0103 - Live swine; 0209 - Pig fat, free of lean meat, and poultry fat, not rendered or otherwise extracted, fresh, chilled, frozen, salted, in brine, dried or smoked; 0511 - Animal products n.e.s.; dead animals of all types, unfit for human consumption</t>
  </si>
  <si>
    <t>Animal diseases; African swine fever (ASF); Animal health; Zoonoses</t>
  </si>
  <si>
    <t>Kenya</t>
  </si>
  <si>
    <d:r xmlns:d="http://schemas.openxmlformats.org/spreadsheetml/2006/main">
      <d:rPr>
        <d:sz val="11"/>
        <d:rFont val="Calibri"/>
      </d:rPr>
      <d:t xml:space="preserve">https://members.wto.org/crnattachments/2020/SPS/RUS/20_2425_00_x.pdf</d:t>
    </d:r>
  </si>
  <si>
    <t>Letter of the Federal Service for the Veterinary and Phytosanitary No. FS-KS-7/7061 as of 06 March 2020.</t>
  </si>
  <si>
    <t>This letter introduces a temporary restriction on import of live swine, meat of swine and products containing pork, embryos of swine and boar semen from the South Africa due to the registration ASF outbreaks.</t>
  </si>
  <si>
    <t>0206 - Edible offal of bovine animals, swine, sheep, goats, horses, asses, mules or hinnies, fresh, chilled or frozen; 9705 - Collections and collectors' pieces of zoological, botanical, mineralogical, anatomical, historical, archaeological, palaeontological, ethnographic or numismatic interest.; 1601 - Sausages and similar products, of meat, meat offal or blood; food preparations based on these products.; 0210 - Meat and edible offal, salted, in brine, dried or smoked; edible flours and meals of meat or meat offal; 2309 - Preparations of a kind used in animal feeding;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 0203 - Meat of swine, fresh, chilled or frozen; 5002 - Raw silk (not thrown).; 9601 - Worked ivory, bone, tortoiseshell, horn, antlers, coral, mother-of-pearl and other animal carving material, and articles of these material, incl. articles obtained by moulding, n.e.s.; 0103 - Live swine; 0209 - Pig fat, free of lean meat, and poultry fat, not rendered or otherwise extracted, fresh, chilled, frozen, salted, in brine, dried or smoked.; 0511 - Animal products n.e.s.; dead animals of all types, unfit for human consumption; 1602 - Prepared or preserved meat, offal or blood (excl. sausages and similar products, and meat extracts and juices); 3101 - Animal or vegetable fertilisers, whether or not mixed together or chemically treated; fertilisers produced by the mixing or chemical treatment of animal or vegetable products.</t>
  </si>
  <si>
    <t>South Africa</t>
  </si>
  <si>
    <d:r xmlns:d="http://schemas.openxmlformats.org/spreadsheetml/2006/main">
      <d:rPr>
        <d:sz val="11"/>
        <d:rFont val="Calibri"/>
      </d:rPr>
      <d:t xml:space="preserve">https://members.wto.org/crnattachments/2020/SPS/RUS/20_2426_00_x.pdf</d:t>
    </d:r>
  </si>
  <si>
    <t>Letter of the Federal Service for the Veterinary and Phytosanitary Surveillance No. FS-KS-7/4855 as of 18 February 2020</t>
  </si>
  <si>
    <t>The temporary restriction on imports of exotic and decorative animals, including insects, arthropods, amphibians, reptiles and other, live fish and hydrobionts from China imposed by Federal Service for the Veterinary and Phytosanitary Surveillance with the letter No. FS-KS-7/2373 of 29 January 2020 (G/SPS/N/RUS/178) is extended until further notice.</t>
  </si>
  <si>
    <t>Animal diseases; Animal health; Human health; COVID-19 SPS</t>
  </si>
  <si>
    <t>Letter of the Federal Service for Veterinary and Phytosanitary Surveillance No. FS-KS-7/8093 as of 17 March 2020</t>
  </si>
  <si>
    <t>This letter introduces a temporary restriction on import of life poultry and poultry products mentioned in point 3 from Poland (Silesian and Łódź Voivodeships) due to the outbreak of highly pathogenic avian influenza.</t>
  </si>
  <si>
    <t xml:space="preserve">Live poultry, egg products, meat and edible offal of poultry, poultry meat products, daily chicks, incubation egg of poultry, incubation egg (except poultry egg), live bird (except poultry), feed and feed additives for birds, equipment for the maintenance, slaughter and cutting of birds_x000D_
HS Codes: 0105; 0407, 0408; 0207;0208,0209,0210,0410 00 000 0,0504 00 000 0,0505,0511,1501,1506 00 000 0,1516 10,1518 00,1601 00,1602, 1603 00,1902 20,1904 20,products from group 20, from 2104, from 2106, 4206 00 000 0, 0106; 508 10 000 0,0106,9705 00 000 0; 9508 10 000 0,0106; 2102, 2309, 2936, 3504, 3507, 3808, 3824; 3923,3926,4415 4416 00 000 0, 4421, 7020 00, 7309 00, 7310, 7326, 7616, 8436 10 000 0, 8436 21 000 0, 8436 29 000 0, 8436 80 900 0, 8606 91 800 0, 8609 00, 8716 39 800</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</si>
  <si>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0407 - Birds' eggs, in shell, fresh, preserved or cooked; 3504 - Peptones and their derivatives; other albuminous substances and their derivatives, n.e.s.; hide powder, whether or not chromed; 4421 - Other articles of wood,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t>
  </si>
  <si>
    <t>Avian Influenza; Animal diseases; Food safety; Animal health; Human health; Pest- or Disease- free Regions / Regionalization; Zoonoses</t>
  </si>
  <si>
    <t>Poland, Silesian and Łódź Voivodeships</t>
  </si>
  <si>
    <d:r xmlns:d="http://schemas.openxmlformats.org/spreadsheetml/2006/main">
      <d:rPr>
        <d:sz val="11"/>
        <d:rFont val="Calibri"/>
      </d:rPr>
      <d:t xml:space="preserve">https://members.wto.org/crnattachments/2020/SPS/RUS/20_2261_00_x.pdf
https://www.fsvps.ru/fsvps/laws/7168.html</d:t>
    </d:r>
  </si>
  <si>
    <t>Letter of  the Federal Service for Veterinary and Phytosanitary Surveillance No. FS-KS-7/8712 as of 20 March 2020</t>
  </si>
  <si>
    <t>This letter introduces a temporary restriction on imports of products mentioned in point 3 from four Belgium provinces - West-Vlaanderen, Antwerpen, Liège and Namur, to the territory of the Russian Federation due to the registration of blutongue disease outbreaks.</t>
  </si>
  <si>
    <t>Cattle; small cattle; wild, zoo and circus animals susceptible to bluetongue, camels and other members of the camel family - llamas, alpacas, vicunas; sperm of bulls, sheep and goat-producers; in vitro large and small cattle embryos – HS Codes: 0102; 0104; 0106; 0511 99 853; 0511 99 852</t>
  </si>
  <si>
    <t>0102 - Live bovine animals; 0106 - Live animals (excl. horses, asses, mules, hinnies, bovine animals, swine, sheep, goats, poultry, fish, crustaceans, molluscs and other aquatic invertebrates, and microorganic cultures etc.); 051199 - Products of animal origin, n.e.s., dead animals, unfit for human consumption (excl. fish, crustaceans, molluscs or other aquatic invertebrates); 0104 - Live sheep and goats</t>
  </si>
  <si>
    <t>Bluetongue; Animal health; Pest- or Disease- free Regions / Regionalization; Animal diseases</t>
  </si>
  <si>
    <t>West-Vlaanderen, Antwerpen, Liège and Namur provinces of Belgium</t>
  </si>
  <si>
    <d:r xmlns:d="http://schemas.openxmlformats.org/spreadsheetml/2006/main">
      <d:rPr>
        <d:sz val="11"/>
        <d:rFont val="Calibri"/>
      </d:rPr>
      <d:t xml:space="preserve">https://members.wto.org/crnattachments/2020/SPS/RUS/20_2259_00_x.pdf
https://www.fsvps.ru/fsvps/laws/7176.html</d:t>
    </d:r>
  </si>
  <si>
    <t>Letter of the Federal Service for Veterinary and Phytosanitary Surveillance No. FS-KS-7/8498 as of 19 March 2020Letter of the Federal Service for Veterinary and Phytosanitary Surveillance No. FS-KS-7/9419 as of 25 March 2020</t>
  </si>
  <si>
    <t>These letters introduce a temporary restriction on import of life poultry and poultry products mentioned in point 3 from Germany (Leipzig and Aurig areas) due to the outbreak of high pathogenic avian influenza</t>
  </si>
  <si>
    <t xml:space="preserve">Live poultry, egg products, meat and edible offal of poultry, poultry meat products, daily chicks, incubation egg of poultry, Incubation egg (except poultry egg), live bird (except poultry), feed and feed additives for birds, equipment for the maintenance, slaughter and cutting of birds_x000D_
HS Codes: 0105; 0407, 0408; 0207;0208,0209,0210,0410 00 000 0,0504 00 000 0,0505,0511,1501,1506 00 000 0,1516 10,1518 00,1601 00,1602, 1603 00,1902 20,1904 20,products from group 20, from 2104, from 2106, 4206 00 000 0, 0106; 508 10 000 0,0106,9705 00 000 0; 9508 10 000 0,0106; 2102, 2309, 2936, 3504, 3507, 3808, 3824; 3923,3926,4415 4416 00 000 0, 4421, 7020 00, 7309 00, 7310, 7326, 7616, 8436 10 000 0, 8436 21 000 0, 8436 29 000 0, 8436 80 900 0, 8606 91 800 0, 8609 00, 8716 39 800;</t>
  </si>
  <si>
    <t>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160300 - Extracts and juices of meat, fish or crustaceans, molluscs and other aquatic invertebrates; 2104 - Soups and broths and preparations therefor; food preparations consisting of finely homogenized mixtures of two or more basic ingredients such as meat, fish, vegetables or fruit, put up for retail sale as infant food or for dietetic purposes, in containers of &lt;= 250 g; 3808 - Insecticides, rodenticides, fungicides, herbicides, anti-sprouting products and plant-growth regulators, disinfectants and similar products, put up for retail sale or as preparations or articles, e.g. sulphur-treated bands, wicks and candles, and fly-papers;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3824 - Prepared binders for foundry moulds or cores; chemical products and preparations for the chemical or allied industries, incl. mixtures of natural products, n.e.s.; 0407 - Birds' eggs, in shell, fresh, preserved or cooked; 3504 - Peptones and their derivatives; other albuminous substances and their derivatives, n.e.s.; hide powder, whether or not chromed; 4421 - Other articles of wood, n.e.s.;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190420 - Prepared foods obtained from unroasted cereal flakes or from mixtures of unroasted cereal flakes and roasted cereal flakes or swelled cereals; 2309 - Preparations of a kind used in animal feeding; 4206 - Articles of gut, goldbeater's skin, bladders or tendons (excl. silkworm gut, sterile catgut, other sterile surgical suture material and strings for musical instruments); 1602 - Prepared or preserved meat, offal or blood (excl. sausages and similar products, and meat extracts and juices); 3507 - Enzymes; prepared enzymes, n.e.s.; 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8609 - Containers, incl. containers for the transport of fluids, specially designed and equipped for carriage by one or more modes of transport;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190220 - Pasta, stuffed with meat or other substances, whether or not cooked or otherwise prepared; 843610 - Machinery for preparing animal feedingstuffs in agricultural holdings and similar undertakings (excl. machinery for the feedingstuff industry, forage harvesters and autoclaves for cooking fodder);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2102 - Yeasts, active or inactive; other dead single-cell micro-organisms, prepared baking powders (excl. single-cell micro-organisms packaged as medicaments); 2106 - Food preparations, n.e.s.; 3923 - Articles for the conveyance or packaging of goods, of plastics; stoppers, lids, caps and other closures, of plastics; 441600 - Casks, barrels, vats, tubs and other coopers' products parts thereof, of wood, incl. staves; 950810 - Travelling circuses and travelling menageries; 970500 - Collections and collector's pieces of zoological, botanical, mineralogical, anatomical, historical, archaeological, palaeontological, ethnographic or numismatic interest;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151610 - Animal fats and oils and their fractions, partly or wholly hydrogenated, inter-esterified, re-esterified or elaidinized, whether or not refined, but not further prepared; 2936 - Provitamins and vitamins, natural or reproduced by synthesis, incl. natural concentrates, derivatives thereof used primarily as vitamins, and intermixtures of the foregoing, whether or not in any solvent; 3926 - Articles of plastics and articles of other materials of heading 3901 to 3914, n.e.s.; 702000 - Articles of glass,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t>
  </si>
  <si>
    <t>Pest- or Disease- free Regions / Regionalization; Zoonoses; Animal health; Human health; Avian Influenza; Animal diseases; Food safety</t>
  </si>
  <si>
    <t xml:space="preserve">Germany, Leipzig area (Sachsen) and Aurich area (Niedersachsen) </t>
  </si>
  <si>
    <d:r xmlns:d="http://schemas.openxmlformats.org/spreadsheetml/2006/main">
      <d:rPr>
        <d:sz val="11"/>
        <d:rFont val="Calibri"/>
      </d:rPr>
      <d:t xml:space="preserve">https://www.fsvps.ru/fsvps/laws/7166.html
https://www.fsvps.ru/fsvps/laws/7178.html</d:t>
    </d:r>
  </si>
  <si>
    <t>Draft amendments N° 3 to the technical regulation of the Customs Union "On the safety of wheeled vehicles" (TR CU 018/2011)</t>
  </si>
  <si>
    <t>Updating requirements related to the realization by Member States of the Eurasian Economic Union on obligations to participate in international agreements on the harmonization of safety requirements for wheeled vehicles.</t>
  </si>
  <si>
    <t>Wheeled vehicles, wheeled vehicle components</t>
  </si>
  <si>
    <t>43.020 - Road vehicles in general</t>
  </si>
  <si>
    <d:r xmlns:d="http://schemas.openxmlformats.org/spreadsheetml/2006/main">
      <d:rPr>
        <d:sz val="11"/>
        <d:rFont val="Calibri"/>
      </d:rPr>
      <d:t xml:space="preserve">https://docs.eaeunion.org/pd/ru-ru/0104542/pd_04032020
http://www.eurasiancommission.org/ru/act/texnreg/deptexreg/tr/Pages/bezopKolesnTrS.aspx
https://www.eurasiancommission.org/ru/act/texnreg/deptexreg/tr/Pages/kolesa_gen_rev.aspx</d:t>
    </d:r>
  </si>
  <si>
    <t xml:space="preserve">Draft amendments N° 3 to the technical regulation of the Customs Union "On the safety of wheeled vehicles" (TR CU 018/2011)_x000D_
https://docs.eaeunion.org/pd/ru-ru/0104542/pd_04032020Technical regulation of the Custom's Union "On the safety of wheeled vehicles" (TR CU 018/2011)_x000D_
http://www.eurasiancommission.org/ru/act/texnreg/deptexreg/tr/Pages/bezopKolesnTrS.aspxhttps://www.eurasiancommission.org/ru/act/texnreg/deptexreg/tr/Pages/kolesa_gen_rev.aspx </t>
  </si>
  <si>
    <t>Draft amendments to the Rules for registration and examination of safety, quality and effectiveness of medical devices</t>
  </si>
  <si>
    <t xml:space="preserve">The Draft amendments to the Rules for registration and examination of safety, quality and effectiveness of medical devices apply to medical devices issued for circulation in the territory of the Eurasian economic union and provide for the following:- clarification of terms and definitions;_x000D_
- clarification of the mechanism for implementing the procedure for approval by States of the recognition of the expert opinion of the reference state;_x000D_
- determination of cases when changes are made to the registration dossier of medical devices in the notification procedure;_x000D_
- clarification of the procedure for canceling the validity (cancellation) of the registration certificate of a medical device.</t>
  </si>
  <si>
    <t>Wadding, gauze, bandages (dressings, adhesive plasters, poultices), impregnated or coated with pharmaceutical substances or in forms or packings for retail sale, for medical, surgical or veterinary use (HS 3005); Instruments and appliances used in medical, surgical, dental or veterinary sciences, including scintigraphic apparatus, other electro-medical apparatus and sight testing instruments (HS 9018); X-ray, alpha, beta, gamma radiation apparatus; x-ray tubes, x-ray generators, high tension generators, control panels and desks, screens, examination or treatm ent tables, chairs and the like (HS 9022); Furniture; medical, surgical, dental or veterinary (e.g. operating tables, hospital beds, dentists' chairs) barbers' chairs; parts (HS 9402).</t>
  </si>
  <si>
    <t>3005 - Wadding, gauze, bandages and the like, e.g. dressings, adhesive plasters, poultices, impregnated or covered with pharmaceutical substances or put up for retail sale for medical, surgical, dental or veterinary purposes; 9402 - Medical, surgical, dental or veterinary furniture, e.g. operating tables, examination tables, hospital beds with mechanical fittings and dentists'' chairs; barbers'' chairs and similar chairs having rotating as well as both reclining and elevating movement; parts thereof; 9018 - Instruments and appliances used in medical, surgical, dental or veterinary sciences, incl. scintigraphic apparatus, other electro-medical apparatus and sight-testing instruments, n.e.s.; 9022 - Apparatus based on the use of X-rays or of alpha, beta or gamma radiations, whether or not for medical, surgical, dental or veterinary uses, incl. radiography or radiotherapy apparatus, X-ray tubes and other X-ray generators, high tension generators, control panels and desks, screens, examination or treatment tables, chairs and the like</t>
  </si>
  <si>
    <d:r xmlns:d="http://schemas.openxmlformats.org/spreadsheetml/2006/main">
      <d:rPr>
        <d:sz val="11"/>
        <d:rFont val="Calibri"/>
      </d:rPr>
      <d:t xml:space="preserve">https://docs.eaeunion.org/ria/ru-ru/0103911/ria_18022020
https://docs.eaeunion.orq/docs/ru-ru/01410768/cncd_12072016_46</d:t>
    </d:r>
  </si>
  <si>
    <t>Draft amendments to the Rules for registration and examination of safety, quality and effectiveness of medical devices: https://docs.eaeunion.org/ria/ru-ru/0103911/ria_18022020Decision N° 46 of the Board of the Eurasian Economic Commission of 12 February 2016: https://docs.eaeunion.org/docs/ru-ru/01410768/cncd_12072016_46</t>
  </si>
  <si>
    <t>Eurasian Economic Commission Collegium Draft Decision on amendments to the Regulation on Common veterinary (sanitary and veterinary) requirements for goods subject to veterinary control (surveillance) and Eurasian Economic Commission Collegium Draft Decision on amendments the Customs Union Commission Decision of 7 April 2011 No. 607</t>
  </si>
  <si>
    <t>The draft provides for the establishment of veterinary requirements for the importation to the territory of the Eurasian Economic Union and transportation between its Member States of gastropod terrestrial mollusc and its larvae.</t>
  </si>
  <si>
    <t>Gastropod terrestrial mollusc and its larvae (HS Code: 0106)</t>
  </si>
  <si>
    <t>0106 - Live animals (excl. horses, asses, mules, hinnies, bovine animals, swine, sheep, goats, poultry, fish, crustaceans, molluscs and other aquatic invertebrates, and microorganic cultures etc.)</t>
  </si>
  <si>
    <d:r xmlns:d="http://schemas.openxmlformats.org/spreadsheetml/2006/main">
      <d:rPr>
        <d:sz val="11"/>
        <d:rFont val="Calibri"/>
      </d:rPr>
      <d:t xml:space="preserve">https://docs.eaeunion.org/ria/ru-ru/0103903/ria_14022020</d:t>
    </d:r>
  </si>
  <si>
    <t>Letter of the Federal Service for the Veterinary and Phytosanitary No. FS-KS-7/3308 as of 5 February 2020.</t>
  </si>
  <si>
    <t>This letter introduces a temporary restriction on import of live swine, meat of swine and products containing pork, embryos of swine and boar semen from specific territories due to the registration of outbreaks of ASF.</t>
  </si>
  <si>
    <t>1602 - Prepared or preserved meat, offal or blood (excl. sausages and similar products, and meat extracts and juices); 160100 - Sausages and similar products, of meat, offal or blood; food preparations based on these products; 5002 - Raw silk "non-thrown"; 3101 - Animal or vegetable fertilizers, whether or not mixed together or chemically treated; fertilizers produced by the mixing or chemical treatment of animal or vegetable products (excl. those in pellet or similar forms, or in packages with a gross weight of &lt;= 10 kg); 410330 - Raw hides and skins of swine, fresh, or salted, dried, limed, pickled or otherwise preserved, whether or not dehaired or split (excl. parchment-dressed); 9705 - Collections and collector's pieces of zoological, botanical, mineralogical, anatomical, historical, archaeological, palaeontological, ethnographic or numismatic interest; 0210 - Meat and edible offal, salted, in brine, dried or smoked; edible flours and meals of meat or meat offal; 2309 - Preparations of a kind used in animal feeding; 0203 - Meat of swine, fresh, chilled or frozen; 020630 - Fresh or chilled edible offal of swine; 9601 - Worked ivory, bone, tortoise-shell, horn, antlers, coral, mother-of-pearl and other animal carving material, and articles of these material, incl. articles obtained by moulding, n.e.s.; 0103 - Live swine; 0209 - Pig fat, free of lean meat, and poultry fat, not rendered or otherwise extracted, fresh, chilled, frozen, salted, in brine, dried or smoked; 0511 - Animal products n.e.s.; dead animals of all types, unfit for human consumption</t>
  </si>
  <si>
    <t>Animal diseases; Food safety; Zoonoses; African swine fever (ASF); Animal health; Human health</t>
  </si>
  <si>
    <t>Democratic People's Republic of Korea, Philippines, Timor-Leste, Zimbabwe</t>
  </si>
  <si>
    <d:r xmlns:d="http://schemas.openxmlformats.org/spreadsheetml/2006/main">
      <d:rPr>
        <d:sz val="11"/>
        <d:rFont val="Calibri"/>
      </d:rPr>
      <d:t xml:space="preserve">https://members.wto.org/crnattachments/2020/SPS/RUS/20_1128_00_x.pdf</d:t>
    </d:r>
  </si>
  <si>
    <t>Eurasian Economic Commission Council Draft Decision on amendments to the Chapter I of the Joint list of products subject to sanitary and epidemiological supervision (control) at the customs border and in the customs territory of the Customs Union</t>
  </si>
  <si>
    <t>The Draft provides for the addition of the Joint list of products subject to sanitary and epidemiological supervision (control) at the customs border and in the customs territory of the Customs Union with “print media and book products for adults” with the aim of subsequently establishing sanitary and epidemiological and hygienic requirements for it.</t>
  </si>
  <si>
    <t>print media and book products for adults</t>
  </si>
  <si>
    <t>85.080 - Paper products</t>
  </si>
  <si>
    <d:r xmlns:d="http://schemas.openxmlformats.org/spreadsheetml/2006/main">
      <d:rPr>
        <d:sz val="11"/>
        <d:rFont val="Calibri"/>
      </d:rPr>
      <d:t xml:space="preserve">http://docs.eaeunion.org.</d:t>
    </d:r>
  </si>
  <si>
    <t>Letter of the Federal Service for the Veterinary and Phytosanitary No. FS-KS-7/2373 of 29 January 2020</t>
  </si>
  <si>
    <t>This letter introduces a temporary restriction on import of exotic and decorative animals, including insects, arthropods, amphibians, reptiles and other, live fish and hydrobionts from China.</t>
  </si>
  <si>
    <t>Exotic and decorative animals, including insects, arthropods, amphibians, reptiles and other, live fish and hydrobionts.</t>
  </si>
  <si>
    <t>China</t>
  </si>
  <si>
    <d:r xmlns:d="http://schemas.openxmlformats.org/spreadsheetml/2006/main">
      <d:rPr>
        <d:sz val="11"/>
        <d:rFont val="Calibri"/>
      </d:rPr>
      <d:t xml:space="preserve">https://members.wto.org/crnattachments/2020/SPS/RUS/20_0801_00_x.pdf
https://www.fsvps.ru/fsvps/laws/7073.html</d:t>
    </d:r>
  </si>
  <si>
    <t>The 2019-nCoV virus is insufficiently studied. An international standard has not been developed yet. The measure was provisionally adopted on the basis of available pertinent information as relevant scientific evidence is insufficient.</t>
  </si>
  <si>
    <t>Eurasian Economic Commission Collegium Draft Decision on amendments to Chapter 18 of the Regulation on Common veterinary (sanitary and veterinary) requirements for goods subject to veterinary control (surveillance) and Eurasian Economic Commission Collegium Draft Decision on amendments to the form of a veterinary health certificate for bees, bumblebees and cocoons of leafcutter bees exported to the customs territory of the Eurasian Economic Union.</t>
  </si>
  <si>
    <t>The drafts provide the establishment of veterinary requirements for the importation of crickets, entomophages and other insects onto the territory of the Eurasian Economic Union and transportation between Member States.</t>
  </si>
  <si>
    <t>Goods (products) subject to veterinary control under the following HS code of the Common Commodity Nomenclature of Foreign Economic Activity of the Customs Union: 0106.</t>
  </si>
  <si>
    <d:r xmlns:d="http://schemas.openxmlformats.org/spreadsheetml/2006/main">
      <d:rPr>
        <d:sz val="11"/>
        <d:rFont val="Calibri"/>
      </d:rPr>
      <d:t xml:space="preserve">https://members.wto.org/crnattachments/2020/SPS/RUS/20_0789_00_x.pdf
https://docs.eaeunion.org/ria/ru-ru/0103872/ria_30012020</d:t>
    </d:r>
  </si>
  <si>
    <t>Draft amendments to the technical regulation of the Customs Union "On safety of machines and equipment".</t>
  </si>
  <si>
    <t>Draft amendments to the Customs Union technical regulation provide clarifications regarding: define term applied to type sample of a machine and/or equipment, statement in the Article 6 TR CU 010/2011 "Ensuring compliance with safety requirements", amendments to the Article 7 "Conformity Assessment", the Article 8 "Procedure for declaring conformity of machines and/or equipment", the Article 9 "Research of the type of machines and/or equipment", the Article 10 "Certification procedure of machines and/or equipment", the Article 11 "Applying a uniform mark of product circulation in the market of the Customs Union", the Article 12 "Safeguard clause".</t>
  </si>
  <si>
    <d:r xmlns:d="http://schemas.openxmlformats.org/spreadsheetml/2006/main">
      <d:rPr>
        <d:sz val="11"/>
        <d:rFont val="Calibri"/>
      </d:rPr>
      <d:t xml:space="preserve">https://docs.eaeunion.org/pd/ru-ru/0104412/pd_23122019
http://www.eurasiancommission.org/ru/acttexnreg/deptexreg/tr/Pages/bezop.aspx</d:t>
    </d:r>
  </si>
  <si>
    <t>Draft amendments to the Technical regulation of the Customs Union "On safety of machines and equipment" provide clarifications regarding the establishment of forms, schemes, and procedures for conformity assessment on the basis of standard conformity assessment schemes approved by the Decision of Commission N° 44.https://docs.eaeunion.org/pd/ru-ru/0104412/pd_23122019The Technical Regulation of the Customs Union "On safety of machinery and equipment" approved by the Decision of the Commission N° 823.http://www.eurasiancommission.org/ru/acttexnreg/deptexreg/tr/Pages/bezop</t>
  </si>
  <si>
    <t>Letter of the Federal Service for Veterinary and Phytosanitary Surveillance No. FS-NV-3/36037 of 30 December 2019</t>
  </si>
  <si>
    <t>This letter introduces a temporary restriction on import to the territory of the Russian Federation of fresh citrus fruit from the China (including citrus fruit produced in China and imported from the third countries and EAEU Member States) due to systemic detection of quarantine pests listed in the Eurasian Economic Commission Council's Decision No.157 of 30 November 2016.</t>
  </si>
  <si>
    <t>Citrus fruit, fresh (HS Code: 0805)</t>
  </si>
  <si>
    <t>Plant health; Territory protection; Pests</t>
  </si>
  <si>
    <d:r xmlns:d="http://schemas.openxmlformats.org/spreadsheetml/2006/main">
      <d:rPr>
        <d:sz val="11"/>
        <d:rFont val="Calibri"/>
      </d:rPr>
      <d:t xml:space="preserve">https://members.wto.org/crnattachments/2020/SPS/RUS/20_0480_00_x.pdf</d:t>
    </d:r>
  </si>
  <si>
    <t>Eurasian Economic Commission Collegium Draft Decision on amendments to the Regulation on Common veterinary (sanitary and veterinary) requirements for goods subject to veterinary control (surveillance)</t>
  </si>
  <si>
    <t>The draft lifts certain veterinary measures applied to imported goods subject to veterinary control into the territory of the Eurasian Economic Union</t>
  </si>
  <si>
    <t xml:space="preserve">Goods (products) subject to veterinary control and containing components of animal origin under the following HS codes of the Common Commodity Nomenclature of Foreign Economic Activity of the Customs Union. _x000D_
HS Code(s): 040900, 130190, 1502, 150300, 1504, 150500, 151800, 190220, 190420, 20, 2102, 2104, 2309, 2936, 30, 3002, 310100, 320300, 3302, 350400, 3507, 3808, 3824</t>
  </si>
  <si>
    <t>130190 - Natural gums, resins, gum-resins, balsams and other natural oleoresins (excl. gum Arabic); 2104 - Soups and broths and preparations therefor; food preparations consisting of finely homogenized mixtures of two or more basic ingredients such as meat, fish, vegetables or fruit, put up for retail sale as infant food or for dietetic purposes, in containers of &lt;= 250 g; 3002 - Human blood; animal blood prepared for therapeutic, prophylactic or diagnostic uses; antisera and other blood fractions and modified immunological products, whether or not obtained by means of biotechnological processes; vaccines, toxins, cultures of micro-organisms (excl. yeasts) and similar products; 3808 - Insecticides, rodenticides, fungicides, herbicides, anti-sprouting products and plant-growth regulators, disinfectants and similar products, put up for retail sale or as preparations or articles, e.g. sulphur-treated bands, wicks and candles, and fly-papers; 150500 - Wool grease and fatty substances derived therefrom, incl. lanolin;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320300 - 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 040900 - Natural honey; 350400 - Peptones and their derivatives; other albuminous substances and their derivatives, n.e.s.; hide powder, whether or not chromed; 3507 - Enzymes; prepared enzymes, n.e.s.; 1502 - Fats of bovine animals, sheep or goats (excl. lard stearin, lard oil, oleostearin, oleooil and tallow oil, not emulsified or mixed or otherwise prepared); 190220 - Pasta, stuffed with meat or other substances, whether or not cooked or otherwise prepared; 30 - PHARMACEUTICAL PRODUCTS; 1504 - Fats and oils and their fractions of fish or marine mammals, whether or not refined (excl. chemically modified); 150300 - Lard stearin, lard oil, oleostearin, oleo-oil and tallow oil (excl. emulsified, mixed or otherwise prepared); 20 - PREPARATIONS OF VEGETABLES, FRUIT, NUTS OR OTHER PARTS OF PLANTS; 2936 - Provitamins and vitamins, natural or reproduced by synthesis, incl. natural concentrates, derivatives thereof used primarily as vitamins, and intermixtures of the foregoing, whether or not in any solvent; 3302 - Mixtures of odoriferous substances and mixtures, incl. alcoholic solutions, based on one or more of these substances, of a kind used as raw materials in industry; other preparations based on odoriferous substances, of a kind used for the manufacture of beverages; 3824 - Prepared binders for foundry moulds or cores; chemical products and preparations for the chemical or allied industries, incl. mixtures of natural products, n.e.s.; 2102 - Yeasts, active or inactive; other dead single-cell micro-organisms, prepared baking powders (excl. single-cell micro-organisms packaged as medicaments); 190420 - Prepared foods obtained from unroasted cereal flakes or from mixtures of unroasted cereal flakes and roasted cereal flakes or swelled cereals; 2309 - Preparations of a kind used in animal feeding; 310100 - Animal or vegetable fertilizers, whether or not mixed together or chemically treated; fertilizers produced by the mixing or chemical treatment of animal or vegetable products (excl. those in pellet or similar forms, or in packages with a gross weight of &lt;= 10 kg)</t>
  </si>
  <si>
    <d:r xmlns:d="http://schemas.openxmlformats.org/spreadsheetml/2006/main">
      <d:rPr>
        <d:sz val="11"/>
        <d:rFont val="Calibri"/>
      </d:rPr>
      <d:t xml:space="preserve">https://members.wto.org/crnattachments/2020/SPS/RUS/20_0130_00_x.pdf
https://docs.eaeunion.org/ria/ru-ru/0103854/ria_27122019</d:t>
    </d:r>
  </si>
  <si>
    <t>Eurasian Economic Commission Council Draft Decision on amendments to the List of quarantined products (quarantined freights, quarantined materials and quarantined goods) subject to quarantine phytosanitary control (surveillance) at the customs border of the Eurasian Economic Union and within the customs territory of the Eurasian Economic Union</t>
  </si>
  <si>
    <t>The Draft expands the List of "Quarantined Products (Quarantined Freights, Quarantined Materials, Quarantined Goods) of High Phytosanitary Risk" (Part I) with products used in toys, put up in sets or outfits that contain seeds and (or) ground, without soil. The Draft also provides for exclusion from the mentioned List of products for feeds not containing organic substances.</t>
  </si>
  <si>
    <t>Goods (products) subject to phytosanitary control (HS Code(s) 2309, 9503)</t>
  </si>
  <si>
    <t>2309 - Preparations of a kind used in animal feeding; 9503 - Toys (excl. wheeled toys designed to be ridden by children, dolls' carriages and dolls representing only human beings); reduced-size "scale" recreational models, working or not; puzzles of all kinds</t>
  </si>
  <si>
    <d:r xmlns:d="http://schemas.openxmlformats.org/spreadsheetml/2006/main">
      <d:rPr>
        <d:sz val="11"/>
        <d:rFont val="Calibri"/>
      </d:rPr>
      <d:t xml:space="preserve">https://members.wto.org/crnattachments/2020/SPS/RUS/20_0137_00_x.pdf
https://docs.eaeunion.org/ria/ru-ru/0103806/ria_12122019</d:t>
    </d:r>
  </si>
  <si>
    <t>The draft guidelines for the assessment of the quality and research of drugs based on liposomes, micelles and drug-containing coating of nanoparticles.</t>
  </si>
  <si>
    <t>The draft guidelines for quality assessment and research of liposome-based drugs, micelles and drugs containing nanoparticle coatings apply to the development of copied drugs from the liposome, micelle and drug group, containing nanoparticle coatings for subsequent registration on the territory of the Eurasian economic Union and provides for the need to establish uniform requirements for the evidence-based study of the equal effectiveness and interchangeability of copied and reference drugs based on liposomes, micelles and drugs containing nanoparticle coatings used in the treatment and prevention of human diseases, in order to:identification of ineffective and (or) non-equivalent drugs at the pre-registration stage, resulting in the risk of harm to human life and health;elimination of the need to duplicate studies of these groups of drugs in each of the member States of the Union. The draft guide has been prepared in order to:- protection of life and health of the patient (as the final consumer of medicines);- protection of the interests of the health care system as a whole (as the primary consumer of medicines) by ensuring the use of proven equally effective and interchangeable copied medicines;- protection of the interests of patients participating in the study by clearly regulating the procedure for conducting bioequivalence studies of these groups of drugs.</t>
  </si>
  <si>
    <t>Medicaments consisting of mixed or unmixed products for therapeutic or prophylactic uses, put up in measured doses "incl. those in the form of transdermal administration" or in forms or packings for retail sale (excl. goods of heading 3002, 3005 or 3006) (HS code(s): 3004); Opacifying preparations for x-ray examinations; diagnostic reagents for administration to patients (HS code(s): 300630); Medicaments (ICS code(s): 11.120.10)</t>
  </si>
  <si>
    <t>3004 - Medicaments consisting of mixed or unmixed products for therapeutic or prophylactic uses, put up in measured doses "incl. those in the form of transdermal administration" or in forms or packings for retail sale (excl. goods of heading 3002, 3005 or 3006); 300630 - Opacifying preparations for x-ray examinations; diagnostic reagents for administration to patients</t>
  </si>
  <si>
    <d:r xmlns:d="http://schemas.openxmlformats.org/spreadsheetml/2006/main">
      <d:rPr>
        <d:sz val="11"/>
        <d:rFont val="Calibri"/>
      </d:rPr>
      <d:t xml:space="preserve">https://docs.eaeunion.org/ria/ru-ru/0103833/ria_23122019</d:t>
    </d:r>
  </si>
  <si>
    <t>The draft guidelines for the assessment of the quality and research of drugs based on liposomes, micelles and drug-containing coating of nanoparticleshttps://docs.eaeunion.org/ria/ru-ru/0103833/ria_23122019</t>
  </si>
  <si>
    <t>Eurasian Economic Commission Collegium Draft Decision on amendments to the Laboratory support to quarantine phytosanitary measures procedure</t>
  </si>
  <si>
    <t>The Draft submits the addendum of the term "sample (specimen)" of quarantined products to the Laboratory support to quarantine phytosanitary measures procedure. The Draft also seeks to include to the abovementioned procedure the detailed information on storage period of perishable quarantined products samples (specimens), a possibility of return to the owner a part of the samples (specimens) of quarantined products taken during quarantine phytosanitary control (surveillance) and not used for quarantine phytosanitary inspection.</t>
  </si>
  <si>
    <t>goods (products) subject to phytosanitary control</t>
  </si>
  <si>
    <d:r xmlns:d="http://schemas.openxmlformats.org/spreadsheetml/2006/main">
      <d:rPr>
        <d:sz val="11"/>
        <d:rFont val="Calibri"/>
      </d:rPr>
      <d:t xml:space="preserve">https://members.wto.org/crnattachments/2020/SPS/RUS/20_0041_00_x.pdf
https://docs.eaeunion.org/ria/ru-ru/0103803/ria_12122019</d:t>
    </d:r>
  </si>
  <si>
    <t>Draft amendment to decision № 93 of the Council of the Eurasian economic Commission of 3 November 2016.</t>
  </si>
  <si>
    <t>The Draft amendment to decision No. 93 of the Council of the Eurasian economic Commission of 3 November 2016 applies to the claimed for registration in the territory of the member States of the Eurasian economic Union drugs during the transition period and establishes the possibility, until 31 December 2020 submission of applicants for state registration, re-registration, confirmation of registration, amendments to registration dossier of medicinal products in accordance with the legislation of a member state of the Eurasian economic Union, documents issued by the authorized bodies of the member States confirming the compliance of the production of medicines with the requirements of good manufacturing practice of the Eurasian economic Union, or for medicines produced in the member States, documents issued by the authorized bodies of the member States confirming the compliance of the production of medicines with the requirements of good manufacturing practice of the member States.Until December 31, 2025, it is established that applicants can submit documents issued by the authorized bodies of the member States confirming the compliance of the production of medicines with the requirements of good manufacturing practice of the Eurasian economic Union, or for medicines produced in the member States, when re-registering, confirming registration, amending the registration dossier of medicines in accordance with the legislation of the member States, requirements of good manufacturing practices of member States.The draft amendment has been prepared in order to:- protection of life and health of the patient (as the final consumer of medicines);protection of the interests of drug manufacturers by reducing the costs of manufacturers associated with repeated inspections for compliance with the requirements of good manufacturing practices of the Eurasian economic Union</t>
  </si>
  <si>
    <t>Human blood; animal blood prepared for therapeutic, prophylactic or diagnostic use; immune serums, other blood fractions and immunological products, modified or unmodified, including those obtained by biotechnology; vaccines, toxins, cultures of microorganisms (except yeast) and similar products; immune sera, other blood fractions and immunological products, modified or unmodified, including those obtained by biotechnology; Medicinal products consisting of a mixture of two or more components for therapeutic or prophylactic use, but not packaged in dosage forms or in forms or packages for retail sale; Medicinal products consisting of mixed or unmixed products for therapeutic or prophylactic use, packaged in the form of dosage forms (including medicinal products.</t>
  </si>
  <si>
    <d:r xmlns:d="http://schemas.openxmlformats.org/spreadsheetml/2006/main">
      <d:rPr>
        <d:sz val="11"/>
        <d:rFont val="Calibri"/>
      </d:rPr>
      <d:t xml:space="preserve">https://docs.eaeunion.org/ria/ru-ru/0103829/ria_23122019
http://www.eurasiancommission.org/ru/act/texnreg/deptexreg/LS1/Pages/drug_products.aspx</d:t>
    </d:r>
  </si>
  <si>
    <t>Draft amendment to decision № 93 of the Council of the Eurasian economic Commission of 3 November 2016: https://docs.eaeunion.org/ria/ru-ru/0103829/ria_23122019Decision of the Council of the Eurasian economic Commission Оn recognition of the results of inspection of production of medicineshttp://www.eurasiancommission.org/ru/act/texnreg/deptexreg/LS1/Pages/drug_products.aspx</t>
  </si>
  <si>
    <t>Draft amendments to Requirements for stability testing of drugs and pharmaceutical substances.</t>
  </si>
  <si>
    <t>The draft amendments to the Requirements for stability testing of drugs and pharmaceutical substances applies to put into circulation on the territory of the Eurasian economic Union drugs and calls for the unified approach to the definition of "production date of the series" in order to exclude the possibility of automatic updates of the shelf life of the pharmaceutical substance by a simple repackaging, and the calculation of the shelf life of finished drugs, issued in circulation in the customs territory of the Eurasian economic Union for the purpose of elimination of the possibility of automatic renewal of the shelf life of the pharmaceutical substance by its simple repackaging, as well as the use in the production of substances with an expiration date not corresponding to the shelf life of finished drugs, which may lead to inconsistencies of expert reports and recognition. The draft guide has been prepared in order to:- protection of life and health of the patient (as the final consumer of medicines);- protection of the interests of the health care system as a whole (as the primary consumer of medicines) - protection of the interests of the authorized bodies (expert organizations) that perform the procedure of evaluation of the registration dossier of the drug from the position of proof of its compliance with the specified quality standard.</t>
  </si>
  <si>
    <t>Medicaments consisting of two or more constituents mixed together for therapeutic or prophylactic uses, not in measured doses or put up for retail sale (excl. goods of heading 3002, 3005 or 3006) (HS code(s): 3003); Medicaments consisting of mixed or unmixed products for therapeutic or prophylactic uses, put up in measured doses "incl. those in the form of transdermal administration" or in forms or packings for retail sale (excl. goods of heading 3002, 3005 or 3006) (HS code(s): 3004); Medicaments (ICS code(s): 11.120.10)</t>
  </si>
  <si>
    <d:r xmlns:d="http://schemas.openxmlformats.org/spreadsheetml/2006/main">
      <d:rPr>
        <d:sz val="11"/>
        <d:rFont val="Calibri"/>
      </d:rPr>
      <d:t xml:space="preserve">https://docs.eaeunion.org/ria/ru-ru/0103838/ria_23122019
http://www.eurasiancommission.org/ru/act/texnreg/deptexreg/LS1/Pages/drug_products.aspx</d:t>
    </d:r>
  </si>
  <si>
    <t>Draft amendments to Requirements for stability testing of drugs and pharmaceutical substances https://docs.eaeunion.org/ria/ru-ru/0103838/ria_23122019Decision No.69 of the Board of the Eurasian economic Commission of 10 May 2018http://www.eurasiancommission.org/ru/act/texnreg/deptexreg/LS1/Pages/drug_products.aspx</t>
  </si>
  <si>
    <t>Draft Amendments No. 2 to the Customs Union Technical Regulation "Technical regulation on fat and oil products" (CU TR 024/2011).</t>
  </si>
  <si>
    <t xml:space="preserve">The draft amendments № 2 to the Customs Union Technical Regulation "Technical regulation on fat and oil products" (CU TR 024/2011) provide for clarifications in part:_x000D_
definitions of the concepts "spread", "ghee mixtures", "cocoa butter equivalents", "cocoa butter improvers" taking into account the previously introduced concept of "milk fat substitute"; _x000D_
requirements to the process of production of edible oil and fat products; _x000D_
requirements to the process and conditions of transportation of edible fat and oil products, including the use of vehicles intended for transportation of oil and fat products in bulk; _x000D_
requirements to permissible levels of safety indicators of certain types of edible oil and fat products. _x000D_
The indicator of oxidative damage "peroxide number" in sauces based on vegetable oils, mayonnaise, mayonnaise sauces, creams based on vegetable oils was excluded.</t>
  </si>
  <si>
    <t>Oils and fats</t>
  </si>
  <si>
    <t>67.200 - Edible oils and fats. Oilseeds</t>
  </si>
  <si>
    <d:r xmlns:d="http://schemas.openxmlformats.org/spreadsheetml/2006/main">
      <d:rPr>
        <d:sz val="11"/>
        <d:rFont val="Calibri"/>
      </d:rPr>
      <d:t xml:space="preserve">https://docs.eaeunion.org/pd/ru-ru/0104386/pd_18122019
http://www.eurasiancommission.org/ru/act/texnreg/deptexreg/tr/Pages/MasloGirov.aspx</d:t>
    </d:r>
  </si>
  <si>
    <t>Draft AmendmentsNo. 2to the Customs Union Technical Regulation “Technical regulation on fat and oil products" (CU TR 024/2011)https://docs.eaeunion.org/pd/ru-ru/0104386/pd_18122019Customs Union Technical Regulation “Technical regulation on fat and oil products" (CU TR 024/2011)http://www.eurasiancommission.org/ru/act/texnreg/deptexreg/tr/Pages/MasloGirov.aspx</t>
  </si>
  <si>
    <t>Eurasian Economic Commission Collegium Decisions Draft on amendments to the Regulation on Common veterinary (sanitary and veterinary) requirements for goods subject to veterinary control (surveillance) and Eurasian Economic Commission Collegium Decisions Draft on amendments to the Forms of Common Veterinary Certificates for import into the customs territory of the Eurasian Economic Union of controlled goods from third countries.</t>
  </si>
  <si>
    <t>The drafts lift certain requirements on imports of sperm of bulls, pedigree and utility sheep and goats and pork meat into the territory of the Eurasian Economic Union.</t>
  </si>
  <si>
    <t>Goods (products) subject to veterinary control.</t>
  </si>
  <si>
    <t>051110 - Bovine semen; 0104 - Live sheep and goats; 0203 - Meat of swine, fresh, chilled or frozen</t>
  </si>
  <si>
    <d:r xmlns:d="http://schemas.openxmlformats.org/spreadsheetml/2006/main">
      <d:rPr>
        <d:sz val="11"/>
        <d:rFont val="Calibri"/>
      </d:rPr>
      <d:t xml:space="preserve">https://members.wto.org/crnattachments/2019/SPS/RUS/19_7234_00_x.pdf
https://members.wto.org/crnattachments/2019/SPS/RUS/19_7234_01_x.pdf
https://docs.eaeunion.org/ria/ru-ru/0103819/ria_16122019
https://docs.eaeunion.org/ria/ru-ru/0103815/ria_16122019</d:t>
    </d:r>
  </si>
  <si>
    <t>Letter of the Federal Service for Veterinary and Phytosanitary Surveillance as of 22 October 2019 No. FS-YUSH-3/27903</t>
  </si>
  <si>
    <t xml:space="preserve">Items 4 and 6 of G/SPS/N/RUS/170 should read as follows:_x000D_
4.    Regions or countries likely to be affected, to the extent relevant or practicable:       [ ]     All trading partners       [X]    Specific regions or countries: Ireland, peat produced by "Harte Peat Ltd" (Leonard's Island, Clones, Co. Monaghan, Ireland)6.    Description of content: This letter introduces temporary restrictions on import of peat from Ireland produced by "Harte Peat Ltd" due to detection of the fly Megaselia scalaris (Loew).</t>
  </si>
  <si>
    <t>Pests; Plant health; Territory protection; Pest- or Disease- free Regions / Regionalization</t>
  </si>
  <si>
    <t>This letter introduces temporary restrictions on import of peat from Iceland produced by "Harte Peat Ltd" due to detection of the fly Megaselia scalaris (Loew).</t>
  </si>
  <si>
    <t>Peat (HS code: 270300)</t>
  </si>
  <si>
    <t>270300 - Peat, incl. peat litter, whether or not agglomerated</t>
  </si>
  <si>
    <t xml:space="preserve">Iceland, peat produced by "Harte Peat Ltd" (Leonard's Island, Clones, Co. Monaghan, Iceland)  </t>
  </si>
  <si>
    <d:r xmlns:d="http://schemas.openxmlformats.org/spreadsheetml/2006/main">
      <d:rPr>
        <d:sz val="11"/>
        <d:rFont val="Calibri"/>
      </d:rPr>
      <d:t xml:space="preserve">https://members.wto.org/crnattachments/2019/SPS/RUS/19_6027_00_x.pdf</d:t>
    </d:r>
  </si>
  <si>
    <t>Letter of the Federal Service for the Veterinary and Phytosanitary No. FS-KS-7/28193 as of 24 October 2019</t>
  </si>
  <si>
    <t>This letter introduces a temporary restriction on import of live swine, meat of swine and products containing pork, embryos of swine and boar semen from the Lao People's Democratic Republic due to the registration of outbreaks of ASF.</t>
  </si>
  <si>
    <t xml:space="preserve">Live swine, meat of swine, meat and edible meat offal, swine embryos and boar' semen (HS Codes: 0103; 0203; 0511; 020630000; 020910; 4103300000; 0210; 0502; 0511, 9601; 9705 00 000 0; 3101; 2309*; 160100*; 1602*)_x000D_
* with exception of prepared heat-treated goods of pork, prepared goods containing pork or raw materials of animal origin (from pork) for the production of feeds for non-productive and fur-producing animals with the use of technologies providing destruction of ASF in accordance with the provision of Chapter 15.1 of the OIE Terrestrial Animal Health Code.</t>
  </si>
  <si>
    <t>0210 - Meat and edible offal, salted, in brine, dried or smoked; edible flours and meals of meat or meat offal; 160100 - Sausages and similar products, of meat, offal or blood; food preparations based on these products; 0502 - Pigs', hogs' or boars' bristles and hair; badger hair and other brush making hair; waste of such bristles or hair; 1602 - Prepared or preserved meat, offal or blood (excl. sausages and similar products, and meat extracts and juices); 3101 - Animal or vegetable fertilizers, whether or not mixed together or chemically treated; fertilizers produced by the mixing or chemical treatment of animal or vegetable products (excl. those in pellet or similar forms, or in packages with a gross weight of &lt;= 10 kg); 410330 - Raw hides and skins of swine, fresh, or salted, dried, limed, pickled or otherwise preserved, whether or not dehaired or split (excl. parchment-dressed); 0203 - Meat of swine, fresh, chilled or frozen; 020630 - Fresh or chilled edible offal of swine; 0103 - Live swine; 0209 - Pig fat, free of lean meat, and poultry fat, not rendered or otherwise extracted, fresh, chilled, frozen, salted, in brine, dried or smoked; 0511 - Animal products n.e.s.; dead animals of all types, unfit for human consumption; 2309 - Preparations of a kind used in animal feeding; 9601 - Worked ivory, bone, tortoise-shell, horn, antlers, coral, mother-of-pearl and other animal carving material, and articles of these material, incl. articles obtained by moulding, n.e.s.; 970500 - Collections and collector's pieces of zoological, botanical, mineralogical, anatomical, historical, archaeological, palaeontological, ethnographic or numismatic interest</t>
  </si>
  <si>
    <t>Zoonoses; African swine fever (ASF); Animal diseases; Food safety; Animal health; Human health</t>
  </si>
  <si>
    <t>Lao People's Democratic Republic</t>
  </si>
  <si>
    <t>Letter of the Federal Service for the Veterinary and Phytosanitary No. FS-KS-7/28112 as of 24 October 2019</t>
  </si>
  <si>
    <t>This letter introduces a temporary restriction on import of live swine, meat of swine and products containing pork, embryos of swine and boar semen from Côte d'Ivoire due to the registration of outbreaks of ASF.</t>
  </si>
  <si>
    <t>0210 - Meat and edible offal, salted, in brine, dried or smoked; edible flours and meals of meat or meat offal; 2309 - Preparations of a kind used in animal feeding; 0502 - Pigs', hogs' or boars' bristles and hair; badger hair and other brush making hair; waste of such bristles or hair; 1602 - Prepared or preserved meat, offal or blood (excl. sausages and similar products, and meat extracts and juices); 3101 - Animal or vegetable fertilizers, whether or not mixed together or chemically treated; fertilizers produced by the mixing or chemical treatment of animal or vegetable products (excl. those in pellet or similar forms, or in packages with a gross weight of &lt;= 10 kg); 410330 - Raw hides and skins of swine, fresh, or salted, dried, limed, pickled or otherwise preserved, whether or not dehaired or split (excl. parchment-dressed); 9705 - Collections and collector's pieces of zoological, botanical, mineralogical, anatomical, historical, archaeological, palaeontological, ethnographic or numismatic interest; 0203 - Meat of swine, fresh, chilled or frozen; 020630 - Fresh or chilled edible offal of swine; 9601 - Worked ivory, bone, tortoise-shell, horn, antlers, coral, mother-of-pearl and other animal carving material, and articles of these material, incl. articles obtained by moulding, n.e.s.; 0103 - Live swine; 0209 - Pig fat, free of lean meat, and poultry fat, not rendered or otherwise extracted, fresh, chilled, frozen, salted, in brine, dried or smoked; 0511 - Animal products n.e.s.; dead animals of all types, unfit for human consumption; 160100 - Sausages and similar products, of meat, offal or blood; food preparations based on these products</t>
  </si>
  <si>
    <t>Animal diseases; Food safety; Animal health; Human health; Zoonoses; African swine fever (ASF)</t>
  </si>
  <si>
    <t>Côte d'Ivoire</t>
  </si>
  <si>
    <d:r xmlns:d="http://schemas.openxmlformats.org/spreadsheetml/2006/main">
      <d:rPr>
        <d:sz val="11"/>
        <d:rFont val="Calibri"/>
      </d:rPr>
      <d:t xml:space="preserve">https://members.wto.org/crnattachments/2019/SPS/RUS/19_6020_00_x.pdf</d:t>
    </d:r>
  </si>
  <si>
    <t>Letter of the Federal Service for the Veterinary and Phytosanitary No. FS-KS-7/25511 as of 26 September 2019</t>
  </si>
  <si>
    <t>This letter introduces a temporary restriction on import of live swine, meat of swine and products containing pork, embryos of swine and boar semen from the Republic of Korea due to the registration of outbreaks of ASF.</t>
  </si>
  <si>
    <t>0502 - Pigs', hogs' or boars' bristles and hair; badger hair and other brush making hair; waste of such bristles or hair; 1602 - Prepared or preserved meat, offal or blood (excl. sausages and similar products, and meat extracts and juices); 3101 - Animal or vegetable fertilizers, whether or not mixed together or chemically treated; fertilizers produced by the mixing or chemical treatment of animal or vegetable products (excl. those in pellet or similar forms, or in packages with a gross weight of &lt;= 10 kg); 410330 - Raw hides and skins of swine, fresh, or salted, dried, limed, pickled or otherwise preserved, whether or not dehaired or split (excl. parchment-dressed); 160100 - Sausages and similar products, of meat, offal or blood; food preparations based on these products; 0210 - Meat and edible offal, salted, in brine, dried or smoked; edible flours and meals of meat or meat offal; 2309 - Preparations of a kind used in animal feeding; 0103 - Live swine; 0209 - Pig fat, free of lean meat, and poultry fat, not rendered or otherwise extracted, fresh, chilled, frozen, salted, in brine, dried or smoked; 0511 - Animal products n.e.s.; dead animals of all types, unfit for human consumption; 0203 - Meat of swine, fresh, chilled or frozen; 020630 - Fresh or chilled edible offal of swine; 9601 - Worked ivory, bone, tortoise-shell, horn, antlers, coral, mother-of-pearl and other animal carving material, and articles of these material, incl. articles obtained by moulding, n.e.s.; 970500 - Collections and collector's pieces of zoological, botanical, mineralogical, anatomical, historical, archaeological, palaeontological, ethnographic or numismatic interest</t>
  </si>
  <si>
    <t>Animal diseases; Food safety; African swine fever (ASF); Zoonoses; Animal health; Human health</t>
  </si>
  <si>
    <t>Republic of Korea</t>
  </si>
  <si>
    <d:r xmlns:d="http://schemas.openxmlformats.org/spreadsheetml/2006/main">
      <d:rPr>
        <d:sz val="11"/>
        <d:rFont val="Calibri"/>
      </d:rPr>
      <d:t xml:space="preserve">https://members.wto.org/crnattachments/2019/SPS/RUS/19_6021_00_x.pdf
https://www.fsvps.ru/fsvps/laws/6807.html</d:t>
    </d:r>
  </si>
  <si>
    <t>Letter of the Federal Service for the Veterinary and Phytosanitary No. FS-SA-7/21044 of 13 August 2019</t>
  </si>
  <si>
    <t>This letter introduces a temporary restriction on import of live swine, meat of swine and products containing pork, embryos of swine and boar semen from Republic of Serbia.</t>
  </si>
  <si>
    <t>Live swine, meat of swine, meat and edible meat offal, swine embryos and boar' semen with the exception of prepared heat-treated goods of pork, prepared goods containing pork or raw materials of animal origin (from pork) for the feeds production (for non-productive animals and fur) animals with the use of technologies providing destruction of ASF in accordance with the provision of Chapter 15.1 of the OIE Terrestrial Animal Health Code.</t>
  </si>
  <si>
    <t>050210 - Pigs', hogs' or boars' bristles and waste of such bristles; 051110 - Bovine semen; 3101 - Animal or vegetable fertilizers, whether or not mixed together or chemically treated; fertilizers produced by the mixing or chemical treatment of animal or vegetable products (excl. those in pellet or similar forms, or in packages with a gross weight of &lt;= 10 kg); 410330 - Raw hides and skins of swine, fresh, or salted, dried, limed, pickled or otherwise preserved, whether or not dehaired or split (excl. parchment-dressed); 9705 - Collections and collector's pieces of zoological, botanical, mineralogical, anatomical, historical, archaeological, palaeontological, ethnographic or numismatic interest; 1602 - Prepared or preserved meat, offal or blood (excl. sausages and similar products, and meat extracts and juices); 0210 - Meat and edible offal, salted, in brine, dried or smoked; edible flours and meals of meat or meat offal; 2309 - Preparations of a kind used in animal feeding; 0103 - Live swine; 0209 - Pig fat, free of lean meat, and poultry fat, not rendered or otherwise extracted, fresh, chilled, frozen, salted, in brine, dried or smoked; 0511 - Animal products n.e.s.; dead animals of all types, unfit for human consumption; 1601 - Sausages and similar products, of meat, offal or blood; food preparations based on these products; 0203 - Meat of swine, fresh, chilled or frozen; 020630 - Fresh or chilled edible offal of swine; 9601 - Worked ivory, bone, tortoise-shell, horn, antlers, coral, mother-of-pearl and other animal carving material, and articles of these material, incl. articles obtained by moulding, n.e.s.</t>
  </si>
  <si>
    <t>Animal diseases; Food safety; African swine fever (ASF); Animal health; Human health; Zoonoses</t>
  </si>
  <si>
    <t>Serbia</t>
  </si>
  <si>
    <d:r xmlns:d="http://schemas.openxmlformats.org/spreadsheetml/2006/main">
      <d:rPr>
        <d:sz val="11"/>
        <d:rFont val="Calibri"/>
      </d:rPr>
      <d:t xml:space="preserve">https://www.fsvps.ru/fsvps/importExport/serbia/ivRestrictions.html</d:t>
    </d:r>
  </si>
  <si>
    <t>Letter of the Federal Service for Veterinary and Phytosanitary Surveillance No. FS-SA-3/19767 of 1 August 2019</t>
  </si>
  <si>
    <t>This letter introduces a temporary restriction on import of fresh apples, pears, quince, fresh apricots, cherries, peaches, nectarines, plums, sloes</t>
  </si>
  <si>
    <t>fresh apples, pears, quince, fresh apricots, cherries, peaches, nectarines, plums, sloes</t>
  </si>
  <si>
    <t>0809 - Apricots, cherries, peaches incl. nectarines, plums and sloes, fresh; 080930 - Fresh peaches, incl. nectarines; 080940 - Fresh plums and sloes; 080920 - Fresh cherries; 080910 - Fresh apricots</t>
  </si>
  <si>
    <t>Pests; Plant health</t>
  </si>
  <si>
    <d:r xmlns:d="http://schemas.openxmlformats.org/spreadsheetml/2006/main">
      <d:rPr>
        <d:sz val="11"/>
        <d:rFont val="Calibri"/>
      </d:rPr>
      <d:t xml:space="preserve">https://www.fsvps.ru/fsvps/importExport/china/restrictions.html</d:t>
    </d:r>
  </si>
  <si>
    <t>Letter of the Federal Service for Veterinary and Phytosanitary Surveillance No. FS-KS-7/20748 of 9 August 2019</t>
  </si>
  <si>
    <t>This letter introduced a temporary restriction on import of live swine, meat of swine, meat and edible meat offal, swine embryos and boar' semen from Slovak Republic and Republic of Bulgaria to the territory of the Russian Federation due to ASF outbreaks.</t>
  </si>
  <si>
    <t>Live swine, meat of swine, meat and edible meat offal, swine embryos and boar' semen</t>
  </si>
  <si>
    <t>0203 - Meat of swine, fresh, chilled or frozen; 020630 - Fresh or chilled edible offal of swine; 0103 - Live swine; 0511 - Animal products n.e.s.; dead animals of all types, unfit for human consumption</t>
  </si>
  <si>
    <t>African swine fever (ASF); Pest- or Disease- free Regions / Regionalization; Zoonoses; Food safety; Human health</t>
  </si>
  <si>
    <t>Slovak Republic, Republic of Bulgaria</t>
  </si>
  <si>
    <d:r xmlns:d="http://schemas.openxmlformats.org/spreadsheetml/2006/main">
      <d:rPr>
        <d:sz val="11"/>
        <d:rFont val="Calibri"/>
      </d:rPr>
      <d:t xml:space="preserve">https://www.fsvps.ru/fsvps/importExport/slovakia/ivRestrictions.html</d:t>
    </d:r>
  </si>
  <si>
    <t>Draft Decision of the Eurasian Economic Commission Collegium on amendments to the form of a veterinary health certificate for breeding and commercial cattle exported to the customs territory of the Eurasian Economic Union</t>
  </si>
  <si>
    <t>The draft provides for the reduction of the list of requirements on imports of breeding and commercial cattle into the territory of the Eurasian Economic Union.</t>
  </si>
  <si>
    <d:r xmlns:d="http://schemas.openxmlformats.org/spreadsheetml/2006/main">
      <d:rPr>
        <d:sz val="11"/>
        <d:rFont val="Calibri"/>
      </d:rPr>
      <d:t xml:space="preserve">https://members.wto.org/crnattachments/2019/SPS/RUS/19_3442_00_x.pdf
https://docs.eaeunion.org/ria/ru-ru/0103594/ria_14062019</d:t>
    </d:r>
  </si>
  <si>
    <t>Drafts of the Eurasian Economic Commission Collegium Decisions on amendments to Chapter 33 of the Regulation on Common veterinary (sanitary and veterinary) requirements for goods subject to veterinary control (survailance) and on amendments to the Decision of the Customs Union Commission No. 607 of 7 April 2011</t>
  </si>
  <si>
    <t>The drafts provide for the change in the conditions for importation of hides, horn and hoof, intestines, furs, sheep pelt, lambskin, wool, goat down hair, bristle. horsehair, and chicken, duck, goose and other poultry feathers and down feathers to the Eurasian Economic Union.</t>
  </si>
  <si>
    <d:r xmlns:d="http://schemas.openxmlformats.org/spreadsheetml/2006/main">
      <d:rPr>
        <d:sz val="11"/>
        <d:rFont val="Calibri"/>
      </d:rPr>
      <d:t xml:space="preserve">https://members.wto.org/crnattachments/2019/SPS/RUS/19_3443_00_x.pdf
https://docs.eaeunion.org/ria/ru-ru/0103504/ria_23042019</d:t>
    </d:r>
  </si>
  <si>
    <t>Draft Amendments No. 1 to the technical regulation of the Customs Union "On the safety of equipment for explosive environments" (ТR CU 012/2011)</t>
  </si>
  <si>
    <t>Draft Amendments No. 1 to the technical regulation of the Customs Union "On the safety of equipment for explosive environments" provides additional technical regulation requirements for cable products and electronic devices used in dangerous minery for gas methane</t>
  </si>
  <si>
    <t>73.100.99 - Other mining equipment</t>
  </si>
  <si>
    <t>Draft Amendments No. 1 to the technical regulation of the Customs Union "On the safety of equipment for explosive environments" (ТR CU 012/2011): https://docs.eaeunion.org/pd/ru-ru/0103716/pd_11042019Technical regulation of the Customs Union "On the safety of equipment for explosive environments" (ТR CU 012/2011: http://www.eurasiancommission.org/ru/act/texnreg/deptexreg/tr/Documents/P_825_1.pdf</t>
  </si>
  <si>
    <t>Letter of the Federal Service for Veterinary and Phytosanitary Surveillance No. FS-NV-7/7808 as of 28 March 2019</t>
  </si>
  <si>
    <t>Due to the fact that the Russian Federation is in the process of obtaining official OIE status as a country with controlled BSE risk status, this letter introduces a temporary restriction on imports of products derived from cattle except products noted in item 1 Article 11.4.1 of the Terrestrial Animal Health Code from countries without an OIE official BSE risk status in accordance with the Decision of the CU Commission of 22 June 2011 N° 721 "On application of international standards, recommendations and guidance".</t>
  </si>
  <si>
    <t>Products derived from cattle except noted in item 1 Article 11.4.1 of the Terrestrial Animal Health Code</t>
  </si>
  <si>
    <t>Animal diseases; Food safety; Animal health; Human health; Bovine Spongiform Encephalopathy (BSE)</t>
  </si>
  <si>
    <d:r xmlns:d="http://schemas.openxmlformats.org/spreadsheetml/2006/main">
      <d:rPr>
        <d:sz val="11"/>
        <d:rFont val="Calibri"/>
      </d:rPr>
      <d:t xml:space="preserve">https://members.wto.org/crnattachments/2019/SPS/RUS/19_1979_00_x.pdf
https://www.fsvps.ru/fsvps/laws/6464.html</d:t>
    </d:r>
  </si>
  <si>
    <t>Draft Amendments No. 5 to the Customs Union Technical Regulation "On Safety of Food Products" (CU/TR 021/2011)</t>
  </si>
  <si>
    <t xml:space="preserve">Draft Amendments No. 5 to the Customs Union Technical Regulation "On Safety of Food Products" (CU TR 021/2011) are elaborated in accordance with the Plan of development of technical regulations of the Eurasian Economic Union and amendments to the technical regulations of the Customs Union, approved by the decision of the Council of the Eurasian Economic Commission of 1 October 2014 N° 79 (as amended by the decision of the Council of the Eurasian Economic Commission of 12 February 2016 N° 43)._x000D_
_x000D_
Draft amendments No. 5 to the Customs Union Technical Regulation "On Safety of Food Products" (CU TR 021/2011) are formulated to bring it in accordance with the Treaty on the Eurasian Economic Union of 29 May 2014 regarding the exclusion of state supervision (control) as a form of conformity assessment, and clarification of the definition of "process of production (manufacturing) of food products”.</t>
  </si>
  <si>
    <t>Food products; related to the requirements for food products processes of production (manufacturing), storage, transportation, sale and disposal</t>
  </si>
  <si>
    <t>Protection of human health or safety (TBT); Harmonization (TBT); Reducing trade barriers and facilitating trade (TBT)</t>
  </si>
  <si>
    <d:r xmlns:d="http://schemas.openxmlformats.org/spreadsheetml/2006/main">
      <d:rPr>
        <d:sz val="11"/>
        <d:rFont val="Calibri"/>
      </d:rPr>
      <d:t xml:space="preserve">https://docs.eaeunion.org/pd/ru-ru/0103428/pd_17012019</d:t>
    </d:r>
  </si>
  <si>
    <t>Draft AmendmentsNo. 5 to the Customs Union Technical Regulation "On Safety of Food Products" (CU TR 021/2011) https://docs.eaeunion.org/pd/ru-ru/0103428/pd_17012019Customs Union Technical Regulation "On Safety of Food Products" (CU TR 021/2011) http://www.eurasiancommission.org/ru/act/texnreg/deptexreg/tr/Pages/PischevayaProd.aspx</t>
  </si>
  <si>
    <t>Drafts of the Eurasian Economic Commission Collegium Decisions on amendments to the Regulation on Common veterinary (sanitary and veterinary) requirements for goods subject to veterinary control (surveillance) and on amendments to the Decision of the Customs Union Commission No. 607 of 7 April 2011</t>
  </si>
  <si>
    <t>The drafts provide for the determination of veterinary measures for the goods mentioned in point 3 imported into the territory of the Eurasian Economic Union.</t>
  </si>
  <si>
    <t>Goods (products) subject to veterinary control - Food preparations of goods of headings 0401 to 0404 of the Common Commodity Nomenclature of Foreign Economic Activity of the Eurasian Economic Union (CN of FEA of the EAEU) not containing or containing, by weight, less than 1.5% milkfats, excluding food preparations in powder form of goods of headings 0401 to 0404 of CN of FEA of the EAEU; Food preparations of goods of headings 0401 to 0404 of CN of FEA of the EAEU containing 1.5% or more by weight of milkfats excluding food preparations in powder form of goods of headings 0401 to 0404 of CN of FEA of the EAEU, not specified in other CN of FEA of the EAEU headings or included to them; Food preparations containing vegetable fats or oils containing less than 1.5% by weight of milkfats; Human grade food mixtures or preparations of animal or vegetable fats or oils or fractions thereof, containing over 15% of milk fat by weight; Cheese fondue; Food preparations containing milk components not specified in other CN of FEA of the EAEU headings or included to themHS Codes - from 1901 90 910 0; from 1901 90 990 04; from 2106 90 920 0; from 2106 90 980 4; 2106 90 980 5; from 2106 90 980 9</t>
  </si>
  <si>
    <t>210690 - Food preparations, n.e.s.; 190190 - Malt extract; food preparations of flour, groats, meal, starch or malt extract, not containing cocoa or containing &lt; 40% by weight of cocoa calculated on a totally defatted basis, n.e.s. and food preparations of milk, cream, butter milk, sour milk, sour cream, whey, yoghourt, kefir or similar goods of heading 0401 to 0404, not containing cocoa or containing &lt; 5% by weight of cocoa calculated on a totally defatted basis, n.e.s. (excl. for infant use, put up for retail sale, and mixes and doughs for the preparation of bakers' wares of heading 1905)</t>
  </si>
  <si>
    <t>Food safety; Human health</t>
  </si>
  <si>
    <d:r xmlns:d="http://schemas.openxmlformats.org/spreadsheetml/2006/main">
      <d:rPr>
        <d:sz val="11"/>
        <d:rFont val="Calibri"/>
      </d:rPr>
      <d:t xml:space="preserve">https://members.wto.org/crnattachments/2019/SPS/RUS/19_0735_00_x.pdf
https://docs.eaeunion.org/ria/ru-ru/0103315/ria_05022019</d:t>
    </d:r>
  </si>
  <si>
    <t>Letter of the Federal Service for the Veterinary and Phytosanitary Surveillance No. FS-KS-7/2243 as of 31 January 2019</t>
  </si>
  <si>
    <t xml:space="preserve">This letter introduces a temporary restriction on imports of products from Morocco mentioned in point 3 to the territory of the Russian Federation and transit of live animals susceptible to FMD through the territory of the Russian Federation originating from Morocco due to the registration of outbreaks of FMD._x000D_
_x000D_
_x000D_
A temporary restriction is imposed on:_x000D_
- live animals susceptible to FMD; _x000D_
- genetic material (except selected in vivo in accordance with the provisions of Article 8.8.17 of the OIE Terrestrial Animal Health Code); _x000D_
- raw meat and meat products, not heat-treated, that guarantee the destruction of the FMD virus (in accordance with the Article 8.8.31 of the OIE Terrestrial Animal Health Code); _x000D_
- milk and milk products, not heat-treated, that guarantee the destruction of the FMD virus (in accordance with the Article 8.8.35); _x000D_
- wool, hair, bristles, trophies, raw intestines, hides and skins, untreated by technology that guarantees the destruction of the FMD virus (in accordance with the Articles 8.8.32, 8.8.33, 8.8.34, 8.8.37, 8.8.38 of the OIE Terrestrial Animal Health Code).</t>
  </si>
  <si>
    <t>Live animals susceptible to FMD; genetic material (except selected in vivo); Raw meat and meat products, not heat-treated; Milk and milk products, not heat-treated; Wool, hair, bristles, trophies, raw intestines, hides and skins, untreated by technology - HS Codes: 0102, 0103, 0104,0106, 0201, 0202, 0203,0204,0206, 0208, 0209,0210, 0410 00 000 0, 0504 00 000 0, 1506 00 000 0, 1511, 1501, 1502, 1503 00, 1505, 1516 10, 1518 00, 1601 00, 1602, 1603 00, 1902 20, 1904 20, 0401, 0402, 0403, 0404, 0405, 0406, 0410 00 000 0, 0511, 1506 00 000 0, 1516 10, 1518 00, 2105 00, 2106, 3501, 0502, 0506, 0507, 0510 00 000 0, 0511, 4101, 4102, 4103, 4301, 5101, 5102, 5103, 9705 00 000 0, 0504 00 000 0, 9601, 9705 00 000 0</t>
  </si>
  <si>
    <t>0206 - Edible offal of bovine animals, swine, sheep, goats, horses, asses, mules or hinnies, fresh, chilled or frozen;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160300 - Extracts and juices of meat, fish or crustaceans, molluscs and other aquatic invertebrates; 5101 - Wool, neither carded nor combed; 5102 - Fine or coarse animal hair, neither carded nor combed (excl. wool, hair and bristles used in the manufacture of brooms and brushes, and horsehair from the mane or tail); 9705 - Collections and collector's pieces of zoological, botanical, mineralogical, anatomical, historical, archaeological, palaeontological, ethnographic or numismatic interest;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050400 - Guts, bladders and stomachs of animals (other than fish), whole and pieces thereof, fresh, chilled, frozen, salted, in brine, dried or smoked; 051000 - Ambergris, castoreum, civet and musk; cantharides; bile, whether or not dried; glands and other animal products used in the preparation of pharmaceutical products, fresh, chilled, frozen or otherwise provisionally preserved; 0511 - Animal products n.e.s.; dead animals of all types, unfit for human consumption; 150300 - Lard stearin, lard oil, oleostearin, oleo-oil and tallow oil (excl. emulsified, mixed or otherwise prepared); 151610 - Animal fats and oils and their fractions, partly or wholly hydrogenated, inter-esterified, re-esterified or elaidinized, whether or not refined, but not further prepared; 0104 - Live sheep and goats; 0204 - Meat of sheep or goats, fresh, chilled or frozen; 0406 - Cheese and curd; 0504 - Guts, bladders and stomachs of animals (other than fish), whole and pieces thereof, fresh, chilled, frozen, salted, in brine, dried or smoked; 1501 - Pig fat, incl. lard, and poultry fat, rendered or otherwise extracted (excl. lard stearin and lard oil); 1502 - Fats of bovine animals, sheep or goats (excl. lard stearin, lard oil, oleostearin, oleooil and tallow oil, not emulsified or mixed or otherwise prepared); 190220 - Pasta, stuffed with meat or other substances, whether or not cooked or otherwise prepared; 0506 - Bones and horn-cores and their powder and waste, unworked, defatted, simply prepared, treated with acid or degelatinised (excl. cut to shape); 4101 - Raw hides and skins of bovine "incl. buffalo" or equine animals, fresh, or salted, dried, limed, pickled or otherwise preserved, whether or not dehaired or split (excl. tanned, parchment-dressed or further prepared); 4301 - Raw furskins, incl. heads, tails, paws and other pieces or cuttings suitable for use in furriery (excl. raw hides and skins of heading 4101, 4102 or 4103);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1602 - Prepared or preserved meat, offal or blood (excl. sausages and similar products, and meat extracts and juices); 3501 - Casein, caseinates and other casein derivatives; casein glues (excl. those packaged as glue for retail sale and weighing &lt;= 1 kg); 0203 - Meat of swine, fresh, chilled or frozen; 0410 - Turtles' eggs, birds' nests and other edible products of animal origin, n.e.s.; 2106 - Food preparations, n.e.s.; 9601 - Worked ivory, bone, tortoise-shell, horn, antlers, coral, mother-of-pearl and other animal carving material, and articles of these material, incl. articles obtained by moulding, n.e.s.; 970500 - Collections and collector's pieces of zoological, botanical, mineralogical, anatomical, historical, archaeological, palaeontological, ethnographic or numismatic interest; 0208 - Meat and edible offal of rabbits, hares, pigeons and other animals, fresh, chilled or frozen (excl. of bovine animals, swine, sheep, goats, horses, asses, mules, hinnies, poultry "fowls of the species Gallus domesticus", ducks, geese, turkeys and guinea fowls); 0401 - Milk and cream, not concentrated nor containing added sugar or other sweetening matter; 0402 - Milk and cream, concentrated or containing added sugar or other sweetening matter; 041000 - Turtles' eggs, birds' nests and other edible products of animal origin, n.e.s.; 1505 - Wool grease and fatty substances derived therefrom, incl. lanolin;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4102 - Raw skins of sheep or lambss, fresh, or salted, dried, limed, pickled or otherwise preserved, whether or not dehaired or split (excl. those with wool on, fleeces of Astrakhan, Caracul, Persian, Broadtail or similar lambs, or of Indian, Chinese, Mongolian or Tibetan lambs and tanned, parchment-dressed or further prepared); 5103 - Waste of wool or of fine or coarse animal hair, incl. yarn waste (excl. garnetted stock, waste of hair and bristles used in the manufacture of brooms and brushes, and of horsehair from the mane or tail);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1516 - Animal or vegetable fats and oils and their fractions, partly or wholly hydrogenated, inter-esterified, re-esterified or elaidinized, whether or not refined, but not further prepared; 190420 - Prepared foods obtained from unroasted cereal flakes or from mixtures of unroasted cereal flakes and roasted cereal flakes or swelled cereals; 210500 - Ice cream and other edible ice, whether or not containing cocoa;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t>
  </si>
  <si>
    <t>Foot and mouth disease; Animal health; Human health; Animal diseases; Food safety</t>
  </si>
  <si>
    <d:r xmlns:d="http://schemas.openxmlformats.org/spreadsheetml/2006/main">
      <d:rPr>
        <d:sz val="11"/>
        <d:rFont val="Calibri"/>
      </d:rPr>
      <d:t xml:space="preserve">https://members.wto.org/crnattachments/2019/SPS/RUS/19_0707_00_x.pdf
http://www.fsvps.ru/fsvps/laws/6338.html</d:t>
    </d:r>
  </si>
  <si>
    <t>Letter of the Federal Service for the Veterinary and Phytosanitary Surveillance No. FS-KS-7/2288 as of 31 January 2019</t>
  </si>
  <si>
    <t>This letter introduces a temporary restriction on imports of products mentioned in point 3 from three German States - Baden-Württemberg, Rhineland-Palatinate and Saarland, to the territory of the Russian Federation due to the registration of blutongue disease outbreaks.</t>
  </si>
  <si>
    <t>Cattle; small cattle; wild, zoo and circus animals susceptible to bluetongue, camels and other members of the camel family - llamas, alpacas, vicunas; sperm of bulls, sheep and goat-producers; in vitro large and small cattle embryos - HS Codes: 0102; 0104; 0106; 0511 99 853; 0511 99 852</t>
  </si>
  <si>
    <t>0104 - Live sheep and goats; 0102 - Live bovine animals; 0106 - Live animals (excl. horses, asses, mules, hinnies, bovine animals, swine, sheep, goats, poultry, fish, crustaceans, molluscs and other aquatic invertebrates, and microorganic cultures etc.); 051199 - Products of animal origin, n.e.s., dead animals, unfit for human consumption (excl. fish, crustaceans, molluscs or other aquatic invertebrates)</t>
  </si>
  <si>
    <t>Animal diseases; Bluetongue; Animal health; Pest- or Disease- free Regions / Regionalization</t>
  </si>
  <si>
    <t>Baden-Württemberg, Rhineland-Palatinate and Saarland States of Germany</t>
  </si>
  <si>
    <d:r xmlns:d="http://schemas.openxmlformats.org/spreadsheetml/2006/main">
      <d:rPr>
        <d:sz val="11"/>
        <d:rFont val="Calibri"/>
      </d:rPr>
      <d:t xml:space="preserve">https://members.wto.org/crnattachments/2019/SPS/RUS/19_0676_00_x.pdf
http://www.fsvps.ru/fsvps/laws/6337.html</d:t>
    </d:r>
  </si>
  <si>
    <t>The comment period has been extended to 10 March 2019.</t>
  </si>
  <si>
    <t>Food additives, complex food additives, flavors, technological aids, food products in terms of the content of food additives in it, biologically active substances from flavors, residual quantities of technological aids</t>
  </si>
  <si>
    <t>67.220.20 - Food additives; 67.220.20 - Food additives</t>
  </si>
  <si>
    <t>Products for children and adolescents</t>
  </si>
  <si>
    <t>Draft Amendments to the Customs Union Technical Regulation «On safety of products for children and adolescents» (CU TR 007/2011)</t>
  </si>
  <si>
    <t>Clarification of technical regulation's scope in relation to the products of the sports range, increase in mass of semi-pair of shoes, providing the toxicological tests of children's toothbrushes with alternative methods in vitro.</t>
  </si>
  <si>
    <d:r xmlns:d="http://schemas.openxmlformats.org/spreadsheetml/2006/main">
      <d:rPr>
        <d:sz val="11"/>
        <d:rFont val="Calibri"/>
      </d:rPr>
      <d:t xml:space="preserve">www.eurasiancommission.org
</d:t>
    </d:r>
  </si>
  <si>
    <t>Draft Amendments to the Customs UnionTechnical Regulation «On safety of products for children and adolescents(CU TR 0072011http://www.eurasiancommission.org/ru/act/texnreg/deptexreg/tr/Pages/projectsPublic.aspxThe Customs UnionTechnical Regulation «On safety of products for children and adolescents(CU TR 0072011) http://www.eurasiancommission.org/ru/act/texnreg/deptexreg/tr/Pages/bezopDeti.aspx</t>
  </si>
  <si>
    <t>Letter of the Federal Service for the Veterinary and Phytosanitary Surveillance No. FS-KS-7/26740 as of 23 October 2018</t>
  </si>
  <si>
    <t xml:space="preserve">This letter introduces a temporary restriction on imports of products from Colombia mentioned in point 3 to the territory of the Russian Federation and transit of live animals susceptible to FMD through the territory of the Russian Federation originating from the territory of Colombia due to the registration of outbreaks of FMD._x000D_
A temporary restriction is imposed on live animals susceptible to FMD; genetic material (except selected in vivo in accordance with the provisions of Article 8.8.17 of the OIE Terrestrial Animal Health Code); raw meat and meat products, not heat-treated, that guarantee the destruction of the FMD virus (in accordance with the Article 8.8.31 of the OIE Terrestrial Animal Health Code); milk and milk products, not heat-treated, that guarantee the destruction of the FMD virus (in accordance with the Article 8.8.35); wool, hair, bristles, trophies, raw intestines, hides and skins, untreated by technology that guarantees the destruction of the FMD virus (in accordance with the Articles 8.8.32, 8.8.33, 8.8.34, 8.8.37, 8.8.38 of the OIE Terrestrial Animal Health Code).</t>
  </si>
  <si>
    <t>Live animals susceptible to FMD; genetic material (except selected in vivo); raw meat and meat products, not heat-treated; milk and milk products, not heat-treated; wool, hair, bristles, trophies, raw intestines, hides and skins, untreated by technology - HS Codes: 0102, 0103, 0104,0106, 0201, 0202, 0203,0204,0206, 0208, 0209,0210, 0410 00 000 0, 0504 00 000 0, 1506 00 000 0, 1511, 1501, 1502, 1503 00, 1505, 1516 10, 1518 00, 1601 00, 1602, 1603 00, 1902 20, 1904 20, 0401, 0402, 0403, 0404, 0405, 0406, 0410 00 000 0, 0511, 1506 00 000 0, 1516 10, 1518 00, 2105 00, 2106, 3501, 0502, 0506, 0507, 0510 00 000 0, 0511, 4101, 4102, 4103, 4301, 5101, 5102, 5103, 9705 00 000 0, 0504 00 000 0, 9601, 9705 00 000 0</t>
  </si>
  <si>
    <t>0104 - Live sheep and goats; 0204 - Meat of sheep or goats, fresh, chilled or frozen; 0208 - Meat and edible offal of rabbits, hares, pigeons and other animals, fresh, chilled or frozen (excl. of bovine animals, swine, sheep, goats, horses, asses, mules, hinnies, poultry "fowls of the species Gallus domesticus", ducks, geese, turkeys and guinea fowls); 0401 - Milk and cream, not concentrated nor containing added sugar or other sweetening matter; 0203 - Meat of swine, fresh, chilled or frozen; 0103 - Live swine; 0201 - Meat of bovine animals, fresh or chilled; 0202 - Meat of bovine animals, frozen; 0209 - Pig fat, free of lean meat, and poultry fat, not rendered or otherwise extracted, fresh, chilled, frozen, salted, in brine, dried or smoked;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150600 -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5101 - Wool, neither carded nor combed; 5102 - Fine or coarse animal hair, neither carded nor combed (excl. wool, hair and bristles used in the manufacture of brooms and brushes, and horsehair from the mane or tail); 9705 - Collections and collector's pieces of zoological, botanical, mineralogical, anatomical, historical, archaeological, palaeontological, ethnographic or numismatic interest; 0402 - Milk and cream, concentrated or containing added sugar or other sweetening matter; 1505 - Wool grease and fatty substances derived therefrom, incl. lanolin;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160100 - Sausages and similar products, of meat, offal or blood; food preparations based on these products; 4102 - Raw skins of sheep or lambss, fresh, or salted, dried, limed, pickled or otherwise preserved, whether or not dehaired or split (excl. those with wool on, fleeces of Astrakhan, Caracul, Persian, Broadtail or similar lambs, or of Indian, Chinese, Mongolian or Tibetan lambs and tanned, parchment-dressed or further prepared); 5103 - Waste of wool or of fine or coarse animal hair, incl. yarn waste (excl. garnetted stock, waste of hair and bristles used in the manufacture of brooms and brushes, and of horsehair from the mane or tail); 190420 - Prepared foods obtained from unroasted cereal flakes or from mixtures of unroasted cereal flakes and roasted cereal flakes or swelled cereals; 210500 - Ice cream and other edible ice, whether or not containing cocoa;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1602 - Prepared or preserved meat, offal or blood (excl. sausages and similar products, and meat extracts and juices); 3501 - Casein, caseinates and other casein derivatives; casein glues (excl. those packaged as glue for retail sale and weighing &lt;= 1 kg); 0410 - Turtles' eggs, birds' nests and other edible products of animal origin, n.e.s.; 1603 - Extracts and juices of meat, fish or crustaceans, molluscs and other aquatic invertebrates; 2106 - Food preparations, n.e.s.; 9601 - Worked ivory, bone, tortoise-shell, horn, antlers, coral, mother-of-pearl and other animal carving material, and articles of these material, incl. articles obtained by moulding, n.e.s.; 970500 - Collections and collector's pieces of zoological, botanical, mineralogical, anatomical, historical, archaeological, palaeontological, ethnographic or numismatic interest; 0406 - Cheese and curd; 0504 - Guts, bladders and stomachs of animals (other than fish), whole and pieces thereof, fresh, chilled, frozen, salted, in brine, dried or smoked; 1501 - Pig fat, incl. lard, and poultry fat, rendered or otherwise extracted (excl. lard stearin and lard oil); 1502 - Fats of bovine animals, sheep or goats (excl. lard stearin, lard oil, oleostearin, oleooil and tallow oil, not emulsified or mixed or otherwise prepared); 190220 - Pasta, stuffed with meat or other substances, whether or not cooked or otherwise prepared; 0506 - Bones and horn-cores and their powder and waste, unworked, defatted, simply prepared, treated with acid or degelatinised (excl. cut to shape); 4101 - Raw hides and skins of bovine "incl. buffalo" or equine animals, fresh, or salted, dried, limed, pickled or otherwise preserved, whether or not dehaired or split (excl. tanned, parchment-dressed or further prepared); 4301 - Raw furskins, incl. heads, tails, paws and other pieces or cuttings suitable for use in furriery (excl. raw hides and skins of heading 4101, 4102 or 4103);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050400 - Guts, bladders and stomachs of animals (other than fish), whole and pieces thereof, fresh, chilled, frozen, salted, in brine, dried or smoked; 051000 - Ambergris, castoreum, civet and musk; cantharides; bile, whether or not dried; glands and other animal products used in the preparation of pharmaceutical products, fresh, chilled, frozen or otherwise provisionally preserved; 0511 - Animal products n.e.s.; dead animals of all types, unfit for human consumption; 150300 - Lard stearin, lard oil, oleostearin, oleo-oil and tallow oil (excl. emulsified, mixed or otherwise prepared); 151610 - Animal fats and oils and their fractions, partly or wholly hydrogenated, inter-esterified, re-esterified or elaidinized, whether or not refined, but not further prepared</t>
  </si>
  <si>
    <t>Animal diseases; Foot and mouth disease; Animal health</t>
  </si>
  <si>
    <t>Colombia</t>
  </si>
  <si>
    <d:r xmlns:d="http://schemas.openxmlformats.org/spreadsheetml/2006/main">
      <d:rPr>
        <d:sz val="11"/>
        <d:rFont val="Calibri"/>
      </d:rPr>
      <d:t xml:space="preserve">https://members.wto.org/crnattachments/2018/SPS/RUS/18_6546_00_x.pdf</d:t>
    </d:r>
  </si>
  <si>
    <t>Draft Amendments No. 2 to the Technical Regulation of the Customs Union "Safety Requirements for Food Additives, Flavors and Technological Aids"</t>
  </si>
  <si>
    <t>Draft Amendments No. 2 to the Technical Regulation of the Customs Union "Safety Requirements for Food Additives, Flavors and Technological Aids" (TR CU 029/2012) (hereinafter  - Draft Amendments No. 2, (TR CU 029/2012) apply to food additives, flavors and technological aids of the Eurasian Economic Union, as well as food products containing them, include changes to the definitions of the terms "food flavoring", "natural flavoring substance", "complex food additive", "carrier", "technological aid", "traditional methods of food production", "table sweetener", "contrast amplifier", provides for separate new terms, contains editorial changes and establishes additional requirements:- to the safety of food additives, flavors and technological aids, as well as their use in the manufacture of food products;- to labelling, conformity assessment, production processes (manufacturing), storage, transportation (transportation), sale and disposal of food additives, flavorsand technological aids;- to the list of food additives allowed for use in the manufacture of food products;- to the hygienic standards for the use of anti-caking agents, antioxidants, flour treatment agents, glazers, acids and acidity regulators, preservatives, dyes, carriers, sweeteners, propellants and packaging gases, flavor and aroma enhancers, brightening filter materials, flocculants and sorbents , catalysts, extraction and technological solvents, nutrients (top dressing) for yeast, auxiliary agents with other technological functions, food additives to food products for baby food and for infants;- to food products, the production of which the use of dyes is not allowed, and in the production of which certain dyes are allowed;- to the list of flavoring chemicals permitted for use in the production of food flavors;- to permissible levels of biologically active substances in food products through the use of plant materials and flavors from plant materials;- to enzyme preparations permitted for use in the manufacture of food products.Draft Amendments No. 2 have been prepared for:- protection of life and health of people and prevention of actions misleading consumers of food additives, flavors and technological aids;- reducing the risk of falsification of food additives, flavors and technological aids, increasing the export potential of the producers of the Eurasian Economic Union member states, excluding the possibility of a double interpretation of certain provisions of the TR CU 029/2012;- harmonization of the requirements of the TR CU 029/2012  with the current requirements of the relevant international Codex Alimentarius standards, harmonization of the requirements of TR CU 029/2012 and Unified sanitary-epidemiological and hygienic requirements for goods subject to sanitary-epidemiological supervision (control), approved by the Decision of the Commission of the Customs Union of May 28, 2010 No. 299.</t>
  </si>
  <si>
    <t>67.220.20 - Food additives</t>
  </si>
  <si>
    <t>Draft  Amendments No. 2 to the Technical Regulation of the Customs Union “Safety Requirements for Food Additives, Flavors and Technological Aids” (TR CU 029/2012) https://docs.eaeunion.org/pd/ru-ru/0103370/pd_17122018Technical Regulation of the Customs Union "Safety Requirements for Food Additives, Flavors and Technological Aids" (TR CU 029/2012) http://www.eurasiancommission.org/ru/act/texnreg/deptexreg/tr/Pages/bezopPischDobavok.aspx</t>
  </si>
  <si>
    <t>Draft Decision of the Eurasian Economic Commission Collegium on amendments to Annex 1 to the Regulation on Common veterinary (sanitary and veterinary) requirements for goods (products) subject to veterinary control (surveilance).</t>
  </si>
  <si>
    <t>The Draft provides for the determination of veterinary measures for "lysine and its esters, salts thereof" (code of the Common Commodity Nomenclature of Foreign Economic Activity of the Eurasian Economic Union 2922 41) imported into the territory of the Eurasian Economic Union.</t>
  </si>
  <si>
    <d:r xmlns:d="http://schemas.openxmlformats.org/spreadsheetml/2006/main">
      <d:rPr>
        <d:sz val="11"/>
        <d:rFont val="Calibri"/>
      </d:rPr>
      <d:t xml:space="preserve">https://docs.eaeunion.org/ria/ru-ru/0103232/ria_06112018</d:t>
    </d:r>
  </si>
  <si>
    <t>Letter of the Federal Service for Veterinary and Phytosanitary Surveillance as of 17 September 2018 No. FS-KS-7/23004</t>
  </si>
  <si>
    <t>Due to improvement of low epizootic situation with avian influenza in Sweden, the Russian Federation abolishes provisional import restriction on live poultry, hatching eggs, prepared poultry meat products and all kind of poultry-farming products, containing products of poultry processing.</t>
  </si>
  <si>
    <t>Live poultry, hatching eggs, prepared poultry meat products and all kind of poultry-farming products, containing products of poultry processing</t>
  </si>
  <si>
    <t>0207 - Meat and edible offal of fowls of the species Gallus domesticus, ducks, geese, turkeys and guinea fowls, fresh, chilled or frozen; 0105 - Live poultry, "fowls of the species Gallus domesticus, ducks, geese, turkeys and guinea fowls"; 0407 - Birds' eggs, in shell, fresh, preserved or cooked</t>
  </si>
  <si>
    <t>Zoonoses; Animal health; Human health; Pest- or Disease- free Regions / Regionalization; Animal diseases; Food safety; Avian Influenza</t>
  </si>
  <si>
    <d:r xmlns:d="http://schemas.openxmlformats.org/spreadsheetml/2006/main">
      <d:rPr>
        <d:sz val="11"/>
        <d:rFont val="Calibri"/>
      </d:rPr>
      <d:t xml:space="preserve">https://members.wto.org/crnattachments/2018/SPS/RUS/18_5647_00_x.pdf
http://www.fsvps.ru/fsvps/laws/6031.html</d:t>
    </d:r>
  </si>
  <si>
    <t>Letter of the Federal Service for the Veterinary and Phytosanitary No. FS-KS-7/17569 as of 20 July 2018</t>
  </si>
  <si>
    <t>This letter introduces a temporary restriction on import of life poultry and poultry products from France (Val d'Oise department only) mentioned in point 3 due to the outbreak of low pathogenic avian influenza and from Belgium due to the outbreak of the Newcastle disease.</t>
  </si>
  <si>
    <t xml:space="preserve">Life poultry and hatching egg from France, the Val d'Oise department only. (HS Code(s): 0105, 0106, 9508100000, 9705000000). _x000D_
Life poultry and hatching egg, poultry meat and poultry processed products not heat-treated (at least 70 °C), feeds and feed additives for poultry (with the exception of feed additives of vegetable origin, chemical and microbiological synthesis), used equipment and supplies for transportation, breeding, stock keeping, slaughtering and cutting of poultry from Belgium (HS Code(s): 0105, 0106, 0207, 0208, 0209, 0210, 0407, 0408, 0410000000, 0510000000, 0504000000, 0505, 0507, 1501, 0511, 150300, 1506000000, 151610, 151800, 160100, 1602, 160300, 190220, 190420, 2104, 2106, 2309, 2301, 2309, 3101000000, 3502, 350400, 3507, 4206000000, 9508100000 and 9705000000).</t>
  </si>
  <si>
    <t>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2104 - Soups and broths and preparations therefor; food preparations consisting of finely homogenized mixtures of two or more basic ingredients such as meat, fish, vegetables or fruit, put up for retail sale as infant food or for dietetic purposes, in containers of &lt;= 250 g; 3101 - Animal or vegetable fertilizers, whether or not mixed together or chemically treated; fertilizers produced by the mixing or chemical treatment of animal or vegetable products (excl. those in pellet or similar forms, or in packages with a gross weight of &lt;= 10 kg);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1902 - Pasta, whether or not cooked or stuffed with meat or other substances or otherwise prepared, such as spaghetti, macaroni, noodles, lasagne, gnocchi, ravioli, cannelloni; couscous, whether or not prepared; 1904 - Prepared foods obtained by the swelling or roasting of cereals or cereal products, e.g. corn flakes; cereals (other than maize "corn") in grain form or in the form of flakes or other worked grains (except flour, groats and meal), pre-cooked or otherwise prepared, n.e.s.; 0507 - Ivory, tortoise-shell, whalebone and whalebone hair, horns, antlers, hooves, nails, claws and beaks, unworked or simply prepared; powder and waste of these products (excl. cut to shape);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1602 - Prepared or preserved meat, offal or blood (excl. sausages and similar products, and meat extracts and juices); 3502 - Albumins, incl. concentrates of two or more whey proteins containing by weight &gt; 80% whey proteins, calculated on the dry matter, albuminates and other albumin derivatives; 3507 - Enzymes; prepared enzymes, n.e.s.;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0510 - Ambergris, castoreum, civet and musk; cantharides; bile, whether or not dried; glands and other animal products used in the preparation of pharmaceutical products, fresh, chilled, frozen or otherwise provisionally preserved; 1516 - Animal or vegetable fats and oils and their fractions, partly or wholly hydrogenated, inter-esterified, re-esterified or elaidinized, whether or not refined, but not further prepared; 2309 - Preparations of a kind used in animal feeding; 4206 - Articles of gut, goldbeater's skin, bladders or tendons (excl. silkworm gut, sterile catgut, other sterile surgical suture material and strings for musical instruments); 0407 - Birds' eggs, in shell, fresh, preserved or cooked; 1503 - Lard stearin, lard oil, oleostearin, oleo-oil and tallow oil (excl. emulsified, mixed or otherwise prepared); 3504 - Peptones and their derivatives; other albuminous substances and their derivatives, n.e.s.; hide powder, whether or not chromed; 0208 - Meat and edible offal of rabbits, hares, pigeons and other animals, fresh, chilled or frozen (excl. of bovine animals, swine, sheep, goats, horses, asses, mules, hinnies, poultry "fowls of the species Gallus domesticus", ducks, geese, turkeys and guinea fowls); 041000 - Turtles' eggs, birds' nests and other edible products of animal origin, n.e.s.; 2301 - Flours, meals and pellets, of meat or meat offal, of fish or of crustaceans, molluscs or other aquatic invertebrates, unfit for human consumption; greaves; 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1603 - Extracts and juices of meat, fish or crustaceans, molluscs and other aquatic invertebrates; 2106 - Food preparations, n.e.s.; 0209 - Pig fat, free of lean meat, and poultry fat, not rendered or otherwise extracted, fresh, chilled, frozen, salted, in brine, dried or smoked; 050400 - Guts, bladders and stomachs of animals (other than fish), whole and pieces thereof, fresh, chilled, frozen, salted, in brine, dried or smoked; 0511 - Animal products n.e.s.; dead animals of all types, unfit for human consumption; 1601 - Sausages and similar products, of meat, offal or blood; food preparations based on these products</t>
  </si>
  <si>
    <t>Avian Influenza; Zoonoses; Animal diseases; Food safety; Animal health; Human health; Pest- or Disease- free Regions / Regionalization</t>
  </si>
  <si>
    <t>France (Val d'Oise department only) and Belgium</t>
  </si>
  <si>
    <t>Letter of the Federal Service for the Veterinary and Phytosanitary No. FS-KS-7/17707 as of 23 July 2018</t>
  </si>
  <si>
    <t>This letter introduces a temporary restriction on import of live swine, meat of swine and products containing pork, embryos of swine and boar semen from Hungary (Heves and Szabolcs-Szatmar-Bereg departments only) mentioned in point 3.</t>
  </si>
  <si>
    <t>Live swine, meat of swine, meat and edible meat offal, swine embryos and boar' semen (HS Code(s): 0103, 0203, 0210, 0511, 2309, 160100, 1602) with the exception of prepared heat-treated goods of pork, prepared goods containing pork or raw materials of animal origin (from pork) for the feeds production (for non-productive animals and fur) animals with the use of technologies providing destruction of ASF in accordance with the provision of Chapter 15.1 of the OIE Terrestrial Animal Health Code.</t>
  </si>
  <si>
    <t>1602 - Prepared or preserved meat, offal or blood (excl. sausages and similar products, and meat extracts and juices); 0210 - Meat and edible offal, salted, in brine, dried or smoked; edible flours and meals of meat or meat offal; 2309 - Preparations of a kind used in animal feeding; 160100 - Sausages and similar products, of meat, offal or blood; food preparations based on these products; 0203 - Meat of swine, fresh, chilled or frozen; 0103 - Live swine; 0511 - Animal products n.e.s.; dead animals of all types, unfit for human consumption</t>
  </si>
  <si>
    <t>Food safety; African swine fever (ASF); Animal health; Human health; Pest- or Disease- free Regions / Regionalization; Zoonoses</t>
  </si>
  <si>
    <t>Hungary (Heves and Szabolcs-Szatmar-Bereg departments only)</t>
  </si>
  <si>
    <t>Draft Decision of the Eurasian Economic Commission Collegium on amendments to Part 1 of Chapter II of the Common Sanitary and epidemiological and hygenic requirements for products (goods) subject to sanitary and epidemiological supervision (control)</t>
  </si>
  <si>
    <t>The draft provides for amendments to the Common Sanitary and epidemiological and hygenic requirements for products (goods) subject to sanitary and epidemiological supervision (control) the Common Sanitary and epidemiological and hygenic requirements for products (goods) subject to sanitary and epidemiological supervision (control) approved by Decision of the Customs Union Commission of 28 May 2010 No.299 "On the application of Sanitary Measures in the Eurasian Economic Union". It amends the Part 1 by the introduction of hygenic standard on the maximum residue level in food products of the following substances: 3 monochloropropanediol (3-MCPD), glycidol and their esters.</t>
  </si>
  <si>
    <t>Products (goods) subject to sanitary and epidemiological supervision (control)</t>
  </si>
  <si>
    <t>Contaminants; Maximum residue limits (MRLs); Human health; Food safety</t>
  </si>
  <si>
    <d:r xmlns:d="http://schemas.openxmlformats.org/spreadsheetml/2006/main">
      <d:rPr>
        <d:sz val="11"/>
        <d:rFont val="Calibri"/>
      </d:rPr>
      <d:t xml:space="preserve">https://docs.eaeunion.org/ria/ru-ru/0103071/ria_25072018</d:t>
    </d:r>
  </si>
  <si>
    <t>Letter of the Federal Service for Veterinary and Phytosanitary Surveillance as of 21 June 2018 No. FS-KS-3/14953</t>
  </si>
  <si>
    <t>This letter introduces temporary restrictions on import of seedlings of harwood species of the rose family (HS Code(s): 0602, except for 0602 90 100 0) from Greek nursery garden "Vitro Hellas SA. Niseli Alexandria Grece" due to detection of fire blight of horticultural crops (Erwinia amylovora (Burrill) Winslow et.al.).</t>
  </si>
  <si>
    <t>Seedlings of harwood species of the rose family (HS Code(s): 0602, except for 0602 90 100 0)</t>
  </si>
  <si>
    <t>Pests; Pest- or Disease- free Regions / Regionalization; Plant health</t>
  </si>
  <si>
    <t>Greece - nursery garden "Vitro Hellas SA. Niseli Alexandria Greece"</t>
  </si>
  <si>
    <t>Draft of the Eurasian Economic Commission Council Decision on amendments to the Common list of plant quarantine objects of the Eurasian Economic Union</t>
  </si>
  <si>
    <t>The Draft provides for the addition of the Common list of plant quarantine objects of the Eurasian Economic Union approved by the Eurasian Economic Commission Council Decision from 30 November 2016 № 158 with dwarf smut of wheat (Tilletia controversa Kuhn). The Draft also provides for the changes related to the systematics of quarantine objects, authorship and editorial amendments.</t>
  </si>
  <si>
    <t>Plant products/list of goods (products) subject to phytosanitary control</t>
  </si>
  <si>
    <t>1001 - Wheat and meslin</t>
  </si>
  <si>
    <t>Plant health; Fungi; Pests</t>
  </si>
  <si>
    <d:r xmlns:d="http://schemas.openxmlformats.org/spreadsheetml/2006/main">
      <d:rPr>
        <d:sz val="11"/>
        <d:rFont val="Calibri"/>
      </d:rPr>
      <d:t xml:space="preserve">https://docs.eaeunion.org/ria/ru-ru/0102985/ria_21052018</d:t>
    </d:r>
  </si>
  <si>
    <t>The Draft of Technical Regulation of the Eurasian Economic Union "On the Safety of The Light Rail Transport, Trams"</t>
  </si>
  <si>
    <t>The Draft of Technical Regulation of the Eurasian Economic Union "On the Safety of The Light Rail Transport, Trams" sets out requirements and conformity assessment procedures for Light Rail Transport, Trams and its Components</t>
  </si>
  <si>
    <t>Light Rail Transport, Trams and its Components</t>
  </si>
  <si>
    <t>45.060 - Railway rolling stock</t>
  </si>
  <si>
    <t>Prevention of deceptive practices and consumer protection (TBT); Protection of human health or safety (TBT); Protection of the environment (TBT)</t>
  </si>
  <si>
    <t>The draft of Technical Regulation of the Eurasian Economic Union "On the Safety of The Light Rail Transport, Trams" https://docs.eaeunion.org/pd/ru-ru/0102870/pd_10052018</t>
  </si>
  <si>
    <t>The Draft of Technical Regulation of the Eurasian Economic Union "On the Safety of The Underground Rolling Stock"</t>
  </si>
  <si>
    <t>The Draft of Technical Regulation of the Eurasian Economic Union "On the Safety of The Underground Rolling Stock" sets out requirements conformity assessment procedures for Underground Rolling Stock and its components</t>
  </si>
  <si>
    <t>Underground Rolling Stock and its Components</t>
  </si>
  <si>
    <t>The draft of Technical Regulation of the Eurasian Economic Union "On the Safety of The Underground Rolling Stock" https://docs.eaeunion.org/pd/ru-ru/0102860/pd_10052018</t>
  </si>
  <si>
    <t>The Draft of Technical Regulation of the Eurasian Economic Union "On the Safety of High Voltage Equipment"</t>
  </si>
  <si>
    <t>The Draft of Technical Regulation of the Eurasian Economic Union "On the Safety of High Voltage Equipment" sets out requirements for high voltage equipment.</t>
  </si>
  <si>
    <t>High Voltage Equipment</t>
  </si>
  <si>
    <t>29.020 - Electrical engineering in general</t>
  </si>
  <si>
    <t>Prevention of deceptive practices and consumer protection (TBT); Protection of the environment (TBT)</t>
  </si>
  <si>
    <t>The draft of Technical Regulation of the Eurasian Economic Union "On the Safety of High Voltage Equipment" https://docs.eaeunion.org/pd/ru-ru/0102791/pd_24042018</t>
  </si>
  <si>
    <t>Draft of the Eurasian Economic Commission Council Decision on Amendments to the Common quarantine phytosanitary requirements within the territory of the Eurasian Economic Union No. 24 as of 30 March 2018; Draft of the Eurasian Economic Commission Council Decision on Amendments to the Common list of plant quarantine objects of the Eurasian Economic Union No. 25 as of 30 March 2018.</t>
  </si>
  <si>
    <t>The mentioned above drafts will enter into force on 2 May 2018.</t>
  </si>
  <si>
    <t>06 - LIVE TREES AND OTHER PLANTS; BULBS, ROOTS AND THE LIKE; CUT FLOWERS AND ORNAMENTAL FOLIAGE; 07 - EDIBLE VEGETABLES AND CERTAIN ROOTS AND TUBERS; 08 - EDIBLE FRUIT AND NUTS; PEEL OF CITRUS FRUITS OR MELONS</t>
  </si>
  <si>
    <t>Adoption/publication/entry into force of reg.</t>
  </si>
  <si>
    <t>Draft of the Eurasian Economic Commission Commission Decision on amendments to the Common list of goods subject to veterinary control (surveillance)</t>
  </si>
  <si>
    <t>The Draft provides for the addition of the list of goods subject to veterinary control (surveillance) with goods corresponding to the codes of the Common Commodity Nomenclature of Foreign Economic Activity of the Eurasian Economic Union 1901 90 910 0 and 1901 90 990 0, as well as for the realigning of the description of goods corresponding to the code "ex 2106" with the Common Commodity Nomenclature of Foreign Economic Activity of the Eurasian Economic Union.</t>
  </si>
  <si>
    <t>2106 - Food preparations, n.e.s.; 190190 - Malt extract; food preparations of flour, groats, meal, starch or malt extract, not containing cocoa or containing &lt; 40% by weight of cocoa calculated on a totally defatted basis, n.e.s. and food preparations of milk, cream, butter milk, sour milk, sour cream, whey, yoghourt, kefir or similar goods of heading 0401 to 0404, not containing cocoa or containing &lt; 5% by weight of cocoa calculated on a totally defatted basis, n.e.s. (excl. for infant use, put up for retail sale, and mixes and doughs for the preparation of bakers' wares of heading 1905)</t>
  </si>
  <si>
    <d:r xmlns:d="http://schemas.openxmlformats.org/spreadsheetml/2006/main">
      <d:rPr>
        <d:sz val="11"/>
        <d:rFont val="Calibri"/>
      </d:rPr>
      <d:t xml:space="preserve">https://docs.eaeunion.org/ria/ru-ru/0102947/ria_20042018</d:t>
    </d:r>
  </si>
  <si>
    <t>Draft of the Eurasian Economic Commission Council Decision on Amendments to the Common quarantine phytosanitary requirements for quarantine products and quarantined objects on the customs border and the customs territory of the Eurasian Economic Union</t>
  </si>
  <si>
    <t xml:space="preserve">This draft provides for the amendment of the existing requirements with the following:_x000D_
- provisions permitting the importation into the customs territory of the Eurasian Economic Union of soybeans infected with the causative agent of purple cercosporosa (Cercospora kikuchii) for processing;_x000D_
- requirements for enterprises processing soybeans infected with the causative agent of soybean purple cercosporosa (Cercospora kikuchii);_x000D_
- possibility of importation in hand luggage and baggage of passengers without phytosanitary certificate of melons, watermelons and pumpkins, in amount not exceeding 1 piece, the weight of which may significantly exceed the previously permitted 5 kilos;_x000D_
- possibility to send products of high phytosanitary risk subject to quarantine phytosanitary control without phytosanitary certificate (except seed and planting material) in postal items;_x000D_
- clarification of the requirements for fresh citrus fruits, bananas and plantain bananas;_x000D_
-possibility of moving certain types of products subject to quarantine phytosanitary control in bulk within the customs territory of the Eurasian Economic Union._x000D_
In addition, changes have been made to the wording of a number of requirements, which prevented double interpretation and duplication of requirements for the same type of products subject to quarantine phytosanitary control.</t>
  </si>
  <si>
    <t>0709 - Other vegetables, fresh or chilled (excl. potatoes, tomatoes, alliaceous vegetables, edible brassicas, lettuce "Lactuca sativa" and chicory "Cichorium spp.", carrots, turnips, salad beetroot, salsify, celeriac, radishes and similar edible roots, cucumbers and gherkins, and leguminous vegatables); 0805 - Citrus fruit, fresh or dried; 0803 - Bananas, incl. plantains, fresh or dried; 0807 - Melons, incl. watermelons, and papaws "papayas", fresh; 1201 - Soya beans, whether or not broken</t>
  </si>
  <si>
    <t>Pests; Plant health; Fungi</t>
  </si>
  <si>
    <d:r xmlns:d="http://schemas.openxmlformats.org/spreadsheetml/2006/main">
      <d:rPr>
        <d:sz val="11"/>
        <d:rFont val="Calibri"/>
      </d:rPr>
      <d:t xml:space="preserve">https://docs.eaeunion.org/ria/ru-ru/0102833/ria_20022018</d:t>
    </d:r>
  </si>
  <si>
    <t>Draft Regulation of the Government of the Russian Federation on quarantine phytosanitary control at shipment and production (including processing) sites of quarantine products, imported for sowing and planting from the third countries and group of the third countries, where spread of specific quarantine objects for such quarantine products was detected</t>
  </si>
  <si>
    <t>The notified document entered into force on 8 February 2018.</t>
  </si>
  <si>
    <t>12 - OIL SEEDS AND OLEAGINOUS FRUITS; MISCELLANEOUS GRAINS, SEEDS AND FRUIT; INDUSTRIAL OR MEDICINAL PLANTS; STRAW AND FODDER; 06 - LIVE TREES AND OTHER PLANTS; BULBS, ROOTS AND THE LIKE; CUT FLOWERS AND ORNAMENTAL FOLIAGE</t>
  </si>
  <si>
    <t>The drafts establish common veterinary requirements on imports of rabbit semen into the territory of the Eurasian Economic Union.</t>
  </si>
  <si>
    <t>0511 - Animal products n.e.s.; dead animals of all types, unfit for human consumption</t>
  </si>
  <si>
    <d:r xmlns:d="http://schemas.openxmlformats.org/spreadsheetml/2006/main">
      <d:rPr>
        <d:sz val="11"/>
        <d:rFont val="Calibri"/>
      </d:rPr>
      <d:t xml:space="preserve">https://docs.eaeunion.org/ria/ru-ru/0102815/ria_12022018
https://docs.eaeunion.org/ria/ru-ru/0102811/ria_12022018</d:t>
    </d:r>
  </si>
  <si>
    <t>Letter of the Federal Service for Veterinary and Phytosanitary Surveillance (Rosselkhoznadzor) of 5 December 2017 No. FS-NV-7/26504</t>
  </si>
  <si>
    <t>This letter abolishes a letter of Rosselkhoznadzor imposing restrictions on imports of live pigs, pork and pork products from the Czech Republic due to the outbreak of African swine fever (ASF) virus on the territory of the Czech Republic.</t>
  </si>
  <si>
    <t>0210 - Meat and edible offal, salted, in brine, dried or smoked; edible flours and meals of meat or meat offal; 2309 - Preparations of a kind used in animal feeding; 160100 - Sausages and similar products, of meat, offal or blood; food preparations based on these products; 0203 - Meat of swine, fresh, chilled or frozen; 1602 - Prepared or preserved meat, offal or blood (excl. sausages and similar products, and meat extracts and juices); 0103 - Live swine; 0511 - Animal products n.e.s.; dead animals of all types, unfit for human consumption</t>
  </si>
  <si>
    <t>Withdrawal of the measure; African swine fever (ASF)</t>
  </si>
  <si>
    <t>This letter abolishes a letter of Rosselkhoznadzor imposing restrictions on imports of live pigs, pork and pork products from Lithuania due to the outbreak of African swine fever (ASF) virus on the territory of Lithuania.</t>
  </si>
  <si>
    <t>2309 - Preparations of a kind used in animal feeding; 0203 - Meat of swine, fresh, chilled or frozen; 0103 - Live swine; 0511 - Animal products n.e.s.; dead animals of all types, unfit for human consumption</t>
  </si>
  <si>
    <t>This letter abolishes a letter of Rosselkhoznadzor imposing restrictions on imports of live pigs, pork and pork products from Estonia due to the outbreak of African swine fever (ASF) virus on the territory of Estonia.</t>
  </si>
  <si>
    <t>160100 - Sausages and similar products, of meat, offal or blood; food preparations based on these products; 0210 - Meat and edible offal, salted, in brine, dried or smoked; edible flours and meals of meat or meat offal; 2309 - Preparations of a kind used in animal feeding; 0203 - Meat of swine, fresh, chilled or frozen; 0103 - Live swine; 0511 - Animal products n.e.s.; dead animals of all types, unfit for human consumption; 1602 - Prepared or preserved meat, offal or blood (excl. sausages and similar products, and meat extracts and juices)</t>
  </si>
  <si>
    <t>This letter abolishes a letter of Rosselkhoznadzor imposing restrictions on imports of live pigs, pork and pork products from Latvia due to the outbreak of African swine fever (ASF) virus on the territory of Latvia.</t>
  </si>
  <si>
    <t>This letter abolishes a letter of Rosselkhoznadzor imposing restrictions on imports of live pigs, pork and pork products from Romania due to the outbreak of African swine fever (ASF) virus on the territory of Romania.</t>
  </si>
  <si>
    <t>160100 - Sausages and similar products, of meat, offal or blood; food preparations based on these products; 0210 - Meat and edible offal, salted, in brine, dried or smoked; edible flours and meals of meat or meat offal; 2309 - Preparations of a kind used in animal feeding; 0203 - Meat of swine, fresh, chilled or frozen; 1602 - Prepared or preserved meat, offal or blood (excl. sausages and similar products, and meat extracts and juices); 0103 - Live swine; 0511 - Animal products n.e.s.; dead animals of all types, unfit for human consumption</t>
  </si>
  <si>
    <t>African swine fever (ASF); Withdrawal of the measure</t>
  </si>
  <si>
    <t>This letter abolishes a letter of Rosselkhoznadzor imposing restrictions on imports of live pigs, pork and pork products from Poland due to the outbreak of African swine fever (ASF) virus on the territory of Poland.</t>
  </si>
  <si>
    <t>African swine fever (ASF); Zoonoses; Withdrawal of the measure</t>
  </si>
  <si>
    <t>This letter abolishes number of letters of Rosselkhoznadzor imposing restrictions on imports of live pigs, pork and pork products from Lithuania, Poland, Latvia, Estonia, Czech Republic and Romania due to ASF outbreaks. In particular, letters notified by G/SPS/N/RUS/48 dated 10 February 2014, G/SPS/N/RUS/49 dated 4 March 2014, G/SPS/N/RUS/64 dated 16 July 2014, G/SPS/N/RUS/76 dated 16 September 2014, G/SPS/N/RUS/142 dated 24 July 2017, G/SPS/N/RUS/143 dated 4 August 2017, are abolished. In accordance with this letter import of live pigs, pork meat and raw meat preparations from the entire territory of the European Union to the territory of the Russian Federation, excluding the territory of Sardinia and certain other administrative territories of the EU member States, is allowed. The list of administrative territories is set out in the Annex to the veterinary certificate. Moreover, in accordance with this letter, import of heat-treated pork products from the territories affected by ASF is allowed only on condition of heat-treatment in accordance with Chapter 15.1 of the OIE Code. Transit restrictions for goods from ASF affected territories persist.</t>
  </si>
  <si>
    <t>Live pigs; pork meat; raw meat preparations; finished products from pork; finished products containing pork or raw materials of animal (pork) origin; raw materials of animal (pork) origin</t>
  </si>
  <si>
    <t>0210 - Meat and edible offal, salted, in brine, dried or smoked; edible flours and meals of meat or meat offal; 0203 - Meat of swine, fresh, chilled or frozen; 1602 - Prepared or preserved meat, offal or blood (excl. sausages and similar products, and meat extracts and juices); 0103 - Live swine; 1601 - Sausages and similar products, of meat, offal or blood; food preparations based on these products</t>
  </si>
  <si>
    <t>Animal diseases; Animal health; Pest- or Disease- free Regions / Regionalization; Zoonoses; African swine fever (ASF)</t>
  </si>
  <si>
    <t>Czech Republic, Estonia, European Union, Latvia, Lithuania, Poland, Romania</t>
  </si>
  <si>
    <t>Letter of the Federal Service for Veterinary and Phytosanitary Surveillance of 20 November 2017 No. FS-USH-7/25182</t>
  </si>
  <si>
    <t>This measure is introduced due to numerous detections of beta adrenostimulator ractopamine in meat products imported to the territory of the Russian Federation from Brazil.</t>
  </si>
  <si>
    <t>HS Codes: 0201, 0202, 0203, 0209, 0210, 0206</t>
  </si>
  <si>
    <t>0210 - Meat and edible offal, salted, in brine, dried or smoked; edible flours and meals of meat or meat offal; 0206 - Edible offal of bovine animals, swine, sheep, goats, horses, asses, mules or hinnies, fresh, chilled or frozen; 0203 - Meat of swine, fresh, chilled or frozen; 0201 - Meat of bovine animals, fresh or chilled; 0202 - Meat of bovine animals, frozen; 0209 - Pig fat, free of lean meat, and poultry fat, not rendered or otherwise extracted, fresh, chilled, frozen, salted, in brine, dried or smoked</t>
  </si>
  <si>
    <t>Food safety; Feed additives; Animal feed; Human health</t>
  </si>
  <si>
    <d:r xmlns:d="http://schemas.openxmlformats.org/spreadsheetml/2006/main">
      <d:rPr>
        <d:sz val="11"/>
        <d:rFont val="Calibri"/>
      </d:rPr>
      <d:t xml:space="preserve">http://www.fsvps.ru/fsvps/download/direction/17318</d:t>
    </d:r>
  </si>
  <si>
    <t>Draft of Decree of the Ministry of Agriculture of the Russian Federation and Ministry of Finance of the Russian Federation "On Approval of Administrative Regulation on fulfilment by the Federal Service for Veterinary and Phytosanitary Surveillance and the Federal Customs Service of function on carrying out state veterinary surveillance at points of entry through the state border of the Russian Federation and state veterinary surveillance at other places of customs operations within the territory of the Russian Federation, different from points of entry through the state border of the Russian Federation, in respect of goods subject to state veterinary surveillance for import or transit through the customs border of the Eurasian economic union"</t>
  </si>
  <si>
    <t>This document clarifies the course of action of customs services in respect of goods under control, while importing or transit, (except aquatic biological resources, caught while fishing conducting, and produced on their basis fish and other products) at the points of entry, located at the free port of Vladivostok.</t>
  </si>
  <si>
    <t>04 - DAIRY PRODUCE; BIRDS' EGGS; NATURAL HONEY; EDIBLE PRODUCTS OF ANIMAL ORIGIN, NOT ELSEWHERE SPECIFIED OR INCLUDED; 03 - FISH AND CRUSTACEANS, MOLLUSCS AND OTHER AQUATIC INVERTEBRATES; 0102 - Live bovine animals; 30 - PHARMACEUTICAL PRODUCTS; 01 - LIVE ANIMALS; 02 - MEAT AND EDIBLE MEAT OFFAL; 23 - RESIDUES AND WASTE FROM THE FOOD INDUSTRIES; PREPARED ANIMAL FODDER</t>
  </si>
  <si>
    <t>Modification of content/scope of regulation</t>
  </si>
  <si>
    <t>Letter of the Federal Service for Veterinary and Phytosanitary Surveillance of 20 October 2017 No. FS-KS-22641</t>
  </si>
  <si>
    <t xml:space="preserve">Letter eliminates temporary restrictions on:_x000D_
- poultry and hatching eggs from the entire territories of the Czech Republic and the United Kingdom;_x000D_
- hatching eggs and live poultry, poultry meat heat-treated poultry products from the entire territory of Bulgaria;_x000D_
- hatching eggs and live poultry from the departments Dordogne, Haute-Vienne, Aveyron, Haute-Garonne (France);_x000D_
- poultry meat, heat-treated poultry products and other poultry products from the entire territory of France (except departments of Lot and Garonne, Gers, Landes, Pyrénées-Atlantiques, Hautes-Pyrénées and Nord).</t>
  </si>
  <si>
    <t>Poultry, poultry products and eggs</t>
  </si>
  <si>
    <t>0407 - Birds' eggs, in shell, fresh, preserved or cooked; 0207 - Meat and edible offal of fowls of the species Gallus domesticus, ducks, geese, turkeys and guinea fowls, fresh, chilled or frozen; 0105 - Live poultry, "fowls of the species Gallus domesticus, ducks, geese, turkeys and guinea fowls"</t>
  </si>
  <si>
    <t>Bulgaria, Czech Republic, France, United Kingdom</t>
  </si>
  <si>
    <d:r xmlns:d="http://schemas.openxmlformats.org/spreadsheetml/2006/main">
      <d:rPr>
        <d:sz val="11"/>
        <d:rFont val="Calibri"/>
      </d:rPr>
      <d:t xml:space="preserve">http://www.fsvps.ru/fsvps/download/attachment/110565/22641.pdf</d:t>
    </d:r>
  </si>
  <si>
    <t>Draft amendments to Common sanitary-epidemiological and hygienic requirements for products subject to sanitary-epidemiological supervision (control) (2+620 pages, in Russian)</t>
  </si>
  <si>
    <t>Draft amendments to Common sanitary-epidemiological and hygienic requirements for products subject to sanitary-epidemiological supervision (control) set out requirements for disinfectants and common research methods of disinfectants effectiveness.</t>
  </si>
  <si>
    <t>Disinfectants</t>
  </si>
  <si>
    <t>Common sanitary-epidemiological and hygienic requirements for products subject to sanitary-epidemiological supervision (control) http://www.eurasiancommission.org/ru/act/texnreg/depsanmer/sanmeri/Pages/P2_299.aspxDraft amendments to Common sanitary-epidemiological and hygienic requirements for products subject to sanitary-epidemiological supervision (control) https://docs.eaeunion.org/ria/ru-ru/0102428/ria_15082017</t>
  </si>
  <si>
    <t>Draft amendments to Common sanitary-epidemiological and hygienic requirements for products subject to sanitary-epidemiological supervision (control)</t>
  </si>
  <si>
    <t>Draft amendments to Common sanitary-epidemiological and hygienic requirements for products subject to sanitary-epidemiological supervision (control) proposing prohibition of use of phosphoric compounds in synthetic detergents and water softeners</t>
  </si>
  <si>
    <t>Synthetic detergents and water softeners</t>
  </si>
  <si>
    <t>Common sanitary-epidemiological and hygienic requirements for products subject to sanitary-epidemiological supervision (control) http://www.eurasiancommission.org/ru/act/texnreg/depsanmer/sanmeri/Pages/P2_299.aspxDraft amendments to Common sanitary-epidemiological and hygienic requirements for products subject to sanitary-epidemiological supervision (control) https://docs.eaeunion.org/ria/ru-ru/0102452/ria_22082017</t>
  </si>
  <si>
    <t>Letter of the Federal Service for Veterinary and Phytosanitary Surveillance</t>
  </si>
  <si>
    <t xml:space="preserve">The common list of plant quarantine objects within the territory of the Eurasian Economic Union which has entered into force since 1 July 2017 does not contain 57 quarantine objects, previously included in the list of quarantine objects, approved by Decree of the Ministry of Agriculture of the Russian Federation as of 15 December 2014 No. 501. The territory of the Russian Federation is free from the mentioned quarantine objects and in this respect the letter of the Federal Service for Veterinary and Phytosanitary Surveillance introduces additional list of quarantine objects for the Russian Federation (see http://members.wto.org/crnattachments/2017/SPS/RUS/17_3781_00_x.pdf_x000D_
_x000D_
http://www.fsvps.ru/fsvps/news/22116.html</t>
  </si>
  <si>
    <t>07 - EDIBLE VEGETABLES AND CERTAIN ROOTS AND TUBERS; 08 - EDIBLE FRUIT AND NUTS; PEEL OF CITRUS FRUITS OR MELONS</t>
  </si>
  <si>
    <t>Letter of the Federal Service for Veterinary and Phytosanitary Surveillance No. FS-KS-7/15882 of 2 August 2017</t>
  </si>
  <si>
    <t>This measure represents a temporary restriction on the import of products mentioned in point 3 from Romania to the territory of the Russian Federation due to an outbreak of the African Swine Fever (ASF).</t>
  </si>
  <si>
    <t>HS Code(s): 0103, 0203, 0210, 0511, 160100, 1602, 2309</t>
  </si>
  <si>
    <t>Animal diseases; Animal health; African swine fever (ASF)</t>
  </si>
  <si>
    <d:r xmlns:d="http://schemas.openxmlformats.org/spreadsheetml/2006/main">
      <d:rPr>
        <d:sz val="11"/>
        <d:rFont val="Calibri"/>
      </d:rPr>
      <d:t xml:space="preserve">https://www.fsvps.ru/fsvps/laws/5184.html</d:t>
    </d:r>
  </si>
  <si>
    <t>Letter of the Federal Service for Veterinary and Phytosanitary Surveillance of 29 June 2017 No. FS-USH-7/13178</t>
  </si>
  <si>
    <t>This letter introduces temporary import restrictions on import of certain pork products from the Czech Republic to the territory of the Russian Federation due to detection of African swine fever disease.</t>
  </si>
  <si>
    <t>HS Code(s): 0103, 0203, 0511, 0210, 2309, 160100, 1602</t>
  </si>
  <si>
    <t>Animal diseases; Animal health; Pest- or Disease- free Regions / Regionalization; African swine fever (ASF)</t>
  </si>
  <si>
    <d:r xmlns:d="http://schemas.openxmlformats.org/spreadsheetml/2006/main">
      <d:rPr>
        <d:sz val="11"/>
        <d:rFont val="Calibri"/>
      </d:rPr>
      <d:t xml:space="preserve">http://www.fsvps.ru/fsvps/laws/5131.html</d:t>
    </d:r>
  </si>
  <si>
    <t>Draft of the Eurasian Economic Commission Collegium Decision on amendments to the Annex 19 of the Part 22 of the Chapter II of the Common sanitary and epidemiological and hygenic tequirements for products subject to sanitary and epidemioilogical surveillance (control)</t>
  </si>
  <si>
    <t>The Draft of the Decision excludes the substance 1-Phenylpropan-2-one from the List of aroma and flavouring chemical substances, approved for use in the production of the food flavorings, contained in the Annex 19 of the Part 22 "Safety requirements for food additives and flavourings" of the Chapter II of the Common sanitary and epidemiological and hygienic requirements for products subject to sanitary and epidemiological surveillance (control).</t>
  </si>
  <si>
    <t>Goods (products) subject to sanitary and epidemiological control (surveillance)</t>
  </si>
  <si>
    <t>Food additives; Human health; Food safety</t>
  </si>
  <si>
    <d:r xmlns:d="http://schemas.openxmlformats.org/spreadsheetml/2006/main">
      <d:rPr>
        <d:sz val="11"/>
        <d:rFont val="Calibri"/>
      </d:rPr>
      <d:t xml:space="preserve">https://docs.eaeunion.org/ria/ru-ru/0102149/ria_21042017</d:t>
    </d:r>
  </si>
  <si>
    <t>Draft Amendments to the Customs Union Technical Regulation "On Safety of High Pressure Equipment" (ТР ТС 032/2013) (2 pages, in Russian)</t>
  </si>
  <si>
    <t>Pipeline with nominal diameter of more than 25 mm and maximum allowable operating pressure of above 0.05MPa is to be excluded from the scope of the Technical Regulation.</t>
  </si>
  <si>
    <t>Pipelines with nominal diameter of more than 25 mm and maximum allowable operating pressure of above 0.05 MPa</t>
  </si>
  <si>
    <t>Draft Amendments to the Technical Regulation "On Safety of High Pressure Equipment" (ТР ТС 032/2013) http://docs.eaeunion.org/pd/ru-ru/0101587/pd_07042017Technical Regulation "On Safety of High Pressure Equipment" (ТР ТС 032/2013) http://www.eurasiancommission.org/ru/act/texnreg/deptexreg/tr/Pages/%d0%a2%d0%a0-%d0%a2%d0%a1-032.aspx</t>
  </si>
  <si>
    <t>Draft of the Eurasian Economic Commission Council Decision on Amendments to the Common list of plant quarantine objects of the Eurasian Economic Union; Draft of the Eurasian Economic Commission Council Decision on Amendments to the Common quarantine phytosanitary requirements within the territory of the Eurasian Economic Union</t>
  </si>
  <si>
    <t xml:space="preserve">In box 5, the correct links to the notified drafts are the following:_x000D_
https://docs.eaeunion.org/ria/ru-ru/a02171/ria_27032017_x000D_
https://docs.eaeunion.org/ria/ru-ru/0102047/ria_27032017</t>
  </si>
  <si>
    <t>08 - EDIBLE FRUIT AND NUTS; PEEL OF CITRUS FRUITS OR MELONS; 06 - LIVE TREES AND OTHER PLANTS; BULBS, ROOTS AND THE LIKE; CUT FLOWERS AND ORNAMENTAL FOLIAGE; 07 - EDIBLE VEGETABLES AND CERTAIN ROOTS AND TUBERS</t>
  </si>
  <si>
    <t>Corrigendum to Regular Notification</t>
  </si>
  <si>
    <t>Letter by the Federal Service for Veterinary and Phytosanitary Surveillance No. FS-USH-7/6144 as of 3 April 2017</t>
  </si>
  <si>
    <t xml:space="preserve">In box 3 of the G/SPS/N/RUS/128 the following HS Code(s) should be added:_x000D_
- 2303; and_x000D_
- 3507.</t>
  </si>
  <si>
    <t>1002 - Rye;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2301 - Flours, meals and pellets, of meat or meat offal, of fish or of crustaceans, molluscs or other aquatic invertebrates, unfit for human consumption; greaves; 1504 - Fats and oils and their fractions of fish or marine mammals, whether or not refined (excl. chemically modified); 2306 - Oil-cake and other solid residues, whether or not ground or in the form of pellets, resulting from the extraction of vegetable fats or oils (excl. from soya-bean oil and ground-nut oil); 30 - PHARMACEUTICAL PRODUCTS; 1502 - Fats of bovine animals, sheep or goats (excl. lard stearin, lard oil, oleostearin, oleooil and tallow oil, not emulsified or mixed or otherwise prepared); 1501 - Pig fat, incl. lard, and poultry fat, rendered or otherwise extracted (excl. lard stearin and lard oil); 1214 - Swedes, mangolds, fodder roots, hay, alfalfa, clover, sainfoin, forage kale, lupines, vetches and similar forage products, whether or not in the form of pellets; 1211 - Plants and parts of plants, incl. seeds and fruits, of a kind used primarily in perfumery, medicaments or for insecticidal, fungicidal or similar purposes, fresh or dried, whether or not cut, crushed or powdered; 121300 - Cereal straw and husks, unprepared, whether or not chopped, ground, pressed or in the form of pellets;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350400 - Peptones and their derivatives; other albuminous substances and their derivatives, n.e.s.; hide powder, whether or not chromed; 2302 - Bran, sharps and other residues, whether or not in the form of pellets, derived from the sifting, milling or other working of cereals or of leguminous plants; 1001 - Wheat and meslin; 100590 - Maize (excl. seed); 2309 - Preparations of a kind used in animal feeding; 0511 - Animal products n.e.s.; dead animals of all types, unfit for human consumption; 1003 - Barley; 1004 - Oats; 1201 - Soya beans, whether or not broken; 1208 - Flours and meals of oil seeds or oleaginous fruits (excl. mustard); 151610 - Animal fats and oils and their fractions, partly or wholly hydrogenated, inter-esterified, re-esterified or elaidinized, whether or not refined, but not further prepared; 230400 - Oil-cake and other solid residues, whether or not ground or in the form of pellets, resulting from the extraction of soya-bean oil</t>
  </si>
  <si>
    <t>The mentioned drafts clarify the list of quarantine objects within the EAEU territory and its requirements, amending documents which will enter into force since 1 July 2017.</t>
  </si>
  <si>
    <d:r xmlns:d="http://schemas.openxmlformats.org/spreadsheetml/2006/main">
      <d:rPr>
        <d:sz val="11"/>
        <d:rFont val="Calibri"/>
      </d:rPr>
      <d:t xml:space="preserve">http://portal-docs.iisvvt.eec/ria/ru-ru/a02171/ria_27032017
http://portal-docs.iisvvt.eec/ria/ru-ru/0102047/ria_27032017</d:t>
    </d:r>
  </si>
  <si>
    <t>Draft of Common Quarantine Phytosanitary Requirements of the Eurasian Economic Commission</t>
  </si>
  <si>
    <t>The draft notified in G/SPS/N/RUS/102 as of 2 September 2015 will enter into force since 1 July 2017.</t>
  </si>
  <si>
    <t>06 - LIVE TREES AND OTHER PLANTS; BULBS, ROOTS AND THE LIKE; CUT FLOWERS AND ORNAMENTAL FOLIAGE</t>
  </si>
  <si>
    <t>The Common list of plant quarantine objects of the Eurasian Economic Union</t>
  </si>
  <si>
    <t xml:space="preserve">The Eurasian Economic Commission Council Decision as of 30 November 2016 No. 158  introduces the common list of plant quarantine objects within the territory of the Eurasian Economic Union. The mentioned document will enter into force since 1 July 2017.</t>
  </si>
  <si>
    <d:r xmlns:d="http://schemas.openxmlformats.org/spreadsheetml/2006/main">
      <d:rPr>
        <d:sz val="11"/>
        <d:rFont val="Calibri"/>
      </d:rPr>
      <d:t xml:space="preserve">http://www.eurasiancommission.org/ru/act/texnreg/depsanmer/regulation/Documents/%D0%A0%D0%B5%D1%88%D0%B5%D0%BD%D0%B8%D0%B5%20%D0%A1%D0%BE%D0%B2%D0%B5%D1%82%D0%B0%20%D0%9A%D0%BE%D0%BC%D0%B8%D1%81%D1%81%D0%B8%D0%B8%20%D0%BE%D1%82%2030.11.2016%20%20%E2%84%96158.pdf</d:t>
    </d:r>
  </si>
  <si>
    <t>Draft of the Eurasian Economic Commission Council Decision on common rules and standards to ensure plant quarantine</t>
  </si>
  <si>
    <t>The draft notified in G/SPS/N/RUS/111 as of 14 October 2015 will enter into force since 1 July 2017.</t>
  </si>
  <si>
    <t>Draft amendments No. 2 to the Technical Regulation of the Customs Union "On the safety of milk and dairy products" (TR CU 033/2013) (30 pages, in Russian)</t>
  </si>
  <si>
    <t>Draft amendments No. 2 to the Technical Regulation of the Custom Union "On the safety of milk and dairy products" (TR CU 033/2013) provide for the correction of definitions and establish additional requirements for the labelling of milk-containing products, in particular such as"reconstituted milk", "milk-containing product, etc.</t>
  </si>
  <si>
    <t>Milk and dairy products</t>
  </si>
  <si>
    <t>67.100 - Milk and milk products</t>
  </si>
  <si>
    <t>Draft amendments No. 2 to the Technical Regulation of the Customs Union "On the safety of milk and dairy products" (TR CU 033/2013 httpwwweurasiancommissionorgruacttexnregdeptexregtrPagesprojectsPublicaspxThe Technical Regulation of the Customs Union "On the safety of milk and dairy products" (TR CU 033/2013 http://www.eurasiancommission.org/ru/act/texnreg/deptexreg/tr/Pages/ÒÐ-ÒÑ-033.aspx</t>
  </si>
  <si>
    <t>Draft of the Eurasian Economic Council Decision on amendments to the CU Technical Regulation "On safety of milk and milk products", adopted by the CU Commission Decision No 67 as of 9 October 2013</t>
  </si>
  <si>
    <t>This document introduces amendments to the CU legislation specifically labelling requirements to the products mentioned in point 3, but also requirements to toxic elements content in certain types of milk products.</t>
  </si>
  <si>
    <t>Milk and milk products</t>
  </si>
  <si>
    <d:r xmlns:d="http://schemas.openxmlformats.org/spreadsheetml/2006/main">
      <d:rPr>
        <d:sz val="11"/>
        <d:rFont val="Calibri"/>
      </d:rPr>
      <d:t xml:space="preserve">http://www.eurasiancommission.org/ru/act/texnreg/deptexreg/tr/Pages/PO_TR_izm2_033.aspx</d:t>
    </d:r>
  </si>
  <si>
    <t>Draft of the Eurasian Economic Commission Council Decision on amendments to the CU Commission Decision as of 28 May 2010, No. 299</t>
  </si>
  <si>
    <t>Draft amends the procedure of state sanitary and epidemiological surveillance (control) of persons, vehicles and goods (products) under control while crossing the customs border of the Eurasian Economic Union.</t>
  </si>
  <si>
    <d:r xmlns:d="http://schemas.openxmlformats.org/spreadsheetml/2006/main">
      <d:rPr>
        <d:sz val="11"/>
        <d:rFont val="Calibri"/>
      </d:rPr>
      <d:t xml:space="preserve">https://docs.eaeunion.org/ria/ru-ru/0101867/ria_09022017</d:t>
    </d:r>
  </si>
  <si>
    <t>Draft of the Eurasian Economic Commission Collegium Decision on amendments to the Regulation on Common veterinary (sanitary and veterinary) requirements for goods subject to veterinary control (surveillance)</t>
  </si>
  <si>
    <t>The Draft of the Decision amends provision for arsenic content in feed meal from fish, sea marine mammals, crustaceans and invertebrates.</t>
  </si>
  <si>
    <t>Animal feed; Human health; Food safety; Heavy metals; Contaminants</t>
  </si>
  <si>
    <d:r xmlns:d="http://schemas.openxmlformats.org/spreadsheetml/2006/main">
      <d:rPr>
        <d:sz val="11"/>
        <d:rFont val="Calibri"/>
      </d:rPr>
      <d:t xml:space="preserve">https://docs.eaeunion.org/ria/ru-ru/0101858/ria_06022017</d:t>
    </d:r>
  </si>
  <si>
    <t>Letter of the Federal Service for Veterinary and Phytosanitary Surveillance as of 2 February 2017 No. FS-NV-7/1980</t>
  </si>
  <si>
    <t>This letter introduces temporary restrictions on import of beef, beef by-products and beef tallow from New Zealand to the territory of the Russian Federation due to systematic detection of prohibited and harmful substances and diseases causative agents in the regulated products.</t>
  </si>
  <si>
    <t xml:space="preserve">HS Code(s):  0201, 0202, 1502, from  0210 - Cattle meat</t>
  </si>
  <si>
    <t>0210 - Meat and edible offal, salted, in brine, dried or smoked; edible flours and meals of meat or meat offal; 1502 - Fats of bovine animals, sheep or goats (excl. lard stearin, lard oil, oleostearin, oleooil and tallow oil, not emulsified or mixed or otherwise prepared); 0201 - Meat of bovine animals, fresh or chilled; 0202 - Meat of bovine animals, frozen</t>
  </si>
  <si>
    <t xml:space="preserve">Draft  Amendments No. 1 to the Technical Regulation of the Customs Union «On requirements for lubricants, oils and special liquids» (CU TR 030/2012) (2 pages, in Russian) ;
</t>
  </si>
  <si>
    <t>Draft Amendments No 1 to the Technical Regulation of the Customs Union «On requirements for lubricants, oils and special liquids»  (CU TR 030/2012) set out requirements of the content of methanol in coolants, determine the validity of previously issued documents of conformity assessment.</t>
  </si>
  <si>
    <t>Coolants</t>
  </si>
  <si>
    <t>75.100 - Lubricants, industrial oils and related products</t>
  </si>
  <si>
    <t>The Technical Regulation of the Customs Union «On requirements for lubricants, oils and special liquids» (CU TR 030/2012): http://www.eurasiancommission.org/ru/act/texnreg/deptexreg/tr/Pages/SmazMaterials.aspxDraft  Amendment No1 to the Technical Regulation of the Customs Union «On requirements for lubricants, oils and special liquids» (CU TR 030/2012): https://docs.eaeunion.org/docs/ru-ru/01412466/clco_29122016_221</t>
  </si>
  <si>
    <t xml:space="preserve">Draft amendments No. 1 to the Technical Regulation of the Customs Union "On the Safety of Railway Rolling Stock" (TR CU 001/2011) (46 pages, in Russian) ;
</t>
  </si>
  <si>
    <t>Draft amendments No. 1 to the Technical Regulation of the Customs Union "On the Safety of Railway Rolling Stock" (TR CU 001/2011) clarify the term "innovative product", scope of application and certain provisions of the Technical Regulation.</t>
  </si>
  <si>
    <t>Railway rolling stock and its components</t>
  </si>
  <si>
    <t xml:space="preserve">Draft amendments N 1 to the Technical Regulation of the Customs Union "On the Safety of Railway Rolling Stock" (TR CU 001/2011: httpwwweurasiancommissionorgruacttexnregdeptexregtrPagesprojectsPublicaspxTechnical Regulation of the Customs Union "On the Safety of Railway Rolling Stock"_x000D_
(TR CU 001/2011): httpwwweurasiancommissionorgruacttexnregdeptexregtrPagesbezopJPSaspx</t>
  </si>
  <si>
    <t>Draft amendments N 1 to the Customs Union Technical Regulation «On Safety of Equipment Working under Excessive Pressure» (TR CU 032/2013) (18 pages, in Russian)</t>
  </si>
  <si>
    <t>Draft amendments No. 1 to the Technical Regulation of the Customs Union «On Safety of Equipment Working under Excessive Pressure» (TR CU 032/2013) clarify certain provisions of the Technical Regulationand introduce new definitions.</t>
  </si>
  <si>
    <t>Pressure equipment</t>
  </si>
  <si>
    <t>13.240 - Protection against excessive pressure; 23.020.30 - Gas pressure vessels, gas cylinders; 23.040 - Pipeline components and pipelines; 23.060.40 - Pressure regulators; 27.060.30 - Boilers and heat exchangers</t>
  </si>
  <si>
    <t>Draft Amendments No. 1 to the Technical Regulation of the Customs Union «On Safety of Equipment Working under Excessive Pressure» (TR CU 032/2013): httpwwweurasiancommissionorgruacttexnregdeptexregtrPagesprojectsPublicaspxTechnical Regulation «On Safety of Equipment Working under Excessive Pressure» (TR CU 032/2013) (G/TBT/N/RUS/16): httpwwweurasiancommissionorgruacttexnregdeptexregtrPagesd0%a2%d0%a0-%d0%a2%d0%a1-032.aspx</t>
  </si>
  <si>
    <t xml:space="preserve">Draft amendments N 1 to the Technical Regulation of the Customs Union "On the Safety of Railway Rolling Stock Infrastructure" (TR CU 003/2011) (23 pages, in Russian) ;
</t>
  </si>
  <si>
    <t>Draft amendments N 1 to the Technical Regulation of the Customs Union "On Safety of Railway Rolling Stock infrastructure" (TR CU 003/2011) clarify the term "innovative product", scope of application and certain provisions of the Technical Regulation.</t>
  </si>
  <si>
    <t>Railway rolling stock infrastructure</t>
  </si>
  <si>
    <t>45.020 - Railway engineering in general; 45.060 - Railway rolling stock</t>
  </si>
  <si>
    <t>Draft amendments N 1 to the Technical Regulations of the Customs Union "On the Safety of Railway Rolling Stock Infrastructure" (TR CU 003/2011): httpwwweurasiancommissionorgruacttexnregdeptexregtrPagesprojectsPublicaspxTechnical Regulation of the Customs Union "On the Safety of Railway Rolling Stock Infrastructure" (TR CU 003/2011): http://www.eurasiancommission.org/ru/act/texnreg/deptexreg/tr/Pages/bezopIJT.aspx</t>
  </si>
  <si>
    <t xml:space="preserve">Draft amendments No. 1 to the Technical Regulation of the Customs Union "On the Safety of High-Speed Railway Transport" (TR CU 002/2011) (29 pages, in Russian) ;
</t>
  </si>
  <si>
    <t>Draft amendments No. 1 to the Technical Regulation of the Customs Union "On the Safety of High-Speed Railway Transport" (TR CU 002/2011) clarify the term "innovative product", scope of application and certain provisions of the Technical Regulation.</t>
  </si>
  <si>
    <t>High-speed railway transport and its infrastructure</t>
  </si>
  <si>
    <t>Draft amendment No. 1 to the Technical Regulation of the Customs Union "On the Safety of High-Speed Railway Transport" (TR CU 002/2011): httpwwweurasiancommissionorgruacttexnregdeptexregtrPagesprojectsPublicaspxTechnical Regulation of the Customs Union "On the Safety of High-Speed Railway Transport" (TR CU 002/2011): http://www.eurasiancommission.org/ru/act/texnreg/deptexreg/tr/Pages/bezopVJT.aspx</t>
  </si>
  <si>
    <t>Letter of the Federal Service for Veterinary and Phytosanitary Surveillance as of 14 December 2016 No. FS-NV-7/23994</t>
  </si>
  <si>
    <t>This letter introduces temporary restrictions on import of poultry and poultry products, eggs and egg products, feed of plant origin from Ukraine to the territory of the Russian Federation due to highly pathogenic avian influenza outbreaks.</t>
  </si>
  <si>
    <t>Poultry and poultry products, eggs and egg products, feed of plant origin</t>
  </si>
  <si>
    <t>2309 - Preparations of a kind used in animal feeding; 2302 - Bran, sharps and other residues, whether or not in the form of pellets, derived from the sifting, milling or other working of cereals or of leguminous plants; 2308 - Acorns, horse-chestnuts, marc and other vegetable materials and vegetable waste, vegetable residues and by-products of a kind used in animal feeding, whether or not in the form of pellets, n.e.s.; 0207 - Meat and edible offal of fowls of the species Gallus domesticus, ducks, geese, turkeys and guinea fowls, fresh, chilled or frozen; 0105 - Live poultry, "fowls of the species Gallus domesticus, ducks, geese, turkeys and guinea fowls"; 0407 - Birds' eggs, in shell, fresh, preserved or cooked</t>
  </si>
  <si>
    <t>Animal diseases; Food safety; Zoonoses; Avian Influenza; Animal feed; Animal health; Human health</t>
  </si>
  <si>
    <t>Ukraine</t>
  </si>
  <si>
    <d:r xmlns:d="http://schemas.openxmlformats.org/spreadsheetml/2006/main">
      <d:rPr>
        <d:sz val="11"/>
        <d:rFont val="Calibri"/>
      </d:rPr>
      <d:t xml:space="preserve">http://www.fsvps.ru/fsvps/download/attachment/84548/23994.pdf</d:t>
    </d:r>
  </si>
  <si>
    <t>The Federal Service for Veterinary and Phytosanitary Surveillance as of 25 November 2016 No. FS-USH-7/22470</t>
  </si>
  <si>
    <t>This letter introduces temporary import restrictions due to avian influenza detections.</t>
  </si>
  <si>
    <t>HS Codes: 0105, 0407</t>
  </si>
  <si>
    <t>0407 - Birds' eggs, in shell, fresh, preserved or cooked; 0105 - Live poultry, "fowls of the species Gallus domesticus, ducks, geese, turkeys and guinea fowls"</t>
  </si>
  <si>
    <t>Animal diseases; Food safety; Avian Influenza; Zoonoses; Animal health; Human health; Pest- or Disease- free Regions / Regionalization</t>
  </si>
  <si>
    <t>Germany (Dithmarschen, Kloppenburg, Harz, Ludwiglust-Parchim regions)</t>
  </si>
  <si>
    <d:r xmlns:d="http://schemas.openxmlformats.org/spreadsheetml/2006/main">
      <d:rPr>
        <d:sz val="11"/>
        <d:rFont val="Calibri"/>
      </d:rPr>
      <d:t xml:space="preserve">http://www.fsvps.ru/fsvps/laws/4715.html</d:t>
    </d:r>
  </si>
  <si>
    <t>Temporary restrictions on import of plant products from Egypt</t>
  </si>
  <si>
    <t xml:space="preserve">This measure (except for HS Code 0701) has been whithdrawn since 1 October 2016 according to Egyptian competent authorities garantees._x000D_
Letter of the Federal Service of Veterinary and Phytosanitary Surveillance as of 27 September 2016 No FS-USH-3/18178.</t>
  </si>
  <si>
    <t>08 - EDIBLE FRUIT AND NUTS; PEEL OF CITRUS FRUITS OR MELONS; 06 - LIVE TREES AND OTHER PLANTS; BULBS, ROOTS AND THE LIKE; CUT FLOWERS AND ORNAMENTAL FOLIAGE</t>
  </si>
  <si>
    <t>Withdrawal of the measure</t>
  </si>
  <si>
    <t>Letter of the Federal Service for Veterinary and Phytosanitary Surveillance as of 19 September 2016 No FS-USH-3/17658</t>
  </si>
  <si>
    <t>This letter introduces temporary restrictions on import of products mentioned in point 3 from Egypt to the territory of the Russian Federatin due to systematic violations of national and international phytosanitary legislation.</t>
  </si>
  <si>
    <t>Quarantine products of high phytosanitary risk, approved by CU Commission Decision as of 18 June 2010 No 318</t>
  </si>
  <si>
    <t>Egypt</t>
  </si>
  <si>
    <t xml:space="preserve">Draft Amendments ¹ 1 to the Technical Regulations of the Customs Union "On safety of personal protective equipment" (CU TR 019/2011) (6 pages, in Russian) ;
</t>
  </si>
  <si>
    <t>Draft Amendments No. 1 to the Technical Regulations of the Customs Union "On safety of personal protective equipment" (CU TR 019/2011) envisage clarification of the scope of technical regulations and establishment of the requirements for the different objects of technical regulations.</t>
  </si>
  <si>
    <t xml:space="preserve">Draft Amendments No. 1 to the Technical Regulations of the Customs Union "On safety of personal protective equipment" (CU TR 019/2011: http://www.eurasiancommission.org/ru/act/texnreg/deptexreg/tr/Pages/projectsPublic.aspx_x000D_
The Technical Regulations of the Customs Union "On safety of personal protective equipment" (CU TR 019/2011): http://www.eurasiancommission.org/ru/act/texnreg/deptexreg/tr/Documents/TP%20TS%20SIZ.pdf</t>
  </si>
  <si>
    <t xml:space="preserve">Draft  Amendments No. 1 to the Technical Regulations of the Customs Union "On safety of agricultural and forestry tractors and their trailers" (CU TR 031/2012) (29 pages, in Russian) ;
</t>
  </si>
  <si>
    <t>Draft  Amendments No. 1 to the Technical Regulations of the Customs Union "On safety of agricultural and forestry tractors and their trailers" (CU TR 031/2012) provide the clarification of the application field of the CU TR 031/2012 and of the conformity assessment procedure of tractors, trailers and components to the requirements of the CU TR 031/2012. Draft  Amendments No. 1 also provide the requirements to the spare components and the requirements to the general safety and to the emissions of harmful (pollutants) agents of tractors engines which operates on compressed natural gas and liquefied hydrocarbon gas, and the actualization of reference standards and of the UNECE Regulations listed in Annexes 1, 4 and 5 of the CU TR 031/2012.</t>
  </si>
  <si>
    <t>Agricultural and forestry tractors and their trailers</t>
  </si>
  <si>
    <t>65.060.10 - Agricultural tractors and trailed vehicles</t>
  </si>
  <si>
    <t>Draft amendments ¹1 to the Technical Regulations of the Customs Union "On safety of agricultural and forestry tractors and their trailers" (CU TR 031/2012): http://www.eurasiancommission.org/ru/act/texnreg/deptexreg/tr/Pages/projectsPublic.aspxThe Technical Regulations of the Customs Union "On safety of agricultural and forestry tractors and their trailers" (CU TR 031/2012): http://www.eurasiancommission.org/ru/act/texnreg/deptexreg/tr/Documents/P_60.pdf</t>
  </si>
  <si>
    <t xml:space="preserve">Draft  Amendments No. 2 to the Technical regulations of the Customs Union "On safety of perfumery and cosmetics" (TR TC 009/2011) (419 pages, in Russian)</t>
  </si>
  <si>
    <t>Draft  Amendments No. 2 to the Technical Regulations of the Customs Union "The safety of perfumery and cosmetics" (TR TC 009/2011) provide definitions for "perfume and cosmetic products for self-tanning" and "seller", for the updating of the requirements on the pH of the of cosmetic products, for the updating of indexes and the elimination of technical errors in the Annexes 1-5, for the clarification of the particular provisions of the technical regulations.</t>
  </si>
  <si>
    <t>Perfumery and cosmetics</t>
  </si>
  <si>
    <t>Draft  Amendments No. 2 to the Technical regulations of the Customs Union "On safety of perfumery and cosmetics" (TR TC 009/2011): http://www.eurasiancommission.org/ru/act/texnreg/deptexreg/tr/Pages/projectsPublic.aspxThe Technical regulations of the Customs Union "On safety of perfumery and cosmetics" (TR TC 009/2011): http://www.eurasiancommission.org/ru/act/texnreg/deptexreg/tr/Documents/TR%20TS%20Parfum.pdf The Amendments No. 1 to the Technical regulations of the Customs Union "On safety of perfumery and cosmetics" (G/TBT/N/RUS/13)</t>
  </si>
  <si>
    <t xml:space="preserve">This draft is applied to regulate quarantine phytosanitary control (surveillance) by Russian competent authorities  at shipment and production (including processing) sites of quarantine products, imported for sowing and planting from the third countries and group of the third countries, where spread of specific quarantine objects for such quarantine products was detected. It is aimed at ensuring products compliance with phytosanitary requirements of the Russian Federation.</t>
  </si>
  <si>
    <t>Plant seeds</t>
  </si>
  <si>
    <t>Pests; Seeds; Plant health</t>
  </si>
  <si>
    <d:r xmlns:d="http://schemas.openxmlformats.org/spreadsheetml/2006/main">
      <d:rPr>
        <d:sz val="11"/>
        <d:rFont val="Calibri"/>
      </d:rPr>
      <d:t xml:space="preserve">https://regulation.gov.ru/Files/GetFile?fileid=b4bd306a-d3c2-4354-bb27-288ea60f526c</d:t>
    </d:r>
  </si>
  <si>
    <t>Letter of the Federal Service for Veterinary and Phytosanitary Surveillance No. FS-NV-7/14038 as of 28 July 2016</t>
  </si>
  <si>
    <t>This letter introduces temporary restrictions on import of products from Montenegro mentioned in point 3 to the territory of the Russian Federation due to detection of Dermatitis Nodularis.</t>
  </si>
  <si>
    <t>HS Code(s): 0102, 0106, 0511, 051110</t>
  </si>
  <si>
    <t>0102 - Live bovine animals; 0106 - Live animals (excl. horses, asses, mules, hinnies, bovine animals, swine, sheep, goats, poultry, fish, crustaceans, molluscs and other aquatic invertebrates, and microorganic cultures etc.); 051110 - Bovine semen; 0511 - Animal products n.e.s.; dead animals of all types, unfit for human consumption</t>
  </si>
  <si>
    <t>Montenegro</t>
  </si>
  <si>
    <d:r xmlns:d="http://schemas.openxmlformats.org/spreadsheetml/2006/main">
      <d:rPr>
        <d:sz val="11"/>
        <d:rFont val="Calibri"/>
      </d:rPr>
      <d:t xml:space="preserve">http://www.fsvps.ru/fsvps/laws/4534.html</d:t>
    </d:r>
  </si>
  <si>
    <t>Letters of the Federal Service for Veterinary and Phytosanitary Surveillance No. FS-NV-7/13624, FS-NV-7/13634, FS-NV-7/13598 as of 22 July 2016</t>
  </si>
  <si>
    <t>These letters introduce temporary restrictions on import of products from Greece, Kazakhstan and Serbia mentioned in point 3 to the territory of the Russian Federation due to detection of Dermatitis Nodularis.</t>
  </si>
  <si>
    <t>HS Code(s): 0102, 0106, 051110, 0511</t>
  </si>
  <si>
    <t>Animal health; Pest- or Disease- free Regions / Regionalization; Animal diseases</t>
  </si>
  <si>
    <t>Greece, Kazakhstan, Serbia</t>
  </si>
  <si>
    <d:r xmlns:d="http://schemas.openxmlformats.org/spreadsheetml/2006/main">
      <d:rPr>
        <d:sz val="11"/>
        <d:rFont val="Calibri"/>
      </d:rPr>
      <d:t xml:space="preserve">http://www.fsvps.ru/fsvps/laws/4529.html
http://www.fsvps.ru/fsvps/laws/4525.html
http://www.fsvps.ru/fsvps/laws/4527.html</d:t>
    </d:r>
  </si>
  <si>
    <t>Letter by the Federal Service for Veterinary and Phytosanitary Supervision No. FS-RH-7/14167 as of 29 July 2016</t>
  </si>
  <si>
    <t>The Federal Service for Veterinary and Phytosanitary Surveillance sets out temporary restrictions on the imports of unregistered feed produced by Ukrainian enterpises due to repeated detection of genetically modified components.</t>
  </si>
  <si>
    <t xml:space="preserve">Animal feed and feed additives from the following HS Code(s): 0511, 100119, 100199, 100290, 100390, 100490, 100590, 120190, 1208, 1211, 121300, 1214, 1501, 1502, 1504, 150600, 151610, 151800, 2301, 2302, 230400, 2306,  2309, 30, 350400</t>
  </si>
  <si>
    <t>1002 - Rye;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2301 - Flours, meals and pellets, of meat or meat offal, of fish or of crustaceans, molluscs or other aquatic invertebrates, unfit for human consumption; greaves; 1211 - Plants and parts of plants, incl. seeds and fruits, of a kind used primarily in perfumery, medicaments or for insecticidal, fungicidal or similar purposes, fresh or dried, whether or not cut, crushed or powdered; 121300 - Cereal straw and husks, unprepared, whether or not chopped, ground, pressed or in the form of pellets;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350400 - Peptones and their derivatives; other albuminous substances and their derivatives, n.e.s.; hide powder, whether or not chromed;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lard stearin, lard oil, oleostearin, oleooil and tallow oil, not emulsified or mixed or otherwise prepared); 2306 - Oil-cake and other solid residues, whether or not ground or in the form of pellets, resulting from the extraction of vegetable fats or oils (excl. from soya-bean oil and ground-nut oil); 30 - PHARMACEUTICAL PRODUCTS; 1504 - Fats and oils and their fractions of fish or marine mammals, whether or not refined (excl. chemically modified); 1001 - Wheat and meslin; 100590 - Maize (excl. seed); 2309 - Preparations of a kind used in animal feeding; 2302 - Bran, sharps and other residues, whether or not in the form of pellets, derived from the sifting, milling or other working of cereals or of leguminous plants; 0511 - Animal products n.e.s.; dead animals of all types, unfit for human consumption; 1003 - Barley; 1004 - Oats; 1201 - Soya beans, whether or not broken; 1208 - Flours and meals of oil seeds or oleaginous fruits (excl. mustard); 151610 - Animal fats and oils and their fractions, partly or wholly hydrogenated, inter-esterified, re-esterified or elaidinized, whether or not refined, but not further prepared; 230400 - Oil-cake and other solid residues, whether or not ground or in the form of pellets, resulting from the extraction of soya-bean oil</t>
  </si>
  <si>
    <t>Food safety; Animal feed; Animal health; Human health; Feed additives; Biotechnology; Genetically modified organisms (GMOs)</t>
  </si>
  <si>
    <t>The reason to introduce the measure is the detection of GM components detection unsafe for animal health in the feed and feed additives imported from Ukraine.</t>
  </si>
  <si>
    <t>Draft of the Eurasian Economic Commission Decision on amendments to Customs Union Commission Decision as of 7 April 2011 No. 607</t>
  </si>
  <si>
    <t>This Draft introduces the form No. 46 of veterinary certificate for importing canine semen to the territory of the Eurasian Economic Union.</t>
  </si>
  <si>
    <t>HS Code(s): 0511</t>
  </si>
  <si>
    <d:r xmlns:d="http://schemas.openxmlformats.org/spreadsheetml/2006/main">
      <d:rPr>
        <d:sz val="11"/>
        <d:rFont val="Calibri"/>
      </d:rPr>
      <d:t xml:space="preserve">https://docs.eaeunion.org/ria/ru-ru/0101522/ria_12072016</d:t>
    </d:r>
  </si>
  <si>
    <t>Draft of the Eurasian Economic Commission Decision on amendments to the Common veterinary (veterinary-sanitary) requirements for goods under veterinary control (surveillance)</t>
  </si>
  <si>
    <t>This Draft Decision introduces requirements for canine semen import to the territory of the Eurasian Economic Union.</t>
  </si>
  <si>
    <d:r xmlns:d="http://schemas.openxmlformats.org/spreadsheetml/2006/main">
      <d:rPr>
        <d:sz val="11"/>
        <d:rFont val="Calibri"/>
      </d:rPr>
      <d:t xml:space="preserve">https://docs.eaeunion.org/ria/ru-ru/0101514/ria_11072016</d:t>
    </d:r>
  </si>
  <si>
    <t xml:space="preserve">Draft amendment No. 2 to the Technical Regulation of the Customs Union «On Safety of Toys» (CU TR 008/2011) ;
(1 page, in Russian) ;
</t>
  </si>
  <si>
    <t>Draft amendments No. 2 to the Technical Regulation of the Customs Union «On Safety of Toys» (CU TR 008/2011), envisage establishment of the requirements ensuring protection of children from the possible negative impact on their development and health, causing  aggression, fear and anxiety.</t>
  </si>
  <si>
    <t>Draft amendments No. 2 to the Technical Regulation of the Customs Union «On Safety of Toys» (CU TR 008/2011), http://www.eurasiancommission.org/ru/act/texnreg/deptexreg/tr/Pages/projectsPublic.aspx</t>
  </si>
  <si>
    <t>Letter of the Federal Service for Veterinary and Phytosanitary Surveillance as of 4 July 2016 No. FS-NV-3/12212</t>
  </si>
  <si>
    <t>This letter introduces temporary import restrictions from Turkey to the territory of the Russian Federation due to Tuta Absoluta (Povolny) detection.</t>
  </si>
  <si>
    <t>HS Code(s): 0702</t>
  </si>
  <si>
    <t>Turkey</t>
  </si>
  <si>
    <t xml:space="preserve">The EAEU Commission Collegium Decisions as of 7 June 2016 No 63 and 64  on amendments to the Common veterinary (veterinary and sanitary) requirements, adopted by the Decision of the Customs Union (CU) Commission No. 317 as of 18 June 2010</t>
  </si>
  <si>
    <t>The notified documents will enter into force after 30 days of its official publication.</t>
  </si>
  <si>
    <t>0101 - Live horses, asses, mules and hinnies;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0105 - Live poultry, "fowls of the species Gallus domesticus, ducks, geese, turkeys and guinea fowls";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0410 - Turtles' eggs, birds' nests and other edible products of animal origin, n.e.s.;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0511 - Animal products n.e.s.; dead animals of all types, unfit for human consumption; 151610 - Animal fats and oils and their fractions, partly or wholly hydrogenated, inter-esterified, re-esterified or elaidinized, whether or not refined, but not further prepared; 0104 - Live sheep and goats;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1502 - Fats of bovine animals, sheep or goats (excl. lard stearin, lard oil, oleostearin, oleooil and tallow oil, not emulsified or mixed or otherwise prepared);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2309 - Preparations of a kind used in animal feeding; 4206 - Articles of gut, goldbeater's skin, bladders or tendons (excl. silkworm gut, sterile catgut, other sterile surgical suture material and strings for musical instruments); 151620 - Vegetable fats and oils and their fractions, partly or wholly hydrogenated, inter-esterified, re-esterified or elaidinized, whether or not refined, but not further prepared; 0407 - Birds' eggs, in shell, fresh, preserved or cooked; 1503 - Lard stearin, lard oil, oleostearin, oleo-oil and tallow oil (excl. emulsified, mixed or otherwise prepared); 1504 - Fats and oils and their fractions of fish or marine mammals, whether or not refined (excl. chemically modified); 3503 - Gelatin, whether or not in square or rectangular sheets, whether or not surface-worked or coloured, and gelatin derivatives; isinglass; other glues of animal origin (excl. those packaged as glue for retail sale and weighing &lt;= 1 kg, and casein glues of heading 3501);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3501 - Casein, caseinates and other casein derivatives; casein glues (excl. those packaged as glue for retail sale and weighing &lt;= 1 kg); 3502 - Albumins, incl. concentrates of two or more whey proteins containing by weight &gt; 80% whey proteins, calculated on the dry matter, albuminates and other albumin derivatives</t>
  </si>
  <si>
    <t>Draft Technical Regulation of the Eurasian Economic Union "On Safety of Combustible Gas, Prepared for Transportation and (or) Use" (17 pages, in Russian).</t>
  </si>
  <si>
    <t xml:space="preserve">Draft Technical Regulation of the Eurasian Economic Union "On Safety of Combustible Gas, Prepared for Transportation and (or) Use" specifies requirements for natural combustible gas, prepared for transportation and (or) use, aimed at ensuring human health and life_x000D_
protection, protection of property, environmental protection, preventing consumer deception, as well as energy efficiency and resource-saving.</t>
  </si>
  <si>
    <t>Combustible gas, prepared for transportation and (or) use</t>
  </si>
  <si>
    <t>75.160 - Fuels</t>
  </si>
  <si>
    <t>Technical Regulation of the Eurasian Economic Union "On Safety of Combustible Gas, Prepared for Transportation and (or) Use" httpwwweurasiancommissionorgruacttexnregdeptexregtrPagesprojectsPublicaspx</t>
  </si>
  <si>
    <t>The information contained in the notification G/TBT/N/RUS/67 is identical to that contained in G/TBT/N/RUS/66. Therefore the notification G/TBT/N/RUS/66 is null and void</t>
  </si>
  <si>
    <t>Pipelines for transportation of liquid and gaseous hydrocarbons</t>
  </si>
  <si>
    <t>Draft amendments to the Technical Regulation of the Customs Union «Electromagnetic Compatibility of Technical Means» (TR CU 020/2011)</t>
  </si>
  <si>
    <t>Alignment of certain provisions of the technical regulation, clarification of products covered</t>
  </si>
  <si>
    <t>Technical means that can cause electromagnetic interference, and (or) the quality of operation of which depends on the influence of the external electromagnetic interference</t>
  </si>
  <si>
    <t>Draft amendments to the Technical Regulation of the Customs Union «Electromagnetic Compatibility of Technical Means»  (TR CU 020/2011 http://www.eurasiancommission.org/ru/act/texnreg/deptexreg/tr/Pages/projectsPublic.aspx   Technical Regulation of the Customs Union «Electromagnetic Compatibility of Technical Means»  (TR CU 020/2011) http://www.eurasiancommission.org/ru/act/texnreg/deptexreg/tr/Pages/Down_Volt.aspx</t>
  </si>
  <si>
    <t>Draft amendments to the Technical Regulation of the Customs Union «On Safety of Low-voltage Equipment» (TR CU 004/2011)</t>
  </si>
  <si>
    <t>Alignment of certain provisions of the technical regulation, clarification of products covered, elimination of duplicate provisions</t>
  </si>
  <si>
    <t>Low-voltage equipment</t>
  </si>
  <si>
    <t xml:space="preserve">Draft amendments to the Technical Regulation of the Customs Union «On Safety of Low-voltage Equipment_x000D_
(TR CU 004/2011)http://www.eurasiancommission.org/ru/act/texnreg/deptexreg/tr/Pages/projectsPublic.aspx Technical Regulation of the Customs Union On Safety of Low-voltage Equipment (TR CU 004/2011) http://www.eurasiancommission.org/ru/act/texnreg/deptexreg/tr/Pages/Down_Volt.aspx</t>
  </si>
  <si>
    <t>Draft amendments ¹ 2 to the Technical Regulation of the Customs Union «Labelling of Food Products » (ÒÐ ÒÑ 022/2011).</t>
  </si>
  <si>
    <t>Draft amendments No. 2 to the Technical Regulation of the Customs Union «Labelling of Food Products» (TP TC 022/2011) specifies additional requirements for labelling of food products obtained using of genetically modified organisms.</t>
  </si>
  <si>
    <t>Food products obtained using of genetically modified organisms</t>
  </si>
  <si>
    <t>Food standards; Labelling; Genetically modified organisms</t>
  </si>
  <si>
    <t>Draft amendments ¹ 2 to the Technical Regulation of the Customs Union «Labelling of Food Products » (TP TC 022/2011). http://www.eurasiancommission.org/ru/act/texnreg/deptexreg/tr/Pages/%d0%bf%d0%b8%d1%89%d0%bf%d1%80%d0%be%d0%b4_2.aspxTechnical Regulation of the Customs Union «Labelling of Food Products » (TP TC 022/2011) http://www.eurasiancommission.org/ru/act/texnreg/deptexreg/tr/Pages/PischevkaMarkirivka.aspx</t>
  </si>
  <si>
    <t>Draft amendments ¹ 1 to the Technical Regulation of the Customs Union «On Safety of Milk and Dairy Products» (TR CU 033/2013) (2 pages, in Russian).</t>
  </si>
  <si>
    <t xml:space="preserve">Draft amendments ¹ 1 to the Technical Regulation of the Customs Union "on Safety of Milk and Dairy Products" (TR CU 033/2013) specifies_x000D_
requirements for reconstituted milk.</t>
  </si>
  <si>
    <t>Reconstituted milk</t>
  </si>
  <si>
    <t>67.100.10 - Milk and processed milk products</t>
  </si>
  <si>
    <t>Draft amendments ¹ 1 to the Technical Regulation of the Customs Union «On Safety of Milk and Dairy Products» (TR CU 033/2013)http://www.eurasiancommission.org/ru/act/texnreg/deptexreg/tr/Pages/moloko_1.aspxTechnical Regulation of the Customs Union «On Safety of Milk and Dairy Products» (TR CU 033/2013)  http://www.eurasiancommission.org/ru/act/texnreg/deptexreg/tr/Pages/%d0%a2%d0%a0-%d0%a2%d0%a1-033.aspx</t>
  </si>
  <si>
    <t>Draft decision of The Board of the Eurasian Economic Union "On the establishment of the rules of bioequivalence testing of pharmaceutical products within the Eurasian Economic Union" (162 pages, in Russian).</t>
  </si>
  <si>
    <t xml:space="preserve">Establishment of requirements for the development of bioequivalence testing design, for bioequivalence testing and_x000D_
for the analysis of results and for the grounds that enable to substitute in vivo tests by in vitro ones.</t>
  </si>
  <si>
    <t>Draft decision of The Board of the Eurasian Economic Union "On the establishment of the rules of bioequivalence testing of  pharmaceutical products within the Eurasian Economic Union"https://docs.eaeunion.org/docs/ru-ru/0149273/clco_30122015_178Agreement on common principles and rules of medicinal products circulation in the Eurasian Economic Union.http://www.eurasiancommission.org/ru/act/texnreg/deptexreg/konsultComitet/Documents/1%20Sogl%20LS.pdf</t>
  </si>
  <si>
    <t>Letter of the Federal Service for Veterinary and Phytosanitary Surveillance as of 18 May 2016 No. FS-USH-3/8694</t>
  </si>
  <si>
    <t>This letter introduces temporary restrictions on import of pumpkins, squash and other gourd family vegetables from Turkey to the territory of the Russian Federation due to detection of Frankliniella occidentalis Perg.</t>
  </si>
  <si>
    <t>HS Code(s): 070993</t>
  </si>
  <si>
    <t>070990 - Fresh or chilled vegetables (excl. potatoes, tomatoes, vegetables of the Allium spp., cabbages of the genus Brassica, lettuces of the species Lactuca sativa and Cichorium, carrots, turnips, salad beetroot, salsify, celeriac, radishes and similar edible roots, cucumbers and gherkins, leguminous vegetables, artichokes, asparagus, aubergines, mushrooms, truffles, fruits of the genus Capsicum or of the genus Pimenta, spinach, New Zealand spinach and orache spinach)</t>
  </si>
  <si>
    <t xml:space="preserve">Draft Technical Regulation of the Eurasian Economic Union "On Requirements to Pipelines for Transportation  ;
of Liquid and Gaseous Hydrocarbons"  (41 page, in Russian). ;
</t>
  </si>
  <si>
    <t xml:space="preserve">Draft Technical Regulation of the Eurasian Economic Union "On Requirements to Pipelines for Transportation of Liquid and Gaseous  Hydrocarbons" specifies requirements for pipelines for transportation of liquid and gaseous hydrocarbons, aimed at ensuring human health and life protection, protection of property, environmental protection, preventing consumer deception, as well as energy efficiency and  resource-saving. </t>
  </si>
  <si>
    <t>75.200 - Petroleum products and natural gas handling equipment</t>
  </si>
  <si>
    <t>Technical Regulation of the Eurasian Economic Union "On Requirements to Pipelines for Transportation of Liquid and Gaseous Hydrocarbons" httpwwweurasiancommissionorgruacttexnregdeptexregtrPagesprojectsPublicaspx9</t>
  </si>
  <si>
    <t xml:space="preserve">Draft Technical Regulation of the Eurasian Economic Union "On Requirements to Pipelines for Transportation  ;
of Liquid and Gaseous  Hydrocarbons"  (41 page, in Russian). ;
</t>
  </si>
  <si>
    <t>Technical Regulation of the Eurasian Economic Union "On Requirements to Pipelines for Transportation of Liquid and Gaseous Hydrocarbons" httpwwweurasiancommissionorgruacttexnregdeptexregtrPagesprojectsPublicaspx</t>
  </si>
  <si>
    <t>Draft decision of The Board of the Eurasian Economic Union "On the establishment of the rules of good clinical practice within the Eurasian Economic Union" (232 pages, in Russian).</t>
  </si>
  <si>
    <t xml:space="preserve">Establishment of requirements for conducting clinical research (test) of pharmaceutical products and for planning and_x000D_
executing research with a human acting as a subject and for the documenting and presenting of the obtained results.</t>
  </si>
  <si>
    <t>Draft decision of The Board of the Eurasian Economic Union "On the establishment of the rules of good clinical practice within the Eurasian Economic Union"https://docs.eaeunion.org/docs/ru-ru/0149255/clco_30122015_172Agreement on common principles and rules of medicinal products circulation in the Eurasian Economic Union.http://www.eurasiancommission.org/ru/act/texnreg/deptexreg/konsultComitet/Documents/1%20Sogl%20LS.pdf</t>
  </si>
  <si>
    <t>Draft decision of The Board of the Eurasian Economic Union "On the rules of conducting clinical and clinico-laboratorial tests of medical devices" (66 pages, in Russian).</t>
  </si>
  <si>
    <t>Establishment of rules of clinical and clinico-laboratorial tests of medical devices.</t>
  </si>
  <si>
    <t>Medical devices.</t>
  </si>
  <si>
    <t>11.040 - Medical equipment</t>
  </si>
  <si>
    <t>Draft decision of The Board of the Eurasian Economic Union "On the rules of conducting clinical and clinico-laboratorial tests of medical devices"https://docs.eaeunion.org/docs/ru-ru/0149298/clco_30122015_183_attAgreement on common principles and rules of medical devices circulation in the Eurasian Economic Union.http://www.eurasiancommission.org/ru/act/texnreg/deptexreg/konsultComitet/Documents/1%20Sogl%20MI.pdf</t>
  </si>
  <si>
    <t>Draft decision of The Board of the Eurasian Economic Union "On the establishment of the rules of conducting biological effect test of medical devices" (18 pages, in Russian).</t>
  </si>
  <si>
    <t xml:space="preserve">Establishment of requirements for conducting biological effect test of medical devices, of requirements for certifying_x000D_
authority, and of compliance assessment procedures of these authorities with the requirements.</t>
  </si>
  <si>
    <t>Medical devices</t>
  </si>
  <si>
    <t>Draft decision of The Board of the Eurasian Economic Union "On the establishment of the rules of conducting biological effect test of medical devices"https://docs.eaeunion.org/docs/ru-ru/0149715/clco_09032016_16Agreement on common principles and rules of medical devices circulation in the Eurasian Economic Union.http://www.eurasiancommission.org/ru/act/texnreg/deptexreg/konsultComitet/Documents/1%20Sogl%20MI.pdf</t>
  </si>
  <si>
    <t>Draft decision of The Board of the Eurasian Economic Union "On the establishment of the rules of good distribution practice within the Eurasian Economic Union" (48 pages, in Russian).</t>
  </si>
  <si>
    <t>Establishment of requirements for storage and transport procedures of pharmaceutical products and for their distribution.</t>
  </si>
  <si>
    <t>Draft decision of The Board of the Eurasian Economic Union "On the establishment of the rules of good distribution practice within the Eurasian Economic Union"https://docs.eaeunion.org/docs/ru-ru/0149259/clco_30122015_173_attAgreement on common principles and rules of medicinal products circulation in the Eurasian Economic Union.http://www.eurasiancommission.org/ru/act/texnreg/deptexreg/konsultComitet/Documents/1%20Sogl%20LS.pdf</t>
  </si>
  <si>
    <t>Draft decision of The Board of the Eurasian Economic Union "On the establishment of labelling requirements of pharmaceutical products for medical use and pharmaceutical products for veterinary use" (26 pages, in Russian).</t>
  </si>
  <si>
    <t xml:space="preserve">Establishing of requirements for labelling, placed on the package of pharmaceutical products and veterinary pharmaceutical_x000D_
products.</t>
  </si>
  <si>
    <t>Prevention of deceptive practices and consumer protection (TBT); Protection of human health or safety (TBT); Protection of animal or plant life or health (TBT)</t>
  </si>
  <si>
    <t>Draft decision of The Board of the Eurasian Economic Union "On the establishment of labelling requirements of pharmaceutical products for medical use and pharmaceutical products for veterinary use"https://docs.eaeunion.org/docs/ru-ru/0149244/clco_30122015_168_attAgreement on common principles and rules of medicinal products circulation in the Eurasian Economic Union.http://www.eurasiancommission.org/ru/act/texnreg/deptexreg/konsultComitet/Documents/1%20Sogl%20LS.pdf</t>
  </si>
  <si>
    <t>Draft decision of The Board of the Eurasian Economic Union "On the establishment of the rules of good laboratory practice within the Eurasian Economic Union" (183 pages, in Russian).</t>
  </si>
  <si>
    <t xml:space="preserve">Establishment of requirements for conducting pre-clinical (non-clinical) tests on pharmaceutical products safety or (and)_x000D_
materials that such products contain.</t>
  </si>
  <si>
    <t>Draft decision of The Board of the Eurasian Economic Union "On the establishment of the rules of good laboratory practice within the Eurasian Economic Union"https://docs.eaeunion.org/docs/ru-ru/0149261/clco_30122015_174Agreement on common principles and rules of medicinal products circulation in the Eurasian Economic Union.http://www.eurasiancommission.org/ru/act/texnreg/deptexreg/konsultComitet/Documents/1%20Sogl%20LS.pdf</t>
  </si>
  <si>
    <t>Draft decision of The Board of the Eurasian Economic Union "On the establishment of the requirements for the package insert of pharmaceutical products for medical use and for the drug profile of pharmaceutical products for medical use" (299 pages, in Russian).</t>
  </si>
  <si>
    <t xml:space="preserve">Establishment of requirements for drug profile of pharmaceutical products, containing official information on the_x000D_
pharmaceutical product for medical use.</t>
  </si>
  <si>
    <t>Pharmaceutical products.</t>
  </si>
  <si>
    <t>Draft decision of The Board of the Eurasian Economic Union "On the establishment of the requirements for the package insert of pharmaceutical products for medical use and for the drug profile of pharmaceutical products for medical use"https://docs.eaeunion.org/docs/ru-ru/0149325/clco_31122015_187_attAgreement on common principles and rules of pharmaceutical products circulation in the Eurasian Economic Union.http://www.eurasiancommission.org/ru/act/texnreg/deptexreg/konsultComitet/Documents/1%20Sogl%20LS.pdf  </t>
  </si>
  <si>
    <t>Draft decision of The Board of the Eurasian Economic Union "On the establishment of the list of types of medical devices treated as a measuring instrument under registration procedure" (8 pages, in Russian).</t>
  </si>
  <si>
    <t>Establishing of the list of medical devices that serve as a measuring instrument.</t>
  </si>
  <si>
    <t>Draft decision of The Board of the Eurasian Economic Union "On the establishment of the list of types of medical devices treated as a measuring instrument under registration procedure"https://docs.eaeunion.org/docs/ru-ru/0149279/clco_30122015_180Agreement on common principles and rules of medical devices circulation in the Eurasian Economic Union.http://www.eurasiancommission.org/ru/act/texnreg/deptexreg/konsultComitet/Documents/1%20Sogl%20MI.pdf</t>
  </si>
  <si>
    <t xml:space="preserve">Draft decision of The Board of the Eurasian Economic Union "On the establishment of the rules of the good  manufacturing practice within the Eurasian Economic Union" (600 pages, in Russian).</t>
  </si>
  <si>
    <t xml:space="preserve">Establishment of requirements for manufacturing ;
of pharmaceutical products, veterinary pharmaceutical products, and active ;
pharmaceutical ingredients, used as input materials.</t>
  </si>
  <si>
    <t xml:space="preserve">Draft decision of The Board of the Eurasian ;
Economic Union "On the establishment of the rules of the good ;
manufacturing practice within the Eurasian Economic Union"https://docs.eaeunion.org/docs/ru-ru/0149246/clco_30122015_169Agreement on common principles and rules of ;
medicinal products circulation in the Eurasian Economic Union.http://www.eurasiancommission.org/ru/act/texnreg/deptexreg/konsultComitet/Documents/1%20Sogl%20LS.pdf</t>
  </si>
  <si>
    <t>Draft decision of The Board of the Eurasian Economic Union "On the special production mark of medical devices on the market of the Eurasian Economic Union" (8 pages, in Russian).</t>
  </si>
  <si>
    <t>Establishment of application procedure of the special production mark of medical devices.</t>
  </si>
  <si>
    <t>Draft decision of The Board of the Eurasian Economic Union "On the special production mark of medical devices on the market of the Eurasian Economic Union"https://docs.eaeunion.org/docs/ru-ru/0149228/clco_30122015_163Agreement on common principles and rules of medical devices circulation in the Eurasian Economic Union.http://www.eurasiancommission.org/ru/act/texnreg/deptexreg/konsultComitet/Documents/1%20Sogl%20MI.pdf</t>
  </si>
  <si>
    <t>Letter of the Federal Service for Veterinary and Phytosanitary Surveillance as of 11 May 2016 No. FS-USH-3/8156</t>
  </si>
  <si>
    <t>This letter introduces temporary restrictions on import of iceberg lettuce and lettuce (lactuca) from Turkey to the territory of the Russian Federation due to detection of Frankliniella occidentalis Perg.</t>
  </si>
  <si>
    <t>HS Code(s): 070511, 070519</t>
  </si>
  <si>
    <t>070511 - Fresh or chilled cabbage lettuce; 070519 - Fresh or chilled lettuce (excl. cabbage lettuce)</t>
  </si>
  <si>
    <t>Draft decision of The Board of the Eurasian Economic Union "On the rules of registration and inspection of pharmaceutical products for medical use" (861 pages, in Russian).</t>
  </si>
  <si>
    <t xml:space="preserve">Establishment of requirements for registration ;
procedures, confirmation and modification of the registration dossiers and for ;
testing procedures of pharmaceutical products for medical use.</t>
  </si>
  <si>
    <t xml:space="preserve">Draft decision of The Board of the Eurasian ;
Economic Union "On the rules of registration and inspection of ;
pharmaceutical products for medical use"https://docs.eaeunion.org/docs/ru-ru/0149249/clco_30122015_170 Agreement on common principles and rules of ;
medicinal products circulation in the Eurasian Economic Union.http://www.eurasiancommission.org/ru/act/texnreg/deptexreg/konsultComitet/Documents/1%20Sogl%20LS.pdf</t>
  </si>
  <si>
    <t>Draft decision of The Board of the Eurasian Economic Union "On the establishment of the common requirements for safety and efficiency of medical devices, for their labelling requirements and operational documentation for them" (54 pages, in Russian).</t>
  </si>
  <si>
    <t xml:space="preserve">Establishing of requirements for safety and ;
efficiency of medical devices and of the requirements for their labelling ;
requirements and operational documentation for them.</t>
  </si>
  <si>
    <t>Pharmaceutical products and medical devices.</t>
  </si>
  <si>
    <t>11.040 - Medical equipment; 11.120 - Pharmaceutics</t>
  </si>
  <si>
    <t xml:space="preserve">Draft decision of The Board of the Eurasian ;
Economic Union "On the establishment of the common requirements for safety ;
and efficiency of medical devices, for their labelling requirements and ;
operational documentation for them"https://docs.eaeunion.org/docs/ru-ru/0149235/clco_30122015_165_attAgreement on common principles and rules of ;
pharmaceutical products circulation in the Eurasian Economic Union.http://www.eurasiancommission.org/ru/act/texnreg/deptexreg/konsultComitet/Documents/1%20Sogl%20LS.pdfAgreement on common principles and rules of ;
medical devices circulation in the Eurasian Economic Union.http://www.eurasiancommission.org/ru/act/texnreg/deptexreg/konsultComitet/Documents/1%20Sogl%20MI.pdf</t>
  </si>
  <si>
    <t>Draft decision of The Board of the Eurasian Economic Union "On the establishment of the rules of conducting technical tests of medical devices" (15 pages, in Russian).</t>
  </si>
  <si>
    <t xml:space="preserve">Establishing of rules of technical tests of medical devices, of requirements for certifying authority, and of compliance_x000D_
assessment procedures of these authorities with the requirements.</t>
  </si>
  <si>
    <t>Draft decision of The Board of the Eurasian Economic Union "On the establishment of the rules of conducting technical tests of medical devices"https://docs.eaeunion.org/docs/ru-ru/0149277/clco_30122015_179_attAgreement on common principles and rules of medical devices circulation in the Eurasian Economic Union.http://www.eurasiancommission.org/ru/act/texnreg/deptexreg/konsultComitet/Documents/1%20Sogl%20MI.pdf</t>
  </si>
  <si>
    <t>Draft decision of The Board of the Eurasian Economic Union "On the establishment of the rules of tests of biological pharmaceutical products within the Eurasian Economic Union" (717 pages, in Russian).</t>
  </si>
  <si>
    <t xml:space="preserve">Establishing of requirements for pharmaceutical and biological tests, pre-clinical and clinical assessment of pharmaceutical_x000D_
products.</t>
  </si>
  <si>
    <t>Draft decision of The Board of the Eurasian Economic Union "On the establishment of the rules of tests of biological pharmaceutical products within the Eurasian Economic Union"https://docs.eaeunion.org/docs/ru-ru/0149328/clco_31122015_188_docAgreement on common principles and rules of pharmaceutical products circulation in the Eurasian Economic Union.http://www.eurasiancommission.org/ru/act/texnreg/deptexreg/konsultComitet/Documents/1%20Sogl%20LS.pdf  </t>
  </si>
  <si>
    <t>Draft decision of The Board of the Eurasian Economic Union "On the rules of registration and of the safety, quality, and efficiency inspection of medical devices" (76 pages, in Russian).</t>
  </si>
  <si>
    <t>Establishment of procedures of registration and evaluation of safety, quality, and efficiency of medical devices, of the procedures of modification the registration dossiers of a  medical device, of the issue of registration certificate duplicates, and of the procedures of denial of registration, suspension and repeal of registration certificate for medical device.</t>
  </si>
  <si>
    <t>Draft decision of The Board of the Eurasian Economic Union "On the rules of registration and of the safety, quality, and efficiency inspection of medical devices"https://docs.eaeunion.org/docs/ru-ru/0149253/clco_30122015_171_docAgreement on common principles and rules of medical devices circulation in the Eurasian Economic Union.http://www.eurasiancommission.org/ru/act/texnreg/deptexreg/konsultComitet/Documents/1%20Sogl%20MI.pdf</t>
  </si>
  <si>
    <t>Letter of the Federal Service of Veterinary and Phytosanitary Surveillance as of 19 April 2016 No. FS-USH-3/6681</t>
  </si>
  <si>
    <t>This letter introduces temporary restrictions on import of aubergines to the territorry of the Russian Federation from Turkey due to systematic import of products infected by Franklinella occidentalis Perg.</t>
  </si>
  <si>
    <t>HS Code(s): 07093000</t>
  </si>
  <si>
    <t>070930 - Fresh or chilled aubergines</t>
  </si>
  <si>
    <t>Draft order of the Ministry of Agriculture of the Russian Federation on amendments to Administrative regulation concerning permits issuing by the Federal Service of Veterinary and Phytosanitary Surveillance for import, export and transit through the territory of the Russian Federation of animals, products of animal origin, medicinal products for veterinary use, feed and feed additives for animals, adopted by the Ministry of Agriculture of the Russian Federation Order No. 404 as of 7 November 2011</t>
  </si>
  <si>
    <t>This document specifies the product list which should be accompanied by import or export permit while importing to the Russian Federation or exporting from Russia.</t>
  </si>
  <si>
    <t>Products covered by the Common list of goods subject to veterinary control (surveillance), adopted by the Customs Union Commission Decision No. 317 as of 18 June 2010</t>
  </si>
  <si>
    <t>01 - LIVE ANIMALS; 04 - DAIRY PRODUCE; BIRDS' EGGS; NATURAL HONEY; EDIBLE PRODUCTS OF ANIMAL ORIGIN, NOT ELSEWHERE SPECIFIED OR INCLUDED; 30 - PHARMACEUTICAL PRODUCTS; 02 - MEAT AND EDIBLE MEAT OFFAL; 23 - RESIDUES AND WASTE FROM THE FOOD INDUSTRIES; PREPARED ANIMAL FODDER</t>
  </si>
  <si>
    <d:r xmlns:d="http://schemas.openxmlformats.org/spreadsheetml/2006/main">
      <d:rPr>
        <d:sz val="11"/>
        <d:rFont val="Calibri"/>
      </d:rPr>
      <d:t xml:space="preserve">https://regulation.gov.ru/projects/List/AdvancedSearch?type=Grid#</d:t>
    </d:r>
  </si>
  <si>
    <t>Order of Federal Agency for Technical Regulation (Rosstandart) No. 1-st of 11.01.2016 Conformity assessment. Rules of cement certification (1+42 page, in Russian).</t>
  </si>
  <si>
    <t>Order of Federal Agency for Technical Regulation (Rosstandart) No. 1-st of 11.01.2016 defines rules of cement certification (for portland cement, aluminous cement, slag cement, super sulphate cement and similar hydraulic cements, whether or not coloured or in the form of clinkers (HS2523)</t>
  </si>
  <si>
    <t>Portland cement, aluminous cement, slag cement, super sulphate cement and similar hydraulic cements, whether or not coloured or in the form of clinkers (HS2523)</t>
  </si>
  <si>
    <t xml:space="preserve">Government Resolution_x000D_
No. 930 of 03.09.2015 On amendments of the Single List of Goods Subject to_x000D_
Mandatory Certification (G/TBT/N/RUS/48).</t>
  </si>
  <si>
    <t>Letter of the Federal Service for Veterinary and Phytosanitary Surveillance No. FS-EN-3/4181 as of 16 March 2016</t>
  </si>
  <si>
    <t>This letter introduces the temporary import restrictions while importing pepper and grenades from Turkey to the territory of the Russian Federation due to violations of national and international phytosanitary requirements.</t>
  </si>
  <si>
    <t>HS Codes: 0709601000; 0810909800</t>
  </si>
  <si>
    <t>070960 - Fresh or chilled fruits of the genus Capsicum or Pimenta; 081090 - Fresh tamarinds, cashew apples, jackfruit, lychees, sapodillo plums, passion fruit, carambola, pitahaya and other edible fruit (excl. nuts, bananas, dates, figs, pineapples, avocadoes, guavas, mangoes, mangosteens, papaws "papayas", citrus fruit, grapes, melons, apples, pears quinces, apricots, cherries, peaches, plums, sloes, strawberries, raspberries, mulberries, blackberries, loganberries, black, white or redcurrants, gooseberries, cranberries, fruits of the genus Vaccinium, kiwifruit and durians)</t>
  </si>
  <si>
    <t>Government Resolution No. 930 of 03.09.2015 "On amendments of the Single List of Goods Subject to Mandatory Certification" (1 page, in Russian)</t>
  </si>
  <si>
    <t>The Government Resolution No. 930 of 03.09.2015 "On amendments of the Single List of Goods Subject to Mandatory Certification" added portland cement, aluminous cement, slag cement, super sulphate cement and similar hydraulic cements, whether or not coloured or in the form of clinkers (HS2523) to the Single List of Goods Subject to Mandatory Certification (Government Resolution No. 982 of 01.12.2009 "On Approval of the Single List of Goods Subject to Mandatory Certification and Single List of Goods Subject to Conformity Confirmation Procedures by means of Conformity Declaration")</t>
  </si>
  <si>
    <t>Portland cement, aluminous cement, slag cement, super sulphate cement and similar hydraulic cements, whether or not coloured or in the form of clinkers (HS: 2523)</t>
  </si>
  <si>
    <t xml:space="preserve">Government Resolution No. 982 of 01.12.2009 "On Approval of the Single List of Goods Subject to_x000D_
Mandatory Certification and Single List of Goods Subject to Conformity Confirmation Procedures by means of Conformity Declaration"</t>
  </si>
  <si>
    <t>Letter of the Federal Service for Veterinary and Phytosanitary Surveillance on introduction of temporary restriction on import of the regulated products from Kazakhstan to the territorry of the Russian Federation due to the outbreak of sheep and goat pox</t>
  </si>
  <si>
    <t xml:space="preserve">The Russian Federation notified in G/SPS/N/RUS/98 (4 August 2015) a letter of the Federal Service for Veterinary and Phytosanitary Surveillance No. FS-NV-8/12910 as of 28 July 2015, which introduced a temporary restriction due to the outbreak of sheep and goat pox in Kazakhstan. The notified measure was eliminated by the letter of the Federal Service for Veterinary and Phytosanitary Surveillance No. FS-NV-7/2768 as of 18 February 2016. The publication was made on the official website of the Federal Service for Veterinary and Phytosanitary Surveillance:_x000D_
http://www.fsvps.ru/fsvps/download/attachment/61124/2768.pdf</t>
  </si>
  <si>
    <t>843680 - Agricultural, horticultural, forestry or bee-keeping machinery, n.e.s.</t>
  </si>
  <si>
    <d:r xmlns:d="http://schemas.openxmlformats.org/spreadsheetml/2006/main">
      <d:rPr>
        <d:sz val="11"/>
        <d:rFont val="Calibri"/>
      </d:rPr>
      <d:t xml:space="preserve">http://www.fsvps.ru/fsvps/download/attachment/61124/2768.pdf</d:t>
    </d:r>
  </si>
  <si>
    <t>Draft amendments no. 1 to the Customs Union Technical Regulation «Labelling of Foodstuffs» (CU TR 022/2011) (1 page, in Russian)</t>
  </si>
  <si>
    <t>Draft amendments no. 1 to the Customs Union Technical Regulation «Labelling of Foodstuffs» (CU TR 022/2011) establishes requirements to prevent misleading consumers by removing ambiguities in interpretation of requirements of Customs Union Technical Regulation «Labelling of Foodstuffs» (CU TR 022/2011).Draft amendments no. 1 to the Customs Union Technical Regulation «Labelling of Foodstuffs» (CU TR 022/2011) clarifies the terms "easy-to-interpret", "easy-to-understand", "background contrast" and other requirements.</t>
  </si>
  <si>
    <t xml:space="preserve">Draft amendments ¹ 1 to the Customs Union Technical Regulation _x000D_
«Labelling of Foodstuffs» (CU TR 022/2011): http://www.eurasiancommission.org/ru/act/texnreg/deptexreg/tr/Pages/izm1.aspx   The Customs Union Technical Regulation «Labelling of Foodstuffs» (CU TR 022/2011): http://www.eurasiancommission.org/ru/act/texnreg/deptexreg/tr/Documents/TrTsPishevkaMarkirovka.pdf</t>
  </si>
  <si>
    <t>Letter of the Federal Service for Veterinary and Phytosanitary Surveillance No. FS-EN-7/2480 as of 16 February 2016</t>
  </si>
  <si>
    <t>This document introduces a temporary restriction on import of products from the departments of Aveyron, Haute-Vienne, Dordogne (France), mentioned in point 3, due to the outbreak of bluetongue virus. In points 3.2 and 4.1 of the relevant veterinary certificates (in the part concerning the confirmation of bluetongue administrative territory welfare), the following amendments will be made: "except for departments Allier, Creuse, Puy-de-Dôme, Nièvre, Cher, Loiret, Aveyron, Haute-Vienne, Dordogne".</t>
  </si>
  <si>
    <t>HS Code(s): 0102, 0104, 0106, 051199853, 051199852</t>
  </si>
  <si>
    <t>France (departments Aveyron, Haute-Vienne, Dordogne)</t>
  </si>
  <si>
    <d:r xmlns:d="http://schemas.openxmlformats.org/spreadsheetml/2006/main">
      <d:rPr>
        <d:sz val="11"/>
        <d:rFont val="Calibri"/>
      </d:rPr>
      <d:t xml:space="preserve">http://www.fsvps.ru/fsvps/download/attachment/60954/2480.pdf</d:t>
    </d:r>
  </si>
  <si>
    <t>Letter of the Federal Service for Veterinary and Phytosanitary Surveillance No. FS-USH-3/2107 as of 10 February 2016</t>
  </si>
  <si>
    <t>This document introduces a temporary restriction on import of products from the United States of America mentioned in point 3 due to violations of national and international phytosanitary requirements.</t>
  </si>
  <si>
    <t>HS Code(s): 1005, 0712901100, 1201</t>
  </si>
  <si>
    <t>071290 - Dried vegetables and mixtures of vegetables, whole, cut, sliced, broken or in powder, but not further prepared (excl. onions, mushrooms and truffles, not mixed); 1005 - Maize or corn; 1201 - Soya beans, whether or not broken</t>
  </si>
  <si>
    <t>Draft of the Eurasian Economic Commission Collegium Decision on amendments to the Customs Union Commission Collegium Decision on amendments to the Customs Union Commission Decision on Forms of Common veterinary certificates for controlled goods imported to the Eurasian Economic Union custom territory from third countries as of 7 April 2011 No. 607</t>
  </si>
  <si>
    <t xml:space="preserve">The Russian Federation notified amendments to the forms of Common veterinary certificates No. 607 as of 7 April 2011 in G/SPS/N/RUS/101 (6 August 2015). The notified document will enter into force in March 2016. _x000D_
Proposed date of adoption (dd/mm/yy): 2 February 2016;_x000D_
Proposed date of publication (dd/mm/yy): 3 February 2016;_x000D_
Proposed date of entry into force: 4 March 2016.</t>
  </si>
  <si>
    <t>Adoption/publication/entry into force of reg.; Change in date of adoption/publication/entry into force</t>
  </si>
  <si>
    <t>Draft of the Eurasian Economic Commission Collegium Decision on amendments to the Common veterinary (sanitary and veterinary) requirements for goods subject to veterinary control (surveillance) adopted by the Customs Union Commission Decision as of 18 June 2010 No. 317</t>
  </si>
  <si>
    <t xml:space="preserve">The Russian Federation notified amendments to the Common veterinary (veterinary and sanitary) requirements No. 317 as of 18 June 2010 in G/SPS/N/RUS/100 (6 August 2015). The notified document will enter into force in March 2016._x000D_
Proposed date of adoption (dd/mm/yy): 2 February 2016;_x000D_
Proposed date of publication (dd/mm/yy): 3 February 2016;_x000D_
Proposed date of entry into force: 4 March 2016._x000D_
</t>
  </si>
  <si>
    <t>Change in date of adoption/publication/entry into force; Adoption/publication/entry into force of reg.</t>
  </si>
  <si>
    <t>Temporary restriction on swine import from Ukraine to the Russian Federation</t>
  </si>
  <si>
    <t>Point 5 of G/SPS/N/RUS/117 should be read as follows: 5. Letter of Federal Service for Veterinary and Phytosanitary Surveillance No. FS-EN-8/23539 as of 25 December 2015 Language(s): Russian Number of pages: 1 http://www.fsvps.ru/fsvps/laws/4374.html</t>
  </si>
  <si>
    <t>0210 - Meat and edible offal, salted, in brine, dried or smoked; edible flours and meals of meat or meat offal; 2309 - Preparations of a kind used in animal feeding; 1602 - Prepared or preserved meat, offal or blood (excl. sausages and similar products, and meat extracts and juices); 0103 - Live swine; 0511 - Animal products n.e.s.; dead animals of all types, unfit for human consumption; 1601 - Sausages and similar products, of meat, offal or blood; food preparations based on these products; 0203 - Meat of swine, fresh, chilled or frozen</t>
  </si>
  <si>
    <t>Letter of Federal Service for Veterinary and Phytosanitary Surveillance No. FS-EN-8/23418 as of 24 December 2015</t>
  </si>
  <si>
    <t>This measure represents temporary restrictions on import of products mentioned in point 3 from Ukraine to the territory of the Russian Federation due to the outbreak of the African swine fever virus (ASF).</t>
  </si>
  <si>
    <t>0103 - Live swine; 0511 - Animal products n.e.s.; dead animals of all types, unfit for human consumption; 1601 - Sausages and similar products, of meat, offal or blood; food preparations based on these products; 1602 - Prepared or preserved meat, offal or blood (excl. sausages and similar products, and meat extracts and juices); 0210 - Meat and edible offal, salted, in brine, dried or smoked; edible flours and meals of meat or meat offal; 2309 - Preparations of a kind used in animal feeding; 0203 - Meat of swine, fresh, chilled or frozen</t>
  </si>
  <si>
    <t>African swine fever (ASF); Animal health; Animal diseases</t>
  </si>
  <si>
    <d:r xmlns:d="http://schemas.openxmlformats.org/spreadsheetml/2006/main">
      <d:rPr>
        <d:sz val="11"/>
        <d:rFont val="Calibri"/>
      </d:rPr>
      <d:t xml:space="preserve">http://www.fsvps.ru/fsvps/download/attachment/57948/23418.pdf</d:t>
    </d:r>
  </si>
  <si>
    <t>Letter of the Federal Service for Veterinary and Phytosanitary Surveillance No FS-EN-8/22605 as of 14 December 2015</t>
  </si>
  <si>
    <t>The measure represents a temporary restriction on import of products mentioned in point 3 from Israel to the territorry of the Russian Federation due to the outbreak of foot and mouth disease virus (FMDV).</t>
  </si>
  <si>
    <t xml:space="preserve">HS Code(s):  0102, 0103, 0104, 0102 29 790 0, 0511 10 000 0, 0511 99 853 2, 0511 99 852, 0511 99, 0201, 0202, 0203, 0204, 0206, 0209, 0210, 0401, 0402, 0403, 0404, 0405, 0406, 0502, 0504 00 000 0, 0507, 0511 99 100 0</t>
  </si>
  <si>
    <t>0102 - Live bovine animals; 0210 - Meat and edible offal, salted, in brine, dried or smoked; edible flours and meals of meat or meat offal; 051199 - Products of animal origin, n.e.s., dead animals, unfit for human consumption (excl. fish, crustaceans, molluscs or other aquatic invertebrates);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0203 - Meat of swine, fresh, chilled or frozen; 0206 - Edible offal of bovine animals, swine, sheep, goats, horses, asses, mules or hinnies, fresh, chilled or frozen; 051110 - Bovine semen; 0401 - Milk and cream, not concentrated nor containing added sugar or other sweetening matter; 0402 - Milk and cream, concentrated or containing added sugar or other sweetening matter; 0104 - Live sheep and goats; 0204 - Meat of sheep or goats, fresh, chilled or frozen; 0406 - Cheese and curd; 0504 - Guts, bladders and stomachs of animals (other than fish), whole and pieces thereof, fresh, chilled, frozen, salted, in brine, dried or smoked</t>
  </si>
  <si>
    <t>Letter of the Federal Service for Veterinary Service and Phytosanitary Surveillance No. FS-NV-8/22723 as of 15 December 2015</t>
  </si>
  <si>
    <t>This letter allows import of products mentioned in point 3 from the relevant regions in Germany to the territorry of the Russian Federation.</t>
  </si>
  <si>
    <t>HS Code(s): 0105, 0407</t>
  </si>
  <si>
    <t>0105 - Live poultry, "fowls of the species Gallus domesticus, ducks, geese, turkeys and guinea fowls"; 0407 - Birds' eggs, in shell, fresh, preserved or cooked</t>
  </si>
  <si>
    <t>Germany (Steinfurt, Rostock, Cloppenburg regions)</t>
  </si>
  <si>
    <d:r xmlns:d="http://schemas.openxmlformats.org/spreadsheetml/2006/main">
      <d:rPr>
        <d:sz val="11"/>
        <d:rFont val="Calibri"/>
      </d:rPr>
      <d:t xml:space="preserve">http://www.fsvps.ru/fsvps/download/attachment/57547/22723.pdf</d:t>
    </d:r>
  </si>
  <si>
    <t>Draft amendments No. 3 to the Customs Union Technical Regulation «On Safety of Food Products» (CU TR 021/2011) (7 pages, in Russian)</t>
  </si>
  <si>
    <t>Draft amendments No. 3 to the Customs Union Technical Regulation «On Safety of Food Products» (CU TR 021/2011) establishes requirements for chocolate, couverture chocolate, chocolate mass and cocoa products aimed at ensuring health and life protection and preventing consumer deception.</t>
  </si>
  <si>
    <t>Food products (chocolate, couverture chocolate, chocolate mass and cocoa products)</t>
  </si>
  <si>
    <t>67.190 - Chocolate</t>
  </si>
  <si>
    <t>Draft amendments No. 3 to the Customs Union Technical Regulation «On safety of food products» (CU TR 021/2011): http://www.eurasiancommission.org/ru/act/texnreg/deptexreg/tr/Pages/projectsPublic.aspxThe Customs Union Technical Regulation «On safety of food products» (CU TR 021/2011): http://www.eurasiancommission.org/ru/act/texnreg/deptexreg/tr/Pages/PischevayaProd.aspx</t>
  </si>
  <si>
    <t xml:space="preserve">Draft of the Eurasian Economic Collegium Decision on amendments to the Customs Union Technical Regulation  "On safety of food products", adopted by the the Customs Union Commission Decision No. 880 as of 9 December 2011</t>
  </si>
  <si>
    <t>This document introduces amendments to the CU legislation specifically additional requirements to the products mentioned in point 3.</t>
  </si>
  <si>
    <t>Food products (chocolate, couverture chocolate, chocolate mass, cocoa products)</t>
  </si>
  <si>
    <t>1806 - Chocolate and other food preparations containing cocoa; 1804 - Cocoa butter, fat and oil; 1803 - Cocoa paste, whether or not defatted; 1805 - Cocoa powder, not containing added sugar or other sweetening matter</t>
  </si>
  <si>
    <d:r xmlns:d="http://schemas.openxmlformats.org/spreadsheetml/2006/main">
      <d:rPr>
        <d:sz val="11"/>
        <d:rFont val="Calibri"/>
      </d:rPr>
      <d:t xml:space="preserve">http://www.eurasiancommission.org/ru/act/texnreg/deptexreg/tr/Pages/%D0%A1%D1%82%D1%80%D0%B0%D0%BD%D0%B8%D1%86%D0%B0-30-10-%282%29.aspx</d:t>
    </d:r>
  </si>
  <si>
    <t>Letter of the Federal Service for Veterinary and Phytosanitary Surveillance No. FS-EN-3/19466 as of 28 October 2015</t>
  </si>
  <si>
    <t xml:space="preserve">This letter allows import of the regulated products from the territory of Georgia to the territory of the Russian Federation, except for the products in the passengers'  luggage.</t>
  </si>
  <si>
    <t>Plants, plant products and other goods subject to phytosanitary control listed in the List of the regulated products, adopted by the Eurasian Econmic Commission Decision No. 318 as of 18 June 2010</t>
  </si>
  <si>
    <t>Georgia</t>
  </si>
  <si>
    <t>Draft of the Eurasian Economic Commission Council Decision on amendments to Customs Union Commission Decision as of 18 June 2010 No. 318</t>
  </si>
  <si>
    <t>This document introduces a minimum of plant products (except for planting and seed material or potatoes) that is allowed to pass the Eurasian Economic Union customs border without a phytosanitary certificate (less than 5kg per person) in mail deliveries, accompanied and unaccompanied baggage of ships, aircraft, carriages, motor vehicles passengers, ships and aircraft crew members.</t>
  </si>
  <si>
    <t>Plants, plant products and other goods subject to phytosanitary control</t>
  </si>
  <si>
    <d:r xmlns:d="http://schemas.openxmlformats.org/spreadsheetml/2006/main">
      <d:rPr>
        <d:sz val="11"/>
        <d:rFont val="Calibri"/>
      </d:rPr>
      <d:t xml:space="preserve">https://docs.eaeunion.org/ru-ru/_layouts/15/Portal.EEC.NPB/Pages/RedirectToDisplayForm.aspx?docId=28d626c0-5d4b-45f2-a1f4-fe62dbdf90bf&amp;SiteId={e1f13d1d-5914-465c-835f-2aa3762eddda}&amp;WebId=9260b414-defe-45cc-88a3-eb5c73238076&amp;mode=RIA&amp;Tab=Information</d:t>
    </d:r>
  </si>
  <si>
    <t xml:space="preserve">This document introduces common rules and standards concerning the organization of quarantine phytosanitary examinations, the disinfection  of the regulated products and objects, basic approaches and requirements to phytosanitary certification system, methodological approaches to quarantine phytosanitary zones establishment in the territories of the EEU member States for the objects included in the common list of quarantine objects of the Eurasian Economic Union.</t>
  </si>
  <si>
    <d:r xmlns:d="http://schemas.openxmlformats.org/spreadsheetml/2006/main">
      <d:rPr>
        <d:sz val="11"/>
        <d:rFont val="Calibri"/>
      </d:rPr>
      <d:t xml:space="preserve">https://docs.eaeunion.org/ru-ru/_layouts/15/Portal.EEC.NPB/Pages/RedirectToDisplayForm.aspx?docId=518dbcd1-87ed-4c69-834e-c2be5f3471cf&amp;SiteId={e1f13d1d-5914-465c-835f-2aa3762eddda}&amp;WebId=9260b414-defe-45cc-88a3-eb5c73238076&amp;mode=RIA&amp;Tab=Information</d:t>
    </d:r>
  </si>
  <si>
    <t>Draft of the Eurasian Economic Commission Council Decision on amendments to the Common list of goods subject to veterinary control (supervision)</t>
  </si>
  <si>
    <t xml:space="preserve">This document introduces amendments to the Eurasian Economic Commission Decision as of 18 June 2010 No. 317. The mentioned decision is adjusted with the following:_x000D_
1) from HS Codes: 0708, 0713 - leguminous vegetables for animal feed;_x000D_
2) from HS Code: 0807 - citron watermelons for animal feed;_x000D_
3) from HS Codes: 1518 00, 2102, 2936, 3002, 3002 90 500 0, 3302, 3203 00, 3212, 3504 00, 3500 900 0, 3507, 3507909000, 3808, 3824, 3824 90 970 9 - feed additives.</t>
  </si>
  <si>
    <t>Leguminous vegetables applied for feed from HS Codes: 0708, 0713; citron watermelons for feed from HS Code: 0807; feed additives from HS Codes: 1518 00, 2102, 2936, 3002, 3002 90 500 0, 3302, 3203 00, 3212, 3504 00, 3504 00 900 0, 3507, 3507909000, 3808, 3824, 3824 90 970 9</t>
  </si>
  <si>
    <t>3002 - Human blood; animal blood prepared for therapeutic, prophylactic or diagnostic uses; antisera and other blood fractions and modified immunological products, whether or not obtained by means of biotechnological processes; vaccines, toxins, cultures of micro-organisms (excl. yeasts) and similar products; 350790 - Enzymes and prepared enzymes, n.e.s. (excl. rennet and concentrates thereof); 3808 - Insecticides, rodenticides, fungicides, herbicides, anti-sprouting products and plant-growth regulators, disinfectants and similar products, put up for retail sale or as preparations or articles, e.g. sulphur-treated bands, wicks and candles, and fly-papers; 3212 - 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 350400 - Peptones and their derivatives; other albuminous substances and their derivatives, n.e.s.; hide powder, whether or not chromed; 3507 - Enzymes; prepared enzymes, n.e.s.; 0708 - Leguminous vegetables, shelled or unshelled, fresh or chilled; 382490 - Chemical products and preparations of the chemical or allied industries, incl. those consisting of mixtures of natural products,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320300 - 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 3824 - Prepared binders for foundry moulds or cores; chemical products and preparations for the chemical or allied industries, incl. mixtures of natural products, n.e.s.; 0713 - Dried leguminous vegetables, shelled, whether or not skinned or split; 2102 - Yeasts, active or inactive; other dead single-cell micro-organisms, prepared baking powders (excl. single-cell micro-organisms packaged as medicaments); 300290 - Human blood; animal blood prepared for therapeutic, prophylactic or diagnostic uses; toxins, cultures of micro-organisms and similar products (excl. yeasts and vaccines); 0807 - Melons, incl. watermelons, and papaws "papayas", fresh; 2936 - Provitamins and vitamins, natural or reproduced by synthesis, incl. natural concentrates, derivatives thereof used primarily as vitamins, and intermixtures of the foregoing, whether or not in any solvent; 3302 - Mixtures of odoriferous substances and mixtures, incl. alcoholic solutions, based on one or more of these substances, of a kind used as raw materials in industry; other preparations based on odoriferous substances, of a kind used for the manufacture of beverages</t>
  </si>
  <si>
    <d:r xmlns:d="http://schemas.openxmlformats.org/spreadsheetml/2006/main">
      <d:rPr>
        <d:sz val="11"/>
        <d:rFont val="Calibri"/>
      </d:rPr>
      <d:t xml:space="preserve">https://docs.eaeunion.org/ru-ru/_layouts/15/Portal.EEC.NPB/Pages/RedirectToDisplayForm.aspx?docId=75d76b02-f9ec-4548-83c4-e6d1dc2395ca&amp;SiteId={e1f13d1d-5914-465c-835f-2aa3762eddda}&amp;WebId=9260b414-defe-45cc-88a3-eb5c73238076&amp;mode=RIA&amp;Tab=Information</d:t>
    </d:r>
  </si>
  <si>
    <t>Draft of the Eurasian Economic Commission Collegium Decision on amendments to the Common veterinary (veterinary and sanitary) requirements for goods subject to veterinary control (supervision)</t>
  </si>
  <si>
    <t>This document introduces amendments to the Eurasian Economic Commission Decision as of 18 June 2010 No. 317. The mentioned decision defines the regulation measures while importing the regulated products to the territory of the Eurasian Economic Union. This document also changes the list of the regulation measures for certain types of the regulated products is changed.</t>
  </si>
  <si>
    <t>Leguminous vegetables applied for feed from HS Codes: 0708, 0713; citron watermelons for feed from HS Code: 0807; feed additives from HS Codes: 1518 00, 2102, 2936, 3002, 3002 90 5000, 3302, 3203 00, 3212, 3504 00, 3504 00 900 0, 3507909000, 3824, 3824 90 970 9</t>
  </si>
  <si>
    <t>350400 - Peptones and their derivatives; other albuminous substances and their derivatives, n.e.s.; hide powder, whether or not chromed; 0708 - Leguminous vegetables, shelled or unshelled, fresh or chilled; 382490 - Chemical products and preparations of the chemical or allied industries, incl. those consisting of mixtures of natural products, n.e.s.; 0713 - Dried leguminous vegetables, shelled, whether or not skinned or split; 2102 - Yeasts, active or inactive; other dead single-cell micro-organisms, prepared baking powders (excl. single-cell micro-organisms packaged as medicaments); 300290 - Human blood; animal blood prepared for therapeutic, prophylactic or diagnostic uses; toxins, cultures of micro-organisms and similar products (excl. yeasts and vaccines); 3002 - Human blood; animal blood prepared for therapeutic, prophylactic or diagnostic uses; antisera and other blood fractions and modified immunological products, whether or not obtained by means of biotechnological processes; vaccines, toxins, cultures of micro-organisms (excl. yeasts) and similar products; 350790 - Enzymes and prepared enzymes, n.e.s. (excl. rennet and concentrates thereof); 3824 - Prepared binders for foundry moulds or cores; chemical products and preparations for the chemical or allied industries, incl. mixtures of natural products, n.e.s.; 151800 -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320300 - 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 3212 - 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 0807 - Melons, incl. watermelons, and papaws "papayas", fresh; 2936 - Provitamins and vitamins, natural or reproduced by synthesis, incl. natural concentrates, derivatives thereof used primarily as vitamins, and intermixtures of the foregoing, whether or not in any solvent; 3302 - Mixtures of odoriferous substances and mixtures, incl. alcoholic solutions, based on one or more of these substances, of a kind used as raw materials in industry; other preparations based on odoriferous substances, of a kind used for the manufacture of beverages</t>
  </si>
  <si>
    <d:r xmlns:d="http://schemas.openxmlformats.org/spreadsheetml/2006/main">
      <d:rPr>
        <d:sz val="11"/>
        <d:rFont val="Calibri"/>
      </d:rPr>
      <d:t xml:space="preserve">https://docs.eaeunion.org/ru-ru/_layouts/15/Portal.EEC.NPB/Pages/RedirectToDisplayForm.aspx?docId=516d0feb-e9d0-4f7f-a9d3-9c3bf810f386&amp;SiteId={e1f13d1d-5914-465c-835f-2aa3762eddda}&amp;WebId=9260b414-defe-45cc-88a3-eb5c73238076&amp;mode=RIA&amp;Tab=Information</d:t>
    </d:r>
  </si>
  <si>
    <t>Draft of the Eurasian Economic Commission Council Decision on rules governing the circulation of veterinary diagnostic kits in the customs territory of the Eurasian Economic Union</t>
  </si>
  <si>
    <t>This document introduces the common requirements for safety procedures, quality assurance system, registration procedures, common forms of registration documents for member States of the Eurasian Economic Union. It also provides the measures for mutual harmonization and unification of legislation in the field of veterinary diagnostic kits for member States of the Eurasian Economic Union. The document was developed in conformity with FAO/WHO international recomendations.</t>
  </si>
  <si>
    <t>Veterinary diagnostic kits</t>
  </si>
  <si>
    <t>9018 - Instruments and appliances used in medical, surgical, dental or veterinary sciences, incl. scintigraphic apparatus, other electro-medical apparatus and sight-testing instruments, n.e.s.</t>
  </si>
  <si>
    <t>Animal health; Veterinary drugs</t>
  </si>
  <si>
    <d:r xmlns:d="http://schemas.openxmlformats.org/spreadsheetml/2006/main">
      <d:rPr>
        <d:sz val="11"/>
        <d:rFont val="Calibri"/>
      </d:rPr>
      <d:t xml:space="preserve">https://docs.eaeunion.org/ru-ru/_layouts/15/Portal.EEC.NPB/Pages/RedirectToDisplayForm.aspx?docId=5e1bb8fa-f4f7-43c1-9bed-2f0a593df35b&amp;SiteId={e1f13d1d-5914-465c-835f-2aa3762eddda}&amp;WebId=9260b414-defe-45cc-88a3-eb5c73238076&amp;mode=RIA&amp;Tab=Information</d:t>
    </d:r>
  </si>
  <si>
    <t>Draft of the Eurasian Economic Commission Council Decision on rules governing the circulation of food additives within the customs territory of the Eurasian Economic Union</t>
  </si>
  <si>
    <t>This document introduces the common requirements for safety procedures, quality assurance system, inspection of the regulated products, registration procedures, common forms of registration documents for member States of the Eurasian Economic Union. It also provides the measures for mutual harmonization and unification of legislation in the field of feed additives for member States of the Eurasian Economic Union.</t>
  </si>
  <si>
    <t>Animal feed; Animal health; Human health; Feed additives; Food safety</t>
  </si>
  <si>
    <d:r xmlns:d="http://schemas.openxmlformats.org/spreadsheetml/2006/main">
      <d:rPr>
        <d:sz val="11"/>
        <d:rFont val="Calibri"/>
      </d:rPr>
      <d:t xml:space="preserve">https://docs.eaeunion.org/ru-ru/_layouts/15/Portal.EEC.NPB/Pages/RedirectToDisplayForm.aspx?docId=dd450044-5e3b-4324-8317-ef7562292e4c&amp;SiteId={e1f13d1d-5914-465c-835f-2aa3762eddda}&amp;WebId=9260b414-defe-45cc-88a3-eb5c73238076&amp;mode=RIA&amp;Tab=Information</d:t>
    </d:r>
  </si>
  <si>
    <t>Draft of the Eurasian Economic Commission Council Decision on rules governing the circulation of veterinary desinfection, desinsection and deratization products within the customs territory of the Eurasian Economic Union</t>
  </si>
  <si>
    <t>This document introduces the common requirements for safety procedures, quality assurance system, registration procedures, common forms of registration documents for member States of the Eurasian Economic Union. It also provides the measures for mutual harmonization and unification of legislation in the field of veterinary desinfection, desinsection and deratization products for member States of the Eurasian Economic Union. This document was developed in conformity with FAO/WHO international recomendations.</t>
  </si>
  <si>
    <t>Veterinary desinfection, desinsection and deratization products</t>
  </si>
  <si>
    <t>Animal health; Food safety; Veterinary drugs</t>
  </si>
  <si>
    <d:r xmlns:d="http://schemas.openxmlformats.org/spreadsheetml/2006/main">
      <d:rPr>
        <d:sz val="11"/>
        <d:rFont val="Calibri"/>
      </d:rPr>
      <d:t xml:space="preserve">https://docs.eaeunion.org/ru-ru/_layouts/15/Portal.EEC.NPB/Pages/RedirectToDisplayForm.aspx?docId=169242d9-73a1-4697-b679-99b80d3009c6&amp;SiteId={e1f13d1d-5914-465c-835f-2aa3762eddda}&amp;WebId=9260b414-defe-45cc-88a3-eb5c73238076&amp;mode=RIA&amp;Tab=Information</d:t>
    </d:r>
  </si>
  <si>
    <t>Draft of the Eurasian Economic Commission Council Decision on rules governing the circulation of veterinary medicinal products within the customs territory of the Eurasian Economic Union</t>
  </si>
  <si>
    <t>This document introduces the common requirements for safety procedures, quality assurance system, registration and labeling procedures, inspections of the regulated products, common forms of registration documents for member States of the Eurasian Economic Union. It also provides the measures for mutual harmonization and unification of legislation in the field of veterinary medicinal products for member States of the Eurasian Economic Union. The document was developed in conformity with FAO/WHO international recomendations.</t>
  </si>
  <si>
    <t>3004 - Medicaments consisting of mixed or unmixed products for therapeutic or prophylactic uses, put up in measured doses "incl. those in the form of transdermal administration" or in forms or packings for retail sale (excl. goods of heading 3002, 3005 or 3006)</t>
  </si>
  <si>
    <d:r xmlns:d="http://schemas.openxmlformats.org/spreadsheetml/2006/main">
      <d:rPr>
        <d:sz val="11"/>
        <d:rFont val="Calibri"/>
      </d:rPr>
      <d:t xml:space="preserve">https://docs.eaeunion.org/ru-ru/_layouts/15/Portal.EEC.NPB/Pages/RedirectToDisplayForm.aspx?docId=c4473b2a-5c6f-4dde-968a-ebaa3bb3dc72&amp;SiteId={e1f13d1d-5914-465c-835f-2aa3762eddda}&amp;WebId=9260b414-defe-45cc-88a3-eb5c73238076&amp;mode=RIA&amp;Tab=Information</d:t>
    </d:r>
  </si>
  <si>
    <t xml:space="preserve">The hyperlink under point 5 of document G/SPS/N/RUS/102, circulated on 2 September 2015, should read:_x000D_
https://docs.eaeunion.org/ru-ru/Pages/DisplayRIA.aspx?s=e1f13d1d-5914-465c-835f-2aa3762eddda&amp;w=9260b414-defe-45cc-88a3-eb5c73238076&amp;l=d70984cf-725d-4790-9b12-19604c34148c&amp;EntityID=756</t>
  </si>
  <si>
    <d:r xmlns:d="http://schemas.openxmlformats.org/spreadsheetml/2006/main">
      <d:rPr>
        <d:sz val="11"/>
        <d:rFont val="Calibri"/>
      </d:rPr>
      <d:t xml:space="preserve">https://docs.eaeunion.org/ru-ru/Pages/DisplayRIA.aspx?s=e1f13d1d-5914-465c-835f-2aa3762eddda&amp;amp;w=9260b414-defe-45cc-88a3-eb5c73238076&amp;amp;l=d70984cf-725d-4790-9b12-19604c34148c&amp;amp;EntityID=756</d:t>
    </d:r>
  </si>
  <si>
    <t xml:space="preserve">Draft of the Eurasian Economic Commission Council Decision on rules and methodology of laboratory studies while veterinary control (supervision) at the customs border and customs territory  of the Eurasian Economic Union</t>
  </si>
  <si>
    <t xml:space="preserve">This document introduces common requirements for sampling, samples storage and transportation, laboratory studies and their results application, samples utilization while monitoring the regulated goods, epizootic monitoring sampling and veterinary control (supervision)._x000D_
Moreover this document establishes reference laboratories (centers) and provides information cooperation between authorized bodies responsible for veterinary control._x000D_
The mentioned document addresses only the member States of the Eurasian Economic Union.</t>
  </si>
  <si>
    <t>04 - DAIRY PRODUCE; BIRDS' EGGS; NATURAL HONEY; EDIBLE PRODUCTS OF ANIMAL ORIGIN, NOT ELSEWHERE SPECIFIED OR INCLUDED; 03 - FISH AND CRUSTACEANS, MOLLUSCS AND OTHER AQUATIC INVERTEBRATES; 05 - PRODUCTS OF ANIMAL ORIGIN, NOT ELSEWHERE SPECIFIED OR INCLUDED; 02 - MEAT AND EDIBLE MEAT OFFAL</t>
  </si>
  <si>
    <t>Animal health; Human health; Food safety; Veterinary drugs</t>
  </si>
  <si>
    <d:r xmlns:d="http://schemas.openxmlformats.org/spreadsheetml/2006/main">
      <d:rPr>
        <d:sz val="11"/>
        <d:rFont val="Calibri"/>
      </d:rPr>
      <d:t xml:space="preserve">https://docs.eaeunion.org/ru-ru/Pages/DisplayRIA.aspx?s=e1f13d1d-5914-465c-835f-2aa3762eddda&amp;w=9260b414-defe-45cc-88a3-eb5c73238076&amp;l=d70984cf-725d-4790-9b12-19604c34148c&amp;EntityID=793</d:t>
    </d:r>
  </si>
  <si>
    <t>Draft of the Eurasian Economic Commission Council Decision on amendments to the Regulation on Common System of Joint Inspections of Objects and Sampling Goods (Products) Subject to Veterinary Control (Surveillance)</t>
  </si>
  <si>
    <t xml:space="preserve">This document introduces amendments to the Eurasian Economic Commission Council Decision as of 9 October 2014 No. 94. The mentioned Decision is adjusted with the following:_x000D_
1. This document specifies the authorized body responsible for decisions on changing the enterprises current status in the Registry of the Customs Union;_x000D_
2. It specifies the changing status procedure of the enterprises in the Registry;_x000D_
3. The inspections Guidelines (Annex 3) will be used only for inspections of the enterprises in the third countries._x000D_
These amendments affect only the Member States of the Eurasian Economic Union.</t>
  </si>
  <si>
    <t>03 - FISH AND CRUSTACEANS, MOLLUSCS AND OTHER AQUATIC INVERTEBRATES; 05 - PRODUCTS OF ANIMAL ORIGIN, NOT ELSEWHERE SPECIFIED OR INCLUDED; 04 - DAIRY PRODUCE; BIRDS' EGGS; NATURAL HONEY; EDIBLE PRODUCTS OF ANIMAL ORIGIN, NOT ELSEWHERE SPECIFIED OR INCLUDED; 02 - MEAT AND EDIBLE MEAT OFFAL</t>
  </si>
  <si>
    <t>Human health; Food safety; Veterinary drugs</t>
  </si>
  <si>
    <d:r xmlns:d="http://schemas.openxmlformats.org/spreadsheetml/2006/main">
      <d:rPr>
        <d:sz val="11"/>
        <d:rFont val="Calibri"/>
      </d:rPr>
      <d:t xml:space="preserve">https://docs.eaeunion.org/ru-ru/_layouts/15/Portal.EEC.NPB/Pages/RedirectToDisplayForm.aspx?docId=1ec72a27-621f-4372-a807-8d1ec6ed472e&amp;SiteId={e1f13d1d-5914-465c-835f-2aa3762eddda}&amp;WebId=9260b414-defe-45cc-88a3-eb5c73238076&amp;mode=RIA&amp;Tab=Information</d:t>
    </d:r>
  </si>
  <si>
    <t>The draft of quarantine phytosanitary requirements introduces requirements for certain types of the regulated products and is meant to protect certain areas of the Eurasian Economic Union Member States from introduction and spread of quarantine objects.</t>
  </si>
  <si>
    <t>Temporary restriction on import of fresh apples, pears, quince, fresh apricots, cherries, peaches, nectarines, plums, sloes (hereinafter - plant products) from Moldova to the Russian Federation</t>
  </si>
  <si>
    <t>The Russian Federation notified a temporary restriction on the import of certain types of plant products from Moldova to the Russian Federation, G/SPS/N/RUS/67 (22 July 2014). According to the inspection results, the measure has been withdrawn from 7 August 2015 (Letter of the Federal Service for Veterinary and Phytosanitary Surveillance as of 6 August 2015 No. FS-USH-3/13615) with regard to the import of the mentioned plant products from 17 enterprises.</t>
  </si>
  <si>
    <t>0809 - Apricots, cherries, peaches incl. nectarines, plums and sloes, fresh; 0808 - Apples, pears and quinces, fresh</t>
  </si>
  <si>
    <t>Draft of the Eurasian Economic Commission Collegium Decision on amendments to the Common veterinary (sanitary and veterinary) requirements for goods subject to veterinary control (surveillance) adopted by the Customs Union Commision Decision as of 18 June 2010 No 317</t>
  </si>
  <si>
    <t xml:space="preserve">The draft of the Decision introduces veterinary and sanitary requirements for porcine embryos imported to the Eurasian Economic Union custom territory and/or transported across its Member States (Chapter 44)._x000D_
The embryos should be selected, stored and transported in accordance with the OIE Code recommendations.</t>
  </si>
  <si>
    <t>Porcine embryos, feed and feed additives</t>
  </si>
  <si>
    <d:r xmlns:d="http://schemas.openxmlformats.org/spreadsheetml/2006/main">
      <d:rPr>
        <d:sz val="11"/>
        <d:rFont val="Calibri"/>
      </d:rPr>
      <d:t xml:space="preserve">http://docs.eaeunion.org</d:t>
    </d:r>
  </si>
  <si>
    <t>Draft of the Eurasian Economic Commission Collegium Decision on amendments to the Customs Union Commission Decision on Forms of Common veterinary certificates for controlled goods imported to the Eurasian Economic Union custom territory from third countries as of 7 April 2011 No 607</t>
  </si>
  <si>
    <t>The draft of the Decision introduces a Form of veterinary certificate for porcine embryos exported to the Eurasian Economic Union custom territory. The forms of veterinary certificates, released prior to the entry in force of the mentioned draft, are actual until 1 March 2016.</t>
  </si>
  <si>
    <t>Letter of Federal Service for Veterinary and Phytosanitary Surveillance No. FS-NV-8/12674 as of 24 July 2015</t>
  </si>
  <si>
    <t>This letter allows imports of poultry meat and all poultry products, not heat treated, feeds and feed additives for poultry, used equipment for keeping, slaughter and birds butchering from all the territory of Hungary to the territory of the Russian Federation. Moreover, in addition to the mentioned products it is allowed to import the live poultry and hatching eggs from Békés county (Hungary).</t>
  </si>
  <si>
    <t>Poultry meat and all poultry products, feeds and feed additives for poultry, used equipment for keeping, slaughter and birds butchering, live poultry and hatching eggs</t>
  </si>
  <si>
    <t>0105 - Live poultry, "fowls of the species Gallus domesticus, ducks, geese, turkeys and guinea fowls"; 0408 - Birds' eggs, not in shell, and egg yolks, fresh, dried, cooked by steaming or by boiling in water, moulded, frozen or otherwise preserved, whether or not containing added sugar or other sweetening matter; 2309 - Preparations of a kind used in animal feeding; 0207 - Meat and edible offal of fowls of the species Gallus domesticus, ducks, geese, turkeys and guinea fowls, fresh, chilled or frozen; 0407 - Birds' eggs, in shell, fresh, preserved or cooked</t>
  </si>
  <si>
    <t>Animal feed; Animal health; Human health; Pest- or Disease- free Regions / Regionalization; Food safety; Feed additives</t>
  </si>
  <si>
    <d:r xmlns:d="http://schemas.openxmlformats.org/spreadsheetml/2006/main">
      <d:rPr>
        <d:sz val="11"/>
        <d:rFont val="Calibri"/>
      </d:rPr>
      <d:t xml:space="preserve">http://www.fsvps.ru/fsvps/laws/4215.html</d:t>
    </d:r>
  </si>
  <si>
    <t>Letter of the Federal Service for Veterinary and Phytosanitary Surveillance No. FS-NV-8/12910 as of 28 July 2015</t>
  </si>
  <si>
    <t>The measure represents a temporary restriction on import of products from Kazakhstan mentioned in point 3 to the territory of the Russian Federation due to the outbreak of sheep and goat pox.</t>
  </si>
  <si>
    <t xml:space="preserve">HS Code(s):  0104, 0204, 0206, 0401, 0402, 0403, 0404, 0405, 0406, 150200, 4102, 4103, 4301, 4206 00 000 0, 5101, 5102, 5103, equipment and supplies for transportation, breeding, temporary keeping of animals of all species, as well as previously used equipment for the transportation of raw materials (products) of animal origin from 3923, 3926, 4415, 4416 00 000 0, 4421, 7020 00, 7309 00, 7310, 7326, 7616, 8436 21 000 0, 8436 29 000 0, 8436 80 910 0, 8436 80 990 0, 8606 91 800 0, 8609 00, 8716 39 800</t>
  </si>
  <si>
    <t>730900 -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843621 - Poultry incubators and brooders; 843680 - Agricultural, horticultural, forestry or bee-keeping machinery, n.e.s.;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 0401 - Milk and cream, not concentrated nor containing added sugar or other sweetening matter; 0402 - Milk and cream, concentrated or containing added sugar or other sweetening matter; 4102 - Raw skins of sheep or lambss, fresh, or salted, dried, limed, pickled or otherwise preserved, whether or not dehaired or split (excl. those with wool on, fleeces of Astrakhan, Caracul, Persian, Broadtail or similar lambs, or of Indian, Chinese, Mongolian or Tibetan lambs and tanned, parchment-dressed or further prepared); 5103 - Waste of wool or of fine or coarse animal hair, incl. yarn waste (excl. garnetted stock, waste of hair and bristles used in the manufacture of brooms and brushes, and of horsehair from the mane or tail); 4301 - Raw furskins, incl. heads, tails, paws and other pieces or cuttings suitable for use in furriery (excl. raw hides and skins of heading 4101, 4102 or 4103); 4421 - Other articles of wood, n.e.s.; 860691 - Railway or tramway goods vans and wagons, covered and closed (excl. self-discharging goods vans and wagons, tank wagons and the like and insulated or refrigerated goods vans and wagons); 4206 - Articles of gut, goldbeater's skin, bladders or tendons (excl. silkworm gut, sterile catgut, other sterile surgical suture material and strings for musical instruments); 860900 - Containers, incl. containers for the transport of fluids, specially designed and equipped for carriage by one or more modes of transport; 871639 - Trailers and semi-trailers for the transport of goods, not designed for running on rails (excl. self-loading of self-unloading trailers and semi-trailers for agricultural purposes and tanker trailers and tanker semi-trailers); 0206 - Edible offal of bovine animals, swine, sheep, goats, horses, asses, mules or hinnies, fresh, chilled or frozen; 4415 - Packing cases, boxes, crates, drums and similar packings, of wood; cable-drums of wood; pallets, box pallets and other load boards, of wood; pallet collars of wood (excl. containers specially designed and equipped for one or more modes of transport); 5101 - Wool, neither carded nor combed; 5102 - Fine or coarse animal hair, neither carded nor combed (excl. wool, hair and bristles used in the manufacture of brooms and brushes, and horsehair from the mane or tail); 150200 - Fats of bovine animals, sheep or goats (excl. lard stearin, lard oil, oleostearin, oleooil and tallow oil, not emulsified or mixed or otherwise prepared); 843629 - Poultry-keeping machinery (excl. machines for sorting or grading eggs, poultry pickers of heading 8438 and incubators and brooders); 3923 - Articles for the conveyance or packaging of goods, of plastics; stoppers, lids, caps and other closures, of plastics; 441600 - Casks, barrels, vats, tubs and other coopers' products parts thereof, of wood, incl. staves; 0104 - Live sheep and goats; 0204 - Meat of sheep or goats, fresh, chilled or frozen; 0406 - Cheese and curd;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3926 - Articles of plastics and articles of other materials of heading 3901 to 3914, n.e.s.;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702000 - Articles of glass, n.e.s.</t>
  </si>
  <si>
    <t>Kazakhstan</t>
  </si>
  <si>
    <d:r xmlns:d="http://schemas.openxmlformats.org/spreadsheetml/2006/main">
      <d:rPr>
        <d:sz val="11"/>
        <d:rFont val="Calibri"/>
      </d:rPr>
      <d:t xml:space="preserve">http://www.fsvps.ru/fsvps/download/attachment/46010/12910%D0%A2%D0%A3(5719290_%D0%A4%D0%A1-%D0%9D%D0%92-8_12910_28_07_2015).pdf</d:t>
    </d:r>
  </si>
  <si>
    <t xml:space="preserve">Draft of the Eurasian Economic Commission Council Decision on adoption of the Order of the Eurasian Economic Union member States cooperation in the field of prevention, diagnostics, localization and elimination of highly contagious, quarantine and zoonotic animal disease foci, and the order for carrying out regionalisation and  compartmentalisation</t>
  </si>
  <si>
    <t>The draft Decision introduces the common order for carrying out regionalisation and compartmentalisation performed by the competent authorities of Eurasian Economic Union member States. The draft is based on the recommendations of OIE Codes. This Order also determines procedures for cooperation between Eurasian Economic Union member States in the field of prevention, diagnostics, localization and elimination of animal disease foci.</t>
  </si>
  <si>
    <t>Animals, products of animal origin, feeds, used tools and equipment which could carry pathogenic organisms to objects subject to veterinary control</t>
  </si>
  <si>
    <t>01 - LIVE ANIMALS; 04 - DAIRY PRODUCE; BIRDS' EGGS; NATURAL HONEY; EDIBLE PRODUCTS OF ANIMAL ORIGIN, NOT ELSEWHERE SPECIFIED OR INCLUDED; 84 - NUCLEAR REACTORS, BOILERS, MACHINERY AND MECHANICAL APPLIANCES; PARTS THEREOF; 02 - MEAT AND EDIBLE MEAT OFFAL; 23 - RESIDUES AND WASTE FROM THE FOOD INDUSTRIES; PREPARED ANIMAL FODDER</t>
  </si>
  <si>
    <t>Animal diseases; Food safety; Animal health; Human health</t>
  </si>
  <si>
    <t>Draft Amendments no. 1 to the Customs Union Technical Regulation "On Safety of Toys" (CU TR 008/2011) (2 pages, in Russian)</t>
  </si>
  <si>
    <t>Setting of safety requirements to magnetic toys containing small loose magnets; streamlining requirements for toy packaging, as well as the establishment of additional safety parameters for toys.</t>
  </si>
  <si>
    <t>Draft Amendments no. 1 to the Customs Union Technical Regulation "On Safety of Toys" (CU TR 008/2011): http://www.eurasiancommission.org/ru/act/texnreg/deptexreg/tr/Pages/projectsPublic.aspxThe Customs Union Technical Regulation "On Safety of Toys" (CU TR 008/2011):http://www.eurasiancommission.org/ru/act/texnreg/deptexreg/tr/Pages/bezopToys.aspx</t>
  </si>
  <si>
    <t>Draft technical regulation of the Eurasian Economic Union "On Safety of Products Intended for Civil Protection and Defence in Emergency Situations of Natural and Anthropogenic Character" (52 pages, in Russian)</t>
  </si>
  <si>
    <t xml:space="preserve">The establishment of requirements for products intended for civil protection and defence in emergency situations of natural and anthropogenic character that are mandatory for application and enforcement on the territory of the Eurasian Economic Union. </t>
  </si>
  <si>
    <t>The products intended for civil protection and defence in emergency situations of natural and anthropogenic character</t>
  </si>
  <si>
    <t>95.020 - Military engineering. Military affairs. Weapons</t>
  </si>
  <si>
    <t>Draft technical regulation of the Eurasian Economic Union "On Safety of Products Intended for Civil Protection and Defence in Emergency Situations of Natural and Anthropogenic Character": http://www.eurasiancommission.org/ru/act/texnreg/deptexreg/tr/Pages/projectsPublic.aspx</t>
  </si>
  <si>
    <t xml:space="preserve">Draft technical regulation of the Eurasian Economic Union "On Safety of Civil Defence Products"  (38 pages, in Russian)</t>
  </si>
  <si>
    <t xml:space="preserve">Establishment of requirements for civil defence structures and means of civil defence that are mandatory for application and enforcement in the territory of the Eurasian Economic Union. </t>
  </si>
  <si>
    <t>The technical means for civil defence structures and means of civil defence</t>
  </si>
  <si>
    <t>Draft technical regulation of the Eurasian Economic Union "On Safety of Civil Defence Products": http://www.eurasiancommission.org/ru/act/texnreg/deptexreg/tr/Pages/projectsPublic.aspx</t>
  </si>
  <si>
    <t>Amendments to the Customs Union Technical Regulation "On Requirements for Automobile and Aviation Gasoline, Diesel and Marine Fuel, Jet Fuel and Mazut Heating Oil" (CU TR 013/2011) (1 page, in Russian)</t>
  </si>
  <si>
    <t>Amendments regarding transfer of the period of the ban for release and circulation of gasoline and diesel fuel of ecological class K2, K3 in the Republic of Kazakhstan.</t>
  </si>
  <si>
    <t>Automobile gasoline, diesel fuel</t>
  </si>
  <si>
    <t>75.160.20 - Liquid fuels</t>
  </si>
  <si>
    <t>Protection of the environment (TBT)</t>
  </si>
  <si>
    <t>Amendments to the Customs Union Technical Regulation "On Requirements for Automobile and Aviation Gasoline, Diesel and Marine Fuel, Jet Fuel and Mazut Heating Oil" (CU TR 013/2011): http://www.eurasiancommission.org/ru/act/texnreg/deptexreg/tr/Pages/projectsPublic.aspxThe Customs Union Technical Regulation "On Requirements for Automobile and Aviation Gasoline, Diesel and Marine Fuel, Jet Fuel and Mazut Heating Oil" (CU TR 013/2011): http://www.eurasiancommission.org/ru/act/texnreg/deptexreg/tr/Pages/trebBenzin.aspx</t>
  </si>
  <si>
    <t xml:space="preserve">Letter of the Federal Service for Veterinary and Phytosanitary Surveillance No. FS-SD-8/9242 as of 3 June 2015_x000D_
Letter of the Federal Service for Veterinary and Phytosanitary Surveillance No. FS-SD-8/9245 as of 3 June 2015</t>
  </si>
  <si>
    <t>These documents introduce a temporary restriction on import of fish and marine products from Latvia and Estonia to the territory of the Russian Federation. It was a result of inspections.</t>
  </si>
  <si>
    <t>HS Code(s): 0301, 0302, 0303, 0304, 0305, 0306, 0307, 1603, 1604, 1605, 2301</t>
  </si>
  <si>
    <t>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1605 - Crustaceans, molluscs and other aquatic invertebrates, prepared or preserved; 0301 - Live fish;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0302 - Fish, fresh or chilled (excl. fish fillets and other fish meat of heading 0304); 0304 - Fish fillets and other fish meat, whether or not minced, fresh, chilled or frozen; 2301 - Flours, meals and pellets, of meat or meat offal, of fish or of crustaceans, molluscs or other aquatic invertebrates, unfit for human consumption; greaves; 0305 - Fish, fit for human consumption, dried, salted or in brine; smoked fish, fit for human consumption, whether or not cooked before or during the smoking process; flours, meals and pellets of fish, fit for human consumption; 1603 - Extracts and juices of meat, fish or crustaceans, molluscs and other aquatic invertebrates; 1604 - Prepared or preserved fish; caviar and caviar substitutes prepared from fish eggs</t>
  </si>
  <si>
    <t>Food safety; Human health; Pest- or Disease- free Regions / Regionalization</t>
  </si>
  <si>
    <t>Estonia, Latvia</t>
  </si>
  <si>
    <t>Temporary restriction on import of fresh apples, pears, quince, fresh apricots, cherries, peaches, nectarines, plums, sloes (hereinafter- plant products) from Moldova to the Russian Federation</t>
  </si>
  <si>
    <t>The Russian Federation notified temporary restriction on import of certain types of plant products from Moldova to the Russian Federation, G/SPS/N/RUS/67 (22 July 2014). According to the inspection results the measure was withdrawn from 12 June 2015 (Letter of the Federal Service for Veterinary and Phytosanitary Surveillance as of 11 June 2015 No.FS-USH-3/9838) with regard to import of the mentioned products from the following enterprises: SRL "GRIMAFRUCT", LLC "AGRODENIDAN", factories ATU Gagauzia LLC " Maidan-Group ", LLC "Unit-Olimp", LLC " Altyn Alma ", collective farm " Victory ", LLC Bakayn Kom, LLC "Oguzagroprom". Moreover this letter allows import to the territorry of the Russian Federation of the mentioned plant products from Grigoriopol, Dubasari, Camenca, Rybnitsa, Slobozia Districts.</t>
  </si>
  <si>
    <t>Letter of the Federal Service for Veterinary and Phytosanitary Surveillance No. FS-USH-3/7126 as of 29 April 2015</t>
  </si>
  <si>
    <t>The measure represents a temporary restriction on import to Russia of potatoes from the People's Republic of Bangladesh and potatoes of Bangladesh origin, due to repeated detection of bacteria Ralstonia solanacearum (Smith) Yabuuchi et al. (the causative agent of potato brown rot).</t>
  </si>
  <si>
    <t>Potatoes</t>
  </si>
  <si>
    <t>0701 - Potatoes, fresh or chilled</t>
  </si>
  <si>
    <d:r xmlns:d="http://schemas.openxmlformats.org/spreadsheetml/2006/main">
      <d:rPr>
        <d:sz val="11"/>
        <d:rFont val="Calibri"/>
      </d:rPr>
      <d:t xml:space="preserve">http://www.fsvps.ru/fsvps-docs/ru/news/files/13416/letter_7126.pdf</d:t>
    </d:r>
  </si>
  <si>
    <t>Letter of the Federal Service for Veterinary and Phytosanitary Surveillance No. FS-EN-8/6139</t>
  </si>
  <si>
    <t>The measure represents a temporary restriction on import of live poultry and hatching eggs, poultry meat and all kinds of poultry products, not heat treated (at least 70 °C), feed and feed additives for poultry (except feed additives of chemical and microbiological synthesis), used equipment for keeping, slaughter and butchering of birds, down and feather from Canada (Oxford county, Ontario) to the territory of the Russian Federation due to an outbreak of highly pathogenic avian influenza.</t>
  </si>
  <si>
    <t>HS Code(s): 0105, 0207, 0505, 1001190000, 1001990000, 1002900000, 1003900000, 1004900000, 1005900000, 1201900000, 1208, 1211, 1213000000, 1214, 2301, 2302, 2303, 230400000, 2306 (except of waste from HS Codes 2304 or 2305), 230800, 2309, 3507, 3923, 3926, 4415, 4416000000, 4421, 702000, 730900, 7310, 7326, 7616, 8436210000, 8436290000, 8436809000, 8606918000, 860900, 871639800, 0407</t>
  </si>
  <si>
    <t>0407 - Birds' eggs, in shell, fresh, preserved or cooked; 4421 - Other articles of wood, n.e.s.; 860691 - Railway or tramway goods vans and wagons, covered and closed (excl. self-discharging goods vans and wagons, tank wagons and the like and insulated or refrigerated goods vans and wagons); 1208 - Flours and meals of oil seeds or oleaginous fruits (excl. mustard); 3926 - Articles of plastics and articles of other materials of heading 3901 to 3914, n.e.s.; 7309 -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1211 - Plants and parts of plants, incl. seeds and fruits, of a kind used primarily in perfumery, medicaments or for insecticidal, fungicidal or similar purposes, fresh or dried, whether or not cut, crushed or powdered; 3507 - Enzymes; prepared enzymes, n.e.s.; 4416 - Casks, barrels, vats, tubs and other coopers' products parts thereof, of wood, incl. staves; 8609 - Containers, incl. containers for the transport of fluids, specially designed and equipped for carriage by one or more modes of transport; 843621 - Poultry incubators and brooders; 843680 - Agricultural, horticultural, forestry or bee-keeping machinery, n.e.s.;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7020 - Articles of glass, n.e.s.;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2309 - Preparations of a kind used in animal feeding; 100590 - Maize (excl. seed); 871639 - Trailers and semi-trailers for the transport of goods, not designed for running on rails (excl. self-loading of self-unloading trailers and semi-trailers for agricultural purposes and tanker trailers and tanker semi-trailers); 0105 - Live poultry, "fowls of the species Gallus domesticus, ducks, geese, turkeys and guinea fowls"; 1213 - Cereal straw and husks, unprepared, whether or not chopped, ground, pressed or in the form of pellets; 3923 - Articles for the conveyance or packaging of goods, of plastics; stoppers, lids, caps and other closures, of plastics;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t>
  </si>
  <si>
    <t>Animal diseases; Food safety; Feed additives; Zoonoses; Avian Influenza; Animal feed; Animal health; Human health</t>
  </si>
  <si>
    <t>Canada (Oxford county, Ontario)</t>
  </si>
  <si>
    <d:r xmlns:d="http://schemas.openxmlformats.org/spreadsheetml/2006/main">
      <d:rPr>
        <d:sz val="11"/>
        <d:rFont val="Calibri"/>
      </d:rPr>
      <d:t xml:space="preserve">http://www.fsvps.ru/fsvps/download/attachment/37165/%D0%A4%D0%A1-%D0%95%D0%9D-8_6139_%D0%BE%D1%82_15_04_15.pdf</d:t>
    </d:r>
  </si>
  <si>
    <t>Order of the Ministry of Agriculture of the Russian Federation as of 15 December 2014, No. 501</t>
  </si>
  <si>
    <t>This document adopts the list of quarantine pests for the Russian Federation.</t>
  </si>
  <si>
    <t>List of the regulated products, adopted by Eurasian Economic Commission Decision as of 18 June 2010, No. 318</t>
  </si>
  <si>
    <t>Plant protection (SPS); Protect humans from animal/plant pest or disease (SPS)</t>
  </si>
  <si>
    <t>Human health; Pests; Plant health</t>
  </si>
  <si>
    <t xml:space="preserve">The Eurasian Economic Commission Collegium Decision  as of 24 December 2014, No. 252 on amendments to the Customs Union Commission Decision on Common forms of veterinary certificates for goods subject to veterinary control (supervision) from third countries as of 7 April 2011, No. 607</t>
  </si>
  <si>
    <t xml:space="preserve">This document was adopted by the Eurasian Economic Commission Collegium Decision as of 24 December 2014, No. 252. It introduces amendments to CU legislation specifically to the forms of veterinary certificates for exported feed and feed additives of animal origin, including poultry and fish into the CU territory (Form No. 35). These amendments are the following: _x000D_
1) Add the words "for canned feed humidity above 14%" after the words "botulinum toxin" in para 4.5;_x000D_
2) The note should be read as follows: "The note: 1. The signature and the stamp should be different colour from the form. 2. The veterinary certificate should be made in Russian, as well as the language of the exporting country and (or) in English"._x000D_
Moreover, the Decision establishes that until 1 July 2015, the old veterinary certificate form is valid, along with the veterinary certificate Form No. 35, as amended.</t>
  </si>
  <si>
    <t>Feed and feed additives of animal origin, including poultry and fish</t>
  </si>
  <si>
    <t>2309 - Preparations of a kind used in animal feeding; 03 - FISH AND CRUSTACEANS, MOLLUSCS AND OTHER AQUATIC INVERTEBRATES</t>
  </si>
  <si>
    <d:r xmlns:d="http://schemas.openxmlformats.org/spreadsheetml/2006/main">
      <d:rPr>
        <d:sz val="11"/>
        <d:rFont val="Calibri"/>
      </d:rPr>
      <d:t xml:space="preserve">http://www.eurasiancommission.org/ru/Lists/EECDocs/635554497942282060.pdf</d:t>
    </d:r>
  </si>
  <si>
    <t>Draft Technical Regulation of the Customs Union "Poultry Meat and Poultry Processed Products"</t>
  </si>
  <si>
    <t xml:space="preserve">This document establishes requirements to poultry meat and poultry processed products, processes of its production, storage, transportation, marketing and utilization, as well as requirements for labelling and packaging of poultry meat and poultry processed products to ensure free circulation within the CU territory. This draft was notified under TBT Russia  as of 9 December 2014 G/TBT/N/RUS/41 in accordance with Article 10.6 of WTO TBT Agreement. According to the mentioned notification 5 February 2015 is established as the final date for comments.</t>
  </si>
  <si>
    <t>Human health; Food safety; Labelling; Packaging</t>
  </si>
  <si>
    <d:r xmlns:d="http://schemas.openxmlformats.org/spreadsheetml/2006/main">
      <d:rPr>
        <d:sz val="11"/>
        <d:rFont val="Calibri"/>
      </d:rPr>
      <d:t xml:space="preserve">http://www.eurasiancommission.org/ru/act/texnreg/deptexreg/tr/Documents/%d0%9f%d1%80%d0%be%d0%b5%d0%ba%d1%82%20%d0%a2%d0%a0%20%d0%a2%d0%a1.pdf</d:t>
    </d:r>
  </si>
  <si>
    <t>Letter of the Federal Service for the Veterinary and Phytosanitary No. FS-EN-8/25052 as of 17 December 2014</t>
  </si>
  <si>
    <t xml:space="preserve">This letter introduces a temporary restriction on import of  products from the USA mentioned in point 3 due to the outbreak of highly pathogenic avian influenza H5N8 and H5N2.</t>
  </si>
  <si>
    <t xml:space="preserve">HS Code(s):  0105 (from the Washington State  only), 0207, 0505, 1001190000, 1001990000, 1002900000, 1003900000, 1004900000, 1005900000, 1201900000, 1208, 1211, 1213000000, 1214, 2301, 2302, 2303, 230400000, 2306, 2309, 3507, equipment and supplies for transportation, breeding, temporary overexposure of animals of all species, as well as equipment for the transportation of raw materials (products) of animal origin  from  3923, 3926, 4415, 4416000000, 4421, 702000, 730900,  7310, 7326, 7616, 8436210000, 8436290000, 8436809000, 8606918000, 860900, 871639800, 0407.</t>
  </si>
  <si>
    <t>0105 - Live poultry, "fowls of the species Gallus domesticus, ducks, geese, turkeys and guinea fowls";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7020 - Articles of glass, n.e.s.; 1001 - Wheat and meslin; 2309 - Preparations of a kind used in animal feeding; 871639 - Trailers and semi-trailers for the transport of goods, not designed for running on rails (excl. self-loading of self-unloading trailers and semi-trailers for agricultural purposes and tanker trailers and tanker semi-trailers); 1003 - Barley; 1004 - Oats; 1005 - Maize or corn; 1201 - Soya beans, whether or not broken; 1208 - Flours and meals of oil seeds or oleaginous fruits (excl. mustard); 3926 - Articles of plastics and articles of other materials of heading 3901 to 3914, n.e.s.; 7309 -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0407 - Birds' eggs, in shell, fresh, preserved or cooked; 4421 - Other articles of wood, n.e.s.; 860691 - Railway or tramway goods vans and wagons, covered and closed (excl. self-discharging goods vans and wagons, tank wagons and the like and insulated or refrigerated goods vans and wagons); 1211 - Plants and parts of plants, incl. seeds and fruits, of a kind used primarily in perfumery, medicaments or for insecticidal, fungicidal or similar purposes, fresh or dried, whether or not cut, crushed or powdered; 3507 - Enzymes; prepared enzymes, n.e.s.; 4416 - Casks, barrels, vats, tubs and other coopers' products parts thereof, of wood, incl. staves; 843621 - Poultry incubators and brooders; 843680 - Agricultural, horticultural, forestry or bee-keeping machinery, n.e.s.; 8609 - Containers, incl. containers for the transport of fluids, specially designed and equipped for carriage by one or more modes of transport;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 1213 - Cereal straw and husks, unprepared, whether or not chopped, ground, pressed or in the form of pellets; 3923 - Articles for the conveyance or packaging of goods, of plastics; stoppers, lids, caps and other closures, of plastics</t>
  </si>
  <si>
    <d:r xmlns:d="http://schemas.openxmlformats.org/spreadsheetml/2006/main">
      <d:rPr>
        <d:sz val="11"/>
        <d:rFont val="Calibri"/>
      </d:rPr>
      <d:t xml:space="preserve">http://www.fsvps.ru/fsvps/laws/4061.html</d:t>
    </d:r>
  </si>
  <si>
    <t>Letter of the Federal Service for the Veterinary and Phytosanitary Surveillance No. FS-EN-8/23622 as of 28 November 2014</t>
  </si>
  <si>
    <t>These letters introduce a temporary restriction on import of by-products from the EU due to detection of prohibited and harmful substances while monitoring. The restrictions apply to pork by-products and pork fat used for food purposes according to HS Code 1602.</t>
  </si>
  <si>
    <t xml:space="preserve">HS Code(s):  1602.</t>
  </si>
  <si>
    <t>1602 - Prepared or preserved meat, offal or blood (excl. sausages and similar products, and meat extracts and juices)</t>
  </si>
  <si>
    <t>Food safety; Contaminants; Human health</t>
  </si>
  <si>
    <d:r xmlns:d="http://schemas.openxmlformats.org/spreadsheetml/2006/main">
      <d:rPr>
        <d:sz val="11"/>
        <d:rFont val="Calibri"/>
      </d:rPr>
      <d:t xml:space="preserve">http://www.fsvps.ru/fsvps/download/attachment/25723/%D0%A4%D0%A1-%D0%95%D0%9D-823622.pdf</d:t>
    </d:r>
  </si>
  <si>
    <t>Letter of the Federal Service for the Veterinary and Phytosanitary Surveillance No. FS-AS-3/23964 as of 3 December 2014</t>
  </si>
  <si>
    <t>This letter introduces a temporary restriction on import of regulated products of high phytosanitary risk from Albania and the products originated from Albania to the territorry of the Russian Federation due to violations of national and international phytosanitary requirements.</t>
  </si>
  <si>
    <t>The regulated products of high phytosanitary risk</t>
  </si>
  <si>
    <t>Draft of the Eurasian Economic Comission Collegium Decision on amendments to Common sanitary-epidemiological and hygienic requirements for products, subjected to sanitary-epidemiological supervision (control)</t>
  </si>
  <si>
    <t xml:space="preserve">It was decided to stop developing amendments to Section 1 of Chapter 2 of the  Common sanitary-epidemiological and hygienic requirements for products, subjected to sanitary-epidemiological supervision (control), establishing  norms for peroxide number for refined deodorized palm-oil (not more than 0.9 mmol of active oxigen/kg).</t>
  </si>
  <si>
    <t>3808 - Insecticides, rodenticides, fungicides, herbicides, anti-sprouting products and plant-growth regulators, disinfectants and similar products, put up for retail sale or as preparations or articles, e.g. sulphur-treated bands, wicks and candles, and fly-papers; 0210 - Meat and edible offal, salted, in brine, dried or smoked; edible flours and meals of meat or meat offal; 1511 - Palm oil and its fractions, whether or not refined (excl. chemically modified)</t>
  </si>
  <si>
    <t>Letter of the Federal Service for the Veterinary and Phytosanitary Surveillance No. FS-EN-8/22467 as of 17 November 2014</t>
  </si>
  <si>
    <t xml:space="preserve">This letter introduces a temporary restriction on import of products from Tunisia mentioned in point 3  and transit of the same products through the territory of the Russian Federation from Tunisia mentioned in point 3 due to the deterioration of the epizootic situation of FMD virus.</t>
  </si>
  <si>
    <t>Live animals susceptible to FMD; genetic material (semen and embryos in vitro); raw meat and meat products, not heat-treated, that guarantee the destruction of the FMD virus; milk and milk products, not heat-treated, that guarantee the destruction of the FMD virus; wool, hair, bristles, trophies, raw intestines, hides and skins, untreated by technology that guarantees the destruction of the FMD virus.</t>
  </si>
  <si>
    <t>0102 - Live bovine animals; 0401 - Milk and cream, not concentrated nor containing added sugar or other sweetening matter; 0103 - Live swine; 0201 - Meat of bovine animals, fresh or chilled; 0511 - Animal products n.e.s.; dead animals of all types, unfit for human consumption; 0104 - Live sheep and goats; 0204 - Meat of sheep or goats, fresh, chilled or frozen; 0203 - Meat of swine, fresh, chilled or frozen</t>
  </si>
  <si>
    <t>Tunisia</t>
  </si>
  <si>
    <d:r xmlns:d="http://schemas.openxmlformats.org/spreadsheetml/2006/main">
      <d:rPr>
        <d:sz val="11"/>
        <d:rFont val="Calibri"/>
      </d:rPr>
      <d:t xml:space="preserve">http://www.fsvps.ru/fsvps/laws/4006.html</d:t>
    </d:r>
  </si>
  <si>
    <t>Letter of the Federal Service for the Veterinary and Phytosanitary Surveillance No. FS-NV-8/23783 as of 1 December 2014</t>
  </si>
  <si>
    <t xml:space="preserve">This letter introduces a temporary restriction on imports of poultry meat and all poultry products, not heat treated (at least 70°C), feeds and feed additives for poultry (except feed additives of chemical and microbiological synthesis), used equipment for keeping, slaughter and butchering of birds from Germany to the territory of the Russian Federation due to the outbreak of highly pathogenic avian influenza._x000D_
Furthermore, it also introduces a temporary restriction on imports of live poultry, hatching eggs, feathers, poultry meat and all poultry products, not heat treated (at least 70°C), feeds and feed additives for poultry, used equipment for keeping, slaughter and butchering of birds from Mecklenburg-Western Pomerania and Brandenburg (Germany) to the territory of the Russian Federation due to the above-mentioned reason._x000D_
As for deliveries of the live poultry, hatching eggs from Germany to Russia, the appropriate veterinary certificates must be accompanied by an annex, signed and stamped by the veterinarian, who issued the veterinary certificate. The sample is attached to the letter._x000D_
</t>
  </si>
  <si>
    <t>Poultry meat and all poultry products, feeds and feed additives for poultry, used equipment for keeping, slaughter and butchering of birds, live poultry, hatching eggs, feathers.</t>
  </si>
  <si>
    <t>0407 - Birds' eggs, in shell, fresh, preserved or cooked; 0207 - Meat and edible offal of fowls of the species Gallus domesticus, ducks, geese, turkeys and guinea fowls, fresh, chilled or frozen; 0105 - Live poultry, "fowls of the species Gallus domesticus, ducks, geese, turkeys and guinea fowls"; 2309 - Preparations of a kind used in animal feeding</t>
  </si>
  <si>
    <t>Animal diseases; Food safety; Feed additives; Zoonoses; Animal feed; Animal health; Human health; Pest- or Disease- free Regions / Regionalization; Avian Influenza</t>
  </si>
  <si>
    <t>Germany (Mecklenburg-Western Pomerania and Brandenburg)</t>
  </si>
  <si>
    <d:r xmlns:d="http://schemas.openxmlformats.org/spreadsheetml/2006/main">
      <d:rPr>
        <d:sz val="11"/>
        <d:rFont val="Calibri"/>
      </d:rPr>
      <d:t xml:space="preserve">http://www.fsvps.ru/fsvps/laws/4032.html</d:t>
    </d:r>
  </si>
  <si>
    <t>Draft Technical Regulation of the Customs Union «Poultry Meat and Poultry Processed Products» (106 pages, in Russian)</t>
  </si>
  <si>
    <t>Draft Technical Regulation of the Customs Union Poultry Meat and Poultry Processed Products establishes requirements to poultry meat and poultry processed products aimed at ensuring health and life protection and preventing consumer deception.</t>
  </si>
  <si>
    <t>Draft Technical Regulation of the Customs Union Poultry Meat and Poultry Processed Productshttp://www.eurasiancommission.org/ru/act/texnreg/deptexreg/tr/Pages/projectsPublic.aspx</t>
  </si>
  <si>
    <t>Letter of the Federal Service for the Veterinary and Phytosanitary Surveillance No. FS-NV-2/21561 as of 7 November 2014</t>
  </si>
  <si>
    <t xml:space="preserve">This letter introduces the following:_x000D_
I. Decontamination and research conditions for the animals imported to the territory of the Russian Federation in the exporting country._x000D_
Animals must be decontaminated for at least 28 days prior to export to the Russian Federation. Animals must be doubly researched in the laboratory by polymerase chain reaction to detect the virus genome Schmallenberg. The whole quarantine group of animals is allowed to be imported to the territory of the Russian Federation if no infected animals are revealed during the laboratory research. Furthermore, the letter establishes the conditions for transit of animals through the territory of a third country, when the monitoring and restrictive measures are not carried out  in respect of the disease Schmallenberg. Also, the letter establishes conditions for import of genetic material of cattle (semen, embryos, ova)._x000D_
II. Decontamination and research conditions for the animals transiting through the territory of the Russian Federation in the exporting country._x000D_
III. Transit conditions for the animals through the territory of the Russian Federation.</t>
  </si>
  <si>
    <t xml:space="preserve">HS Code(s):  0102, 0104, 0511.</t>
  </si>
  <si>
    <t>0102 - Live bovine animals; 0104 - Live sheep and goats; 0511 - Animal products n.e.s.; dead animals of all types, unfit for human consumption</t>
  </si>
  <si>
    <t>European Union, Switzerland</t>
  </si>
  <si>
    <t>The Schmallenberg virus is insufficiently studied. An international standard has not been developed yet. The measure was provisionally adopted on the basis of available pertinent information as relevant scientific evidence is insufficient.</t>
  </si>
  <si>
    <t>Letter of the Federal Service for the Veterinary and Phytosanitary Surveillance No. FS-NV-8/23786 as of 1 December 2014</t>
  </si>
  <si>
    <t>This letter introduces a temporary restriction on import of products mentioned in point 3 due to the registration of new hotbeds of bluetongue in the regions Puglia and Tuscany (Italy).</t>
  </si>
  <si>
    <t xml:space="preserve">HS Code(s):  0102, 0104, 0106, 0511 99 853, 0511 99 852.</t>
  </si>
  <si>
    <t>Animal diseases; Animal health; Pest- or Disease- free Regions / Regionalization; Bluetongue</t>
  </si>
  <si>
    <t>Regions Puglia and Tuscany (Italy)</t>
  </si>
  <si>
    <t>Letter of the Federal Service for the Veterinary and Phytosanitary Surveillance No. FS-NV-8/22157 as of 13 November 2014</t>
  </si>
  <si>
    <t>This letter introduces a temporary restriction on import of products from Canada mentioned in point 3 due to the detection of prohibited and harmful substances in 2014 including ractopamine findings.</t>
  </si>
  <si>
    <t xml:space="preserve">HS Code(s):  0203; pork by-products from 0206, 0210; edible flours of meat or meat by-products from 0210; pork fat from 0209; 1501; prepared pork products from 160100, 1602.</t>
  </si>
  <si>
    <t>0206 - Edible offal of bovine animals, swine, sheep, goats, horses, asses, mules or hinnies, fresh, chilled or frozen; 0210 - Meat and edible offal, salted, in brine, dried or smoked; edible flours and meals of meat or meat offal; 1602 - Prepared or preserved meat, offal or blood (excl. sausages and similar products, and meat extracts and juices); 160100 - Sausages and similar products, of meat, offal or blood; food preparations based on these products; 0209 - Pig fat, free of lean meat, and poultry fat, not rendered or otherwise extracted, fresh, chilled, frozen, salted, in brine, dried or smoked; 1501 - Pig fat, incl. lard, and poultry fat, rendered or otherwise extracted (excl. lard stearin and lard oil); 0203 - Meat of swine, fresh, chilled or frozen</t>
  </si>
  <si>
    <t>Food safety; Animal feed; Human health; Feed additives</t>
  </si>
  <si>
    <t>Canada</t>
  </si>
  <si>
    <d:r xmlns:d="http://schemas.openxmlformats.org/spreadsheetml/2006/main">
      <d:rPr>
        <d:sz val="11"/>
        <d:rFont val="Calibri"/>
      </d:rPr>
      <d:t xml:space="preserve">http://www.fsvps.ru/fsvps/download/direction/7503</d:t>
    </d:r>
  </si>
  <si>
    <t>Draft of the Federal Law on veterinary practices</t>
  </si>
  <si>
    <t xml:space="preserve">This document introduces the following:_x000D_
I. secure of the basic functions of the federal executive bodies in the sphere of veterinary:_x000D_
- development and implementation of state policy, legal regulation in the sphere of veterinary;_x000D_
- organization and conduction of epizootic monitoring in Russia and veterinary safety monitoring of controlled goods, except in cases established by the draft law;_x000D_
- establishment of procedures for issuing of the veterinary certificates;_x000D_
- establishment and abolition of restrictive measures and (or) quarantine on the territory of the Russian Federation in case of  rise and (or) spread of infectious diseases of animals, except for the cases established by the draft law, establishment of restrictive measures and (or) quarantine on the territory of two or more subjects of the Russian Federation in case of rise and (or) spread of infectious animal diseases;_x000D_
- establishment of a federal state information system in the sphere of veterinary and ensuring its functioning;_x000D_
- confirmation of the National plan of anti-epizootic measures against infectious diseases of animals and provision of medicines  and drugs for veterinary use;_x000D_
- introduction of restrictions on import to the Russian Federation, export from the Russian Federation and transit through the territory of the Russian Federation of the controlled goods;_x000D_
- destribution of permits for import, export and transit of controlled goods in accordance with the legislation of the Customs Union within the Eurasian Economic Community;_x000D_
- conduction of studies of production facilities located in foreign countries and implemention of keeping, breeding, cultivation and sale of controlled products imported to the territory of the Customs Union, as well as transported from the territory of one Member State of the Customs Union to the territory of another member, register-keeping of mentioned goods assessment of foreign authorities conducting veterinary supervision, in order to identify opportunities to ensure the safety of controlled goods in accordance with the legislation of the Customs Union within the Eurasian Economic Community and international legislation;_x000D_
- implementation of state veterinary control (supervision) on the main domestic rail, road, sea (river) and air directions of animals transportation, controlled goods and their transport routes;_x000D_
- conduction of studies of production facilities, located in the territory of the Russian Federation, for compliance with the mandatory requirements of states or groups of states, register-keeping of of production facilities corresponding to the specified requirements;_x000D_
- implementation of state veterinary control of imported and exported controlled goods to the customs union territory at checkpoints across the state border of the Russian Federation in accordance with veterinary requirements;_x000D_
- state accreditation of laboratories for laboratory research in the sphere of veterinary and inspection control  of their activities;_x000D_
- conduction of veterinary and veterinary and sanitary examination and secure of veterinary certificates for controlled goods imported and exported to the Customs Union;_x000D_
- registration of drugs for veterinary use as feed additives, as well as GMO organisms used for the production of feed and feed additives, has not been previously registered in another Member State of the Customs Union;_x000D_
- register-keeping of registered products for veterinary use, the State register of feed additives;_x000D_
- inspection control over the activities of veterinary experts;_x000D_
- monitoring of the veterinary-sanitary status of road transport, ships, aircraft, cars, containers, warehouses, quarantine database, loading and unloading areas and other special areas, disinfection and washing facilities, as well as the collection and disposal of separations in the sea (river) air, rail and and road crossings;_x000D_
- decision on awarding the animal health status of the production facilities;_x000D_
- organization and conduction of the federal executive bodies  in the field of defense, internal affairs, of Corrections, Public Safety and Security to subordinate objects;_x000D_
- cooperation with international organizations and foreign governments in the sphere of veterinary._x000D_
II. Delegation the following powers to the executive authorities in the veterinary sphere of the subjects of the Russian Federation:_x000D_
- implementation of state veterinary control (supervision), except for the cases specified in paragraphs 11, 12, 22 of Article 6 of the draft law._x000D_
III. Secure of the basic functions of the executive authorities of the Russian Federation in the sphere of veterinary:_x000D_
- organization of providing veterinary activities, including veterinary examination, veterinary and sanitary examination, issuing of veterinary certificates for controlled goods, except for cases relating to the powers of the Russian Federation referred to in paragraphs 15 and 22 of Article 6 of the draft law;_x000D_
- organization of measures for prevention, diagnostics and elimination of animal diseases, their treatment, compartmentalization, protection of the population against diseases common to humans and animals, with the exception for cases relating to the powers of the Russian Federation referred to in paragraph 22 of Article 6 of the draft law;_x000D_
- withdrawal of controlled goods  infectious animal diseases extinguishing hotbeds on the territory of the subject of the Russian Federation, with compensation of their costs, with the exception for cases relating to the powers of the Russian Federation referred to in paragraph 22 of Article 6 of the draft law._x000D_
Provisions of the draft affect the interests of legal entities and individual entrepreneurs and citizens involved in animal handling and animal products._x000D_
The draftl will help to improve the legal regulation of relations in the sphere of social relations, as well as the elimination of excessive administrative barriers for businesses, operating in the field of veterinary._x000D_
The draft will also increase the level of responsibility and professional training of veterinary experts that will create the conditions for more effective enforcement of epizootic and veterinary-sanitary conditions in the Russian Federation.</t>
  </si>
  <si>
    <t xml:space="preserve">HS Code(s):  01, 02, 03, 04, 05, 15, 16, 23, 41, 42, 43, 51.</t>
  </si>
  <si>
    <t>01 - LIVE ANIMALS; 51 - WOOL, FINE OR COARSE ANIMAL HAIR; HORSEHAIR YARN AND WOVEN FABRIC; 04 - DAIRY PRODUCE; BIRDS' EGGS; NATURAL HONEY; EDIBLE PRODUCTS OF ANIMAL ORIGIN, NOT ELSEWHERE SPECIFIED OR INCLUDED; 43 - FURSKINS AND ARTIFICIAL FUR; MANUFACTURES THEREOF; 03 - FISH AND CRUSTACEANS, MOLLUSCS AND OTHER AQUATIC INVERTEBRATES; 41 - RAW HIDES AND SKINS (OTHER THAN FURSKINS) AND LEATHER; 05 - PRODUCTS OF ANIMAL ORIGIN, NOT ELSEWHERE SPECIFIED OR INCLUDED; 16 - PREPARATIONS OF MEAT, OF FISH OR OF CRUSTACEANS, MOLLUSCS OR OTHER AQUATIC INVERTEBRATES; 42 - ARTICLES OF LEATHER; SADDLERY AND HARNESS; TRAVEL GOODS, HANDBAGS AND SIMILAR CONTAINERS; ARTICLES OF ANIMAL GUT (OTHER THAN SILKWORM GUT); 02 - MEAT AND EDIBLE MEAT OFFAL; 15 - ANIMAL OR VEGETABLE FATS AND OILS AND THEIR CLEAVAGE PRODUCTS; PREPARED EDIBLE FATS; ANIMAL OR VEGETABLE WAXES; 23 - RESIDUES AND WASTE FROM THE FOOD INDUSTRIES; PREPARED ANIMAL FODDER</t>
  </si>
  <si>
    <t>Animal health; Human health; Animal diseases; Food safety; Zoonoses; Certification, control and inspection</t>
  </si>
  <si>
    <d:r xmlns:d="http://schemas.openxmlformats.org/spreadsheetml/2006/main">
      <d:rPr>
        <d:sz val="11"/>
        <d:rFont val="Calibri"/>
      </d:rPr>
      <d:t xml:space="preserve">http://www.mcx.ru/documents/file_document/v7_show/24457..htm</d:t>
    </d:r>
  </si>
  <si>
    <t>Draft of the Eurasian Economic Commission Council Decision on amendments to the Regulation on the Common procedure for carrying out veterinary control at the customs border of the Customs Union and on the customs territory of the Customs Union</t>
  </si>
  <si>
    <t>The Russian Federation notified in G/SPS/N/RUS/43 (14 January 2014) draft of the Eurasian Economic Commission Council Decision on amendments to the Regulation on the Common procedure for carrying out veterinary control at the customs border of the Customs Union and on the customs territory of the Customs Union. The Decision was adopted by the Eurasian Economic Commission Council No. 95 as of 9 October 2014. The Decision will enter into force on 19 November 2014. The publication was on 20 October 2014 at the Eurasian Economic Commission website: http://www.eurasiancommission.org/ru/Lists/EECDocs/635488836901210071.pdf</t>
  </si>
  <si>
    <t>04 - DAIRY PRODUCE; BIRDS' EGGS; NATURAL HONEY; EDIBLE PRODUCTS OF ANIMAL ORIGIN, NOT ELSEWHERE SPECIFIED OR INCLUDED; 02 - MEAT AND EDIBLE MEAT OFFAL; 23 - RESIDUES AND WASTE FROM THE FOOD INDUSTRIES; PREPARED ANIMAL FODDER; 30 - PHARMACEUTICAL PRODUCTS; 01 - LIVE ANIMALS</t>
  </si>
  <si>
    <t>Letter of the Federal Service for the Veterinary and Phytosanitary Surveillance No. FS-AS-3/20399 as of 21 October 2014</t>
  </si>
  <si>
    <t>This letter introduces a temporary restriction on import of regulated products of high phytosanitary risk from Ukraine and the products in transit through Ukraine due to repeated violations of national and international phytosanitary requirements.</t>
  </si>
  <si>
    <t xml:space="preserve">Draft of the Eurasian Economic Commission Council Decision on Amendments to the Customs Union Commission Decision on Common System of Joint Inspection of Objects and Sampling Goods (Products) Subject to Veterinary  Control (Supervision) No. 834 as of 18 October 2011</t>
  </si>
  <si>
    <t xml:space="preserve">The Russian Federation notified in G/SPS/N/RUS/14 (27 February 2013) draft of the Eurasian Economic Commission Council Decision on Amendments to the Customs Union Commission Decision on Common System of Joint Inspection of Objects and Sampling Goods (Products) Subject to Veterinary  Control (Supervision) No. 834 as of 18 October 2011. The Decision was adopted by the Eurasian Economic Commission Council No/ 94 as of 9 October 2014. The Decision will enter into force on 19 November 2014. The publication was on 20 October 2014 at the Eurasian Economic Commission website: http://www.eurasiancommission.org/ru/Lists/EECDocs/635488834367146071.pdf</t>
  </si>
  <si>
    <t>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1604 - Prepared or preserved fish; caviar and caviar substitutes prepared from fish eggs;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0210 - Meat and edible offal, salted, in brine, dried or smoked; edible flours and meals of meat or meat offal; 0301 - Live fish;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t>
  </si>
  <si>
    <t>Adoption/publication/entry into force of reg.; Food safety; Labelling; Human health</t>
  </si>
  <si>
    <t>Letter of the Federal Service for the Veterinary and Phytosanitary Surveillance No. FS-EN-8/20219 as of 20 October 2014</t>
  </si>
  <si>
    <t xml:space="preserve">This letter introduces a temporary restriction on import of products from EU mentioned  in point 3  due to the detection of prohibited and harmful substances while monitoring.</t>
  </si>
  <si>
    <t xml:space="preserve">HS Code(s):  from 0206 (edible offal of bovine animals, swine), 0210 (edible meat offal, edible flours and meals of meat or meat offal), 1501 (pig fat (including lard) and poultry fat, other than that of heading 02.09 or 15.03.), 1502 (fats of bovine animals).</t>
  </si>
  <si>
    <t>0210 - Meat and edible offal, salted, in brine, dried or smoked; edible flours and meals of meat or meat offal; 0206 - Edible offal of bovine animals, swine, sheep, goats, horses, asses, mules or hinnies, fresh, chilled or frozen; 1501 - Pig fat, incl. lard, and poultry fat, rendered or otherwise extracted (excl. lard stearin and lard oil); 1502 - Fats of bovine animals, sheep or goats (excl. lard stearin, lard oil, oleostearin, oleooil and tallow oil, not emulsified or mixed or otherwise prepared)</t>
  </si>
  <si>
    <d:r xmlns:d="http://schemas.openxmlformats.org/spreadsheetml/2006/main">
      <d:rPr>
        <d:sz val="11"/>
        <d:rFont val="Calibri"/>
      </d:rPr>
      <d:t xml:space="preserve">http://www.fsvps.ru/fsvps/download/attachment/22836/20219(3507548_%D0%A4%D0%A1-%D0%95%D0%9D-8_20219_20_10_2014).pdf</d:t>
    </d:r>
  </si>
  <si>
    <t>Letter of the Federal Service for the Veterinary and Phytosanitary Surveillance No. FS-SA-8/19371 as of 9 October 2014</t>
  </si>
  <si>
    <t>This letter allows import of pork products from four enterprises in Ukraine. Moreover, the following conditions should be carried out: 1. Import of pork is only permitted for the carcasses and half carcasses with veterinary stamps; 2. The Annex should be issued in addition to the veterinary certificate. This Annex should confirm that the raw materials from which the products are manufactured, produced at the enterprises located in the regions of Ukraine be free from ASF. Moreover, the information on the results of monitoring studies on the ASF should be included in this Annex.</t>
  </si>
  <si>
    <t>Pork products</t>
  </si>
  <si>
    <t>0203 - Meat of swine, fresh, chilled or frozen</t>
  </si>
  <si>
    <t>Zoonoses; African swine fever (ASF); Animal health; Animal diseases</t>
  </si>
  <si>
    <d:r xmlns:d="http://schemas.openxmlformats.org/spreadsheetml/2006/main">
      <d:rPr>
        <d:sz val="11"/>
        <d:rFont val="Calibri"/>
      </d:rPr>
      <d:t xml:space="preserve">http://www.fsvps.ru/fsvps/download/direction/7332</d:t>
    </d:r>
  </si>
  <si>
    <t>Draft Technical Regulation of the Customs Union On Requirements to Fire Safety and Fire-Extinguishing Equipment (45 pages, in Russian)</t>
  </si>
  <si>
    <t>Draft Technical Regulation of the Customs Union "On Ruirements to Fire Safety and Fire-Extinguishing Equipment" establishes requirements to fire safety and fire-extinguishing equipment aimed at ensuring health and life protection and preventing consumer deception.</t>
  </si>
  <si>
    <t>Fire safety and fire-extinguishing equipment</t>
  </si>
  <si>
    <t>13.220 - Protection against fire</t>
  </si>
  <si>
    <t>Draft Technical Regulation of the Customs Union "On Requirements to Fire Safety and Fire-Extinguishing Equipment":http://www.eurasiancommission.org/ru/act/texnreg/deptexreg/tr/Documents/1%20tr%20pozhar%20po.pdf</t>
  </si>
  <si>
    <t>Letter of the Federal Service for the Veterinary and Phytosanitary Surveillance No. FS-NV-8/17329 as of 11 September 2014</t>
  </si>
  <si>
    <t>This letter introduces a temporary restriction on import of cattle, small cattle, wild, zoo and circus animals susceptible to bluetongue, camels and other representatives of the camel (llama, alpaca, vicuna), semen of bulls, sheep, goats- producers, embryos of cattle and small cattle due to the registration of new hotbeds of bluetongue on the territory of regions Calabria, Lazio, Campania, Marche (Italy).</t>
  </si>
  <si>
    <t>HS Code(s): 0102, 0104, 0106, 0511 99 853, 0511 99 852.</t>
  </si>
  <si>
    <t>0102 - Live bovine animals; 0106 - Live animals (excl. horses, asses, mules, hinnies, bovine animals, swine, sheep, goats, poultry, fish, crustaceans, molluscs and other aquatic invertebrates, and microorganic cultures etc.); 0104 - Live sheep and goats</t>
  </si>
  <si>
    <t>Regions Calabria, Lazio, Campania, Marche (Italy)</t>
  </si>
  <si>
    <d:r xmlns:d="http://schemas.openxmlformats.org/spreadsheetml/2006/main">
      <d:rPr>
        <d:sz val="11"/>
        <d:rFont val="Calibri"/>
      </d:rPr>
      <d:t xml:space="preserve">http://www.fsvps.ru/fsvps/download/attachment/19741/17329(3194275_%D0%A4%D0%A1-%D0%9D%D0%92-8_17329_11_09_2014).pdf</d:t>
    </d:r>
  </si>
  <si>
    <t>This letter introduces a temporary restriction on import of cattle, small cattle, wild, zoo and circus animals susceptible to bluetongue, camels and other representatives of the camel (llama, alpaca, vicuna), semen of bulls, sheep, goats- producers, embryos of cattle and small cattle due to the registration of new hotbeds of bluetongue in the district of central Greece, West Macedonia, East Macedonia and Thrace and Central Macedonia and Peloponnese (Greece).</t>
  </si>
  <si>
    <t>District of central Greece, West Macedonia, East Macedonia and Thrace and Central Macedonia and Peloponnese (Greece)</t>
  </si>
  <si>
    <t>Letter of the Federal Service for Veterinary and Phytosanitary Surveillance No. FS-NV-8/17431 as of 11 September 2014.</t>
  </si>
  <si>
    <t>This letter introduces temporary restrictions on import of live pigs, fresh pork, chilled or frozen products of animal origin elsewhere unnamed or not included; dead animals of Chapter 01 or 03, unfit for food, meat and edible meat by-products, salted in brine, dried or smoked; edible meat flour or meat by-products flour, products used for animal feed, sausages and similar products of meat, meat by-products or blood, food preparations based thereon, other prepared or canned meat, meat by-products or blood from Estonia to the territory of the Russian Federation due to the outbreak of the African swine fever virus (ASF).</t>
  </si>
  <si>
    <t>HS Code(s): 0103, 0203, 0511, 0210, 2309, 160100, 1602.</t>
  </si>
  <si>
    <t>0210 - Meat and edible offal, salted, in brine, dried or smoked; edible flours and meals of meat or meat offal; 2309 - Preparations of a kind used in animal feeding; 160100 - Sausages and similar products, of meat, offal or blood; food preparations based on these products; 0203 - Meat of swine, fresh, chilled or frozen; 0103 - Live swine; 0511 - Animal products n.e.s.; dead animals of all types, unfit for human consumption; 1602 - Prepared or preserved meat, offal or blood (excl. sausages and similar products, and meat extracts and juices)</t>
  </si>
  <si>
    <t>Animal diseases; African swine fever (ASF); Food safety; Animal feed; Animal health; Human health; Pest- or Disease- free Regions / Regionalization</t>
  </si>
  <si>
    <d:r xmlns:d="http://schemas.openxmlformats.org/spreadsheetml/2006/main">
      <d:rPr>
        <d:sz val="11"/>
        <d:rFont val="Calibri"/>
      </d:rPr>
      <d:t xml:space="preserve">http://www.fsvps.ru/fsvps/download/attachment/19756/17431(3200017_%D0%A4%D0%A1-%D0%9D%D0%92-8_17431_11_09_2014).pdf</d:t>
    </d:r>
  </si>
  <si>
    <t>Letter of the Federal Service for Veterinary and Phytosanitary Supervision No. FS-EN-8/16262 as of 27 August 2014</t>
  </si>
  <si>
    <t>This letter introduces a temporary restriction on import of cattle, pigs, small cattle, wild, zoo and circus animals susceptible to vesicular stomatitis, semen of cattle, semen of stallions, rams and goats, producers semen, semen of pigs, horses embryos, embryos of sheep and goats, bovine embryos from Colorado and Texas (United States of America).</t>
  </si>
  <si>
    <t xml:space="preserve">HS Code(s):  0102, 0103, 0104, 0106, 0511.</t>
  </si>
  <si>
    <t>0104 - Live sheep and goats; 0103 - Live swine; 0511 - Animal products n.e.s.; dead animals of all types, unfit for human consumption; 0102 - Live bovine animals; 0106 - Live animals (excl. horses, asses, mules, hinnies, bovine animals, swine, sheep, goats, poultry, fish, crustaceans, molluscs and other aquatic invertebrates, and microorganic cultures etc.)</t>
  </si>
  <si>
    <t>States of Colorado and Texas (United States of America)</t>
  </si>
  <si>
    <d:r xmlns:d="http://schemas.openxmlformats.org/spreadsheetml/2006/main">
      <d:rPr>
        <d:sz val="11"/>
        <d:rFont val="Calibri"/>
      </d:rPr>
      <d:t xml:space="preserve">http://www.fsvps.ru/fsvps/download/attachment/18159/%D0%A4%D0%A1-%D0%95%D0%9D-8_16262_%D0%BE%D1%82_27_08_14.pdf</d:t>
    </d:r>
  </si>
  <si>
    <t>Draft Agreement on common principles and rules of medical devices circulation in the Eurasian Economic Union (16 pages, in Russian)</t>
  </si>
  <si>
    <t xml:space="preserve">Draft Agreement on common principles and rules of medical devices circulation in the Eurasian Economic Union as mentioned above in the present notification has been prepared in order to implement provisions of the Treaty on the Eurasian Economic Union of 29 May 2014 to establish a common market of medical devices circulation in the Eurasian Economic Union. </t>
  </si>
  <si>
    <t>Consumer information, labelling (TBT); Protection of human health or safety (TBT); Reducing trade barriers and facilitating trade (TBT)</t>
  </si>
  <si>
    <t>Draft Agreement on common principles and rules of medical devices circulation in the Eurasian Economic UnionDecision of The Board of EurasianEconomicCommission of 25 August, 2014 No.146  «On Draft Agreement on common principles and rules of medicinal devices circulation in the Eurasian Economic Unionhttp://www.eurasiancommission.org/docs/Download.aspx?IsDlg=0&amp;print=1&amp;ID=5581</t>
  </si>
  <si>
    <t>Draft Agreement on common principles and rules of medicinal products circulation in the Eurasian Economic Union (26 pages, in Russian)</t>
  </si>
  <si>
    <t xml:space="preserve">Draft Agreement on common principles and rules of medicinal productscirculationin the Eurasian Economic Union as mentioned above in the present notification has been prepared in order to implement provisions of the Treaty on the Eurasian Economic Union of 29 May 2014 to establisha common market of medicinal products based on common principles and rules of medicinal productscirculationin the Eurasian Economic Union. </t>
  </si>
  <si>
    <t>Medicinal products for human use</t>
  </si>
  <si>
    <t>Draft Agreement on common principles and rules of medicinal productscirculationin the Eurasian Economic UnionDecision of The Board of EurasianEconomicCommission of 21 May, 2013 No.115 «On Draft Agreement on common principles and rules of medicinal productscirculation in the Customs Union and the Common Economic Spacehttp://www.eurasiancommission.org/docs/Download.aspx?IsDlg=0&amp;ID=4314</t>
  </si>
  <si>
    <t>Letter of the Federal Service for the Veterinary and Phytosanitary Surveillance No. FS-CA-8/15953 as of 22 August 2014</t>
  </si>
  <si>
    <t>This letter allows import of horse meat, horse by-products, horse fats from four enterprises in Mexico.</t>
  </si>
  <si>
    <t>Horse meat, horse by-products, horse fats</t>
  </si>
  <si>
    <t>0205 - Meat of horses, asses, mules or hinnies, fresh, chilled or frozen; 0206 - Edible offal of bovine animals, swine, sheep, goats, horses, asses, mules or hinnies, fresh, chilled or frozen</t>
  </si>
  <si>
    <t>Mexico</t>
  </si>
  <si>
    <d:r xmlns:d="http://schemas.openxmlformats.org/spreadsheetml/2006/main">
      <d:rPr>
        <d:sz val="11"/>
        <d:rFont val="Calibri"/>
      </d:rPr>
      <d:t xml:space="preserve">http://www.fsvps.ru/fsvps/download/direction/6259</d:t>
    </d:r>
  </si>
  <si>
    <t>Draft of the Eurasian Economic Commission Collegium Decision on amendments to Common veterinary (veterinary and sanitary) requirements for goods subject to veterinary control (supervision), adopted by the Customs Union Commission Decision as of 18 June 2010 No. 317</t>
  </si>
  <si>
    <t xml:space="preserve">This document introduces new Chapter to Common veterinary (veterinary and sanitary) requirements for goods, subject to veterinary control (supervision). These requirements will be applied for import of laboratory animals (mice, rats, guinea-pigs, rabbits), its embryos, birds' embryos, sperm and cell culture._x000D_
This document also introduces amendments to the Chapter 35 of the mentioned Requirements. This Chapter is amended by norms for feed and feed additives tests for presence of botulinum toxin.</t>
  </si>
  <si>
    <t xml:space="preserve">HS Code(s): 0106, 2309_x000D_
Laboratory animals (mice, rats, guinea-pigs, rabbits), its embryos, birds' embryos, sperm and cell culture, feed and feed additives</t>
  </si>
  <si>
    <t>0106 - Live animals (excl. horses, asses, mules, hinnies, bovine animals, swine, sheep, goats, poultry, fish, crustaceans, molluscs and other aquatic invertebrates, and microorganic cultures etc.); 01063 - - Birds:; 2309 - Preparations of a kind used in animal feeding</t>
  </si>
  <si>
    <t>Animal feed; Animal health; Feed additives; Contaminants; Toxins</t>
  </si>
  <si>
    <d:r xmlns:d="http://schemas.openxmlformats.org/spreadsheetml/2006/main">
      <d:rPr>
        <d:sz val="11"/>
        <d:rFont val="Calibri"/>
      </d:rPr>
      <d:t xml:space="preserve">http://www.eurasiancommission.org/ru/act/texnreg/depsanmer/publ/Pages/Animallab.aspx</d:t>
    </d:r>
  </si>
  <si>
    <t>Letter of the Federal Service for the Veterinary and Phytosanitary Surveillance No. FS-EN-8/14569 as of 6 August 2014</t>
  </si>
  <si>
    <t>This letter allows import of beef (27 enterprises), beef by-products (31 enterprises), poultry (27 enterprises), pork and pork by-products (4 enterprises), milk and milk products (2 enterprises) from Brazil.</t>
  </si>
  <si>
    <t xml:space="preserve">HS Code(s):  0202, 0206, 0207, 0203, 0401, 0402, 0403, 0404, 0405, 0406</t>
  </si>
  <si>
    <t>0203 - Meat of swine, fresh, chilled or frozen; 0401 - Milk and cream, not concentrated nor containing added sugar or other sweetening matter; 0402 - Milk and cream, concentrated or containing added sugar or other sweetening matter; 0207 - Meat and edible offal of fowls of the species Gallus domesticus, ducks, geese, turkeys and guinea fowls, fresh, chilled or frozen; 0406 - Cheese and curd; 0206 - Edible offal of bovine animals, swine, sheep, goats, horses, asses, mules or hinnies, fresh, chilled or frozen; 0202 - Meat of bovine animals, frozen;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t>
  </si>
  <si>
    <d:r xmlns:d="http://schemas.openxmlformats.org/spreadsheetml/2006/main">
      <d:rPr>
        <d:sz val="11"/>
        <d:rFont val="Calibri"/>
      </d:rPr>
      <d:t xml:space="preserve">http://www.fsvps.ru/fsvps/download/direction/6186</d:t>
    </d:r>
  </si>
  <si>
    <t>Technical Regulation of the Customs Union "On Safety of Drinking Water Packed in Containers" (108 pages, in Russian)</t>
  </si>
  <si>
    <t>Draft technical regulation of the Customs Union "On safety of drinking water packed in containers" establishes requirements to drinking water packed in containers for the purposes of human life and health protection and prevention of customers deception.</t>
  </si>
  <si>
    <t>Drinking water packed in containers</t>
  </si>
  <si>
    <t>Letter of the Federal Service for Veterinary and Phytosanitary Surveillance No. FS-AS-8/13565 as of 25 July 2014</t>
  </si>
  <si>
    <t>This letter introduces a temporary restriction on import of milk and milk products from Ukrainian establishments to the territory of the Russian Federation due to violations of veterinary-sanitary Customs Union requirements regarding the content of prohibited and harmful substances.</t>
  </si>
  <si>
    <t>HS Codes: 0401, 0402, 0403, 0404, 0405, 0406, 190220, 190420 and from groups 20, 2104, 2105, 2106 - food products that contain more than 50% of milk components</t>
  </si>
  <si>
    <t>2104 - Soups and broths and preparations therefor; food preparations consisting of finely homogenized mixtures of two or more basic ingredients such as meat, fish, vegetables or fruit, put up for retail sale as infant food or for dietetic purposes, in containers of &lt;= 250 g; 0401 - Milk and cream, not concentrated nor containing added sugar or other sweetening matter; 0402 - Milk and cream, concentrated or containing added sugar or other sweetening matter; 2105 - Ice cream and other edible ice, whether or not containing cocoa; 0406 - Cheese and curd; 190220 - Pasta, stuffed with meat or other substances, whether or not cooked or otherwise prepared; 2106 - Food preparations, n.e.s.; 20 - PREPARATIONS OF VEGETABLES, FRUIT, NUTS OR OTHER PARTS OF PLANTS;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190420 - Prepared foods obtained from unroasted cereal flakes or from mixtures of unroasted cereal flakes and roasted cereal flakes or swelled cereals</t>
  </si>
  <si>
    <d:r xmlns:d="http://schemas.openxmlformats.org/spreadsheetml/2006/main">
      <d:rPr>
        <d:sz val="11"/>
        <d:rFont val="Calibri"/>
      </d:rPr>
      <d:t xml:space="preserve">http://fsvps.ru/fsvps/laws/3939.html</d:t>
    </d:r>
  </si>
  <si>
    <t>Letter of the Federal Service for Veterinary and Phytosanitary Surveillance No. FS-AS-3/13487 as of 24 July 2014</t>
  </si>
  <si>
    <t>This letter introduces a temporary restriction due to repeated violations of national and international phytosanitary requirements at import of regulated goods in luggage and hand luggage of passenger from Ukraine to the territory of the Russian Federation.</t>
  </si>
  <si>
    <t>The Common List of Regulated Products (Materials, Commodities under Quarantine), Subjected to Quarantine Phytosanitary Control (Supervision), approved by Customs Union Commission Decision No. 318 of 18 June 2010</t>
  </si>
  <si>
    <t>Food safety (SPS); Plant protection (SPS); Protect humans from animal/plant pest or disease (SPS); Protect territory from other damage from pests (SPS)</t>
  </si>
  <si>
    <t>Food safety; Territory protection; Plant health; Human health</t>
  </si>
  <si>
    <t>Letter of the Federal Service for Veterinary and Phytosanitary Surveillance No. FS-AS-3/13867 as of 30 July 2014</t>
  </si>
  <si>
    <t>This letter introduces a temporary restriction due to violations of international and national phytosanitary requirements at import of regulated goods from Poland and goods of Poland origin via third countries to the territory of the Russian Federation. The measure is applied due to detection of quarantine pests (Frankliniella occidentalis Perg., Grapholitha molesta Busck) and exceeded maximum residue levels of pesticides and nitrates in plant products from Poland.</t>
  </si>
  <si>
    <t>HS Codes: 0808, 0809, 0704, 0709 (excluding fresh mushrooms)</t>
  </si>
  <si>
    <t>0808 - Apples, pears and quinces, fresh; 0709 - Other vegetables, fresh or chilled (excl. potatoes, tomatoes, alliaceous vegetables, edible brassicas, lettuce "Lactuca sativa" and chicory "Cichorium spp.", carrots, turnips, salad beetroot, salsify, celeriac, radishes and similar edible roots, cucumbers and gherkins, and leguminous vegatables); 0809 - Apricots, cherries, peaches incl. nectarines, plums and sloes, fresh; 0704 - Cabbages, cauliflowers, kohlrabi, kale and similar edible brassicas, fresh or chilled</t>
  </si>
  <si>
    <t>Food safety (SPS); Plant protection (SPS); Protect humans from animal/plant pest or disease (SPS)</t>
  </si>
  <si>
    <t>Food safety; Pests; Maximum residue limits (MRLs); Plant health; Human health; Pesticides</t>
  </si>
  <si>
    <t>Letter of the Federal Service for Veterinary and Phytosanitary Surveillance No. FS-AS-3/14065 as of 31 July 2014</t>
  </si>
  <si>
    <t>This letter introduces a temporary restriction due to violations of international and national phytosanitary requirements at import of regulated goods from Ukraine to the territory of the Russian Federation. The measure is applied due to detection of quarantine weeds in plant products delivered from Ukraine to the territory of the Russian Federation.</t>
  </si>
  <si>
    <t>HS Codes: 120100, 120600, 11031, 230400</t>
  </si>
  <si>
    <t>11031 - - Groats and meal:; 120100 - Soya beans, whether or not broken; 230400 - Oil-cake and other solid residues, whether or not ground or in the form of pellets, resulting from the extraction of soya-bean oil; 120600 - Sunflower seeds, whether or not broken</t>
  </si>
  <si>
    <t>Letter of the Federal Service for Veterinary and Phytosanitary Supervision regarding the temporary restriction on import of breeding and production pigs, pig blood products from South Africa</t>
  </si>
  <si>
    <t xml:space="preserve">The Russian Federation notified in G/SPS/N/RUS/60 (5 June 2014) the letter of the Federal Service for Veterinary and Phytosanitary Supervision No. FS-AS-8/9066 of 29 May 2014 which introduced a temporary restriction on import of breeding and production pigs, pig blood products from South Africa, Canada, Japan, Republic of Korea, Mexico and the United States of America, due to detection of porcine epidemic diarrhoea (PED)._x000D_
South Africa was removed from the notified measure by the letter of the Federal Service for Veterinary and Phytosanitary Supervision No. FS-NV-8/12617 as of 14 July 2014._x000D_
The relevant letter is available in Russian on the following weblink: http://www.fsvps.ru/fsvps/download/attachment/14527/12617(2779145_%D0%A4%D0%A1-%D0%9D%D0%92-8_12617_14_07_2014).pdf.</t>
  </si>
  <si>
    <t>0103 - Live swine</t>
  </si>
  <si>
    <t>Letter of the Federal Service for Veterinary and Phytosanitary Supervision No. FS-NF- 3/13028 as of 18 July 2014</t>
  </si>
  <si>
    <t>This letter introduces a temporary restriction on import of fresh apples, pears, quince, fresh apricots, cherries, peaches, nectarines, plums, sloes and plant products in the accompanied luggage.</t>
  </si>
  <si>
    <t>HS Codes: 0808, 0809</t>
  </si>
  <si>
    <t>Pests; Territory protection; Plant health</t>
  </si>
  <si>
    <d:r xmlns:d="http://schemas.openxmlformats.org/spreadsheetml/2006/main">
      <d:rPr>
        <d:sz val="11"/>
        <d:rFont val="Calibri"/>
      </d:rPr>
      <d:t xml:space="preserve">http://www.fsvps.ru/fsvps-docs/ru/importExport/moldova/files/fito_restrictions.pdf</d:t>
    </d:r>
  </si>
  <si>
    <t>Letter of the Federal Service for Veterinary and Phytosanitary Supervision No. FS-NF- 8/12388 as of 10 July 2014</t>
  </si>
  <si>
    <t>This letter allows import of beef trimming, meat crops, esophagus meat, meat edible by-products from Lithuania, Netherlands and Denmark to the Russian Federation. Import and transit through the territory of the Russian Federation are permitted only with the prior notification and only in sealed vehicles in the country of origin.</t>
  </si>
  <si>
    <t>Beef trimming, meat crops, esophagus meat, meat edible by-products</t>
  </si>
  <si>
    <t>0206 - Edible offal of bovine animals, swine, sheep, goats, horses, asses, mules or hinnies, fresh, chilled or frozen; 0201 - Meat of bovine animals, fresh or chilled</t>
  </si>
  <si>
    <t>Denmark, Lithuania, Netherlands</t>
  </si>
  <si>
    <d:r xmlns:d="http://schemas.openxmlformats.org/spreadsheetml/2006/main">
      <d:rPr>
        <d:sz val="11"/>
        <d:rFont val="Calibri"/>
      </d:rPr>
      <d:t xml:space="preserve">http://www.fsvps.ru/fsvps/download/attachment/14418/12388(2762505_%D0%A4%D0%A1-%D0%9D%D0%92-8_12388_10_07_2014).pdf</d:t>
    </d:r>
  </si>
  <si>
    <t>Letter of the Federal Service for Veterinary and Phytosanitary Supervision No. FS-NF- 8/11654 as of 2 July 2014</t>
  </si>
  <si>
    <t>This letter allows import of beef trimming, meat crops, esophagus meat, meat edible by-products from France to the Russian Federation.</t>
  </si>
  <si>
    <t>Human health; Pest- or Disease- free Regions / Regionalization; Food safety</t>
  </si>
  <si>
    <d:r xmlns:d="http://schemas.openxmlformats.org/spreadsheetml/2006/main">
      <d:rPr>
        <d:sz val="11"/>
        <d:rFont val="Calibri"/>
      </d:rPr>
      <d:t xml:space="preserve">http://www.fsvps.ru/fsvps/download/attachment/13390/15061102.PDF</d:t>
    </d:r>
  </si>
  <si>
    <t>Letter of the Federal Service for Veterinary and Phytosanitary Supervision No. FS-NF- 8/11315 of 27 June 2014</t>
  </si>
  <si>
    <t>This letter introduces a temporary restriction on import of live pigs and pork products from Latvia due to the outbreak of the African swine fever virus (ASF). Furthermore it introduces a temporary restriction on transit of live pigs through the territory of Latvia to the commission merchants in the Russian Federation. This measure applies on import of: - live pigs and its genetic material; - ready to eat products, containing pork, except for cats' and dogs' feed (which were heat treated no less than 70ºC for at least 20 minutes); - pork and raw pork products.</t>
  </si>
  <si>
    <t>Live pigs, its genetic material, pork and raw pork products, ready to eat products, containing pork</t>
  </si>
  <si>
    <t>2309 - Preparations of a kind used in animal feeding; 0103 - Live swine; 0511 - Animal products n.e.s.; dead animals of all types, unfit for human consumption; 0203 - Meat of swine, fresh, chilled or frozen</t>
  </si>
  <si>
    <t>African swine fever (ASF); Animal feed; Animal health; Pest- or Disease- free Regions / Regionalization; Animal diseases</t>
  </si>
  <si>
    <d:r xmlns:d="http://schemas.openxmlformats.org/spreadsheetml/2006/main">
      <d:rPr>
        <d:sz val="11"/>
        <d:rFont val="Calibri"/>
      </d:rPr>
      <d:t xml:space="preserve">http://www.fsvps.ru/fsvps/laws/3918.html</d:t>
    </d:r>
  </si>
  <si>
    <t>Letter of the Federal Service for Veterinary and Phytosanitary Surveillance No. FS-AS-8/9416 as of 3 June 2014</t>
  </si>
  <si>
    <t>This letter allows import of live pedigree cattle from the Netherlands to the Russian Federation without additional laboratory tests on bluetongue for animals under quarantine. Shipment should be consistent with provisions of relevant veterinary certificate.</t>
  </si>
  <si>
    <t>Live pedigree cattle</t>
  </si>
  <si>
    <t>Animal health; Pest- or Disease- free Regions / Regionalization; Animal diseases; Bluetongue</t>
  </si>
  <si>
    <d:r xmlns:d="http://schemas.openxmlformats.org/spreadsheetml/2006/main">
      <d:rPr>
        <d:sz val="11"/>
        <d:rFont val="Calibri"/>
      </d:rPr>
      <d:t xml:space="preserve">http://www.fsvps.ru/fsvps/download/attachment/11562/%D0%A2%D0%A3_9416(2555413_%D0%A4%D0%A1-%D0%90%D0%A1-8_9416_03_06_2014).pdf</d:t>
    </d:r>
  </si>
  <si>
    <t>Letter of the Federal Service for Veterinary and Phytosanitary Surveillance No. FS-AS-3/8494 as of 23 May 2014</t>
  </si>
  <si>
    <t>This letter eliminates the temporary restriction on export of tomatoes, cucumbers, cabbages, egg-plants, cherries and bird cherries, apricots, peaches, plums, persimmons, kiwis, berries, new potatoes to the Russian Federation due to an agreement between competent authorities of the Russian Federation and Georgia. The agreement was reached on pre-shipment monitoring of regulated goods from Georgia.</t>
  </si>
  <si>
    <t>HS Codes: 0702, 0707, 0704, 0709, 0809, 0810, 0701</t>
  </si>
  <si>
    <t>0704 - Cabbages, cauliflowers, kohlrabi, kale and similar edible brassicas, fresh or chilled; 0709 - Other vegetables, fresh or chilled (excl. potatoes, tomatoes, alliaceous vegetables, edible brassicas, lettuce "Lactuca sativa" and chicory "Cichorium spp.", carrots, turnips, salad beetroot, salsify, celeriac, radishes and similar edible roots, cucumbers and gherkins, and leguminous vegatables); 0809 - Apricots, cherries, peaches incl. nectarines, plums and sloes, fresh; 0707 - Cucumbers and gherkins, fresh or chilled; 0701 - Potatoes, fresh or chilled; 0702 - Tomatoes, fresh or chilled; 0810 - Fresh strawberries, raspberries, blackberries, back, white or redcurrants, gooseberries and other edible fruits (excl. nuts, bananas, dates, figs, pineapples, avocadoes, guavas, mangoes, mangosteens, papaws "papayas", citrus fruit, grapes, melons, apples, pears, quinces, apricots, cherries, peaches, plums and sloes)</t>
  </si>
  <si>
    <t>Letter of the Federal Service for Veterinary and Phytosanitary Surveillance No. FS-AS-3/9746 as of 5 June 2014</t>
  </si>
  <si>
    <t>This letter introduces a temporary restriction due to violations of international and national phytosanitary requirements at import of regulated goods from Ukraine to the territory of the Russian Federation. The measure is applied due to repeated detection of quarantine pests (Globodera rostochiensis (Woll) Behrens) in food potatoes, exported from Ukraine to the territory of the Russian Federation.</t>
  </si>
  <si>
    <t xml:space="preserve">HS Code:  070190 (food potatoes)</t>
  </si>
  <si>
    <t>Pests; Plant health; Nematode</t>
  </si>
  <si>
    <d:r xmlns:d="http://schemas.openxmlformats.org/spreadsheetml/2006/main">
      <d:rPr>
        <d:sz val="11"/>
        <d:rFont val="Calibri"/>
      </d:rPr>
      <d:t xml:space="preserve">http://www.fsvps.ru/fsvps/laws/3908.html</d:t>
    </d:r>
  </si>
  <si>
    <t>Letter of the Federal Service for Veterinary and Phytosanitary Surveillance No. FS-AS-8/9066 as of 29 May 2014</t>
  </si>
  <si>
    <t xml:space="preserve">This letter introduces a temporary restriction due to detection of the porcine epidemic diarrhoea (PED) in Canada, Japan, Republic of Korea, Mexico, South Africa and the United States of America. This measure applies on import of:_x000D_
- breeding and production pigs; and_x000D_
- pig blood products, that were not heat treated and used for production of feed for production animals.</t>
  </si>
  <si>
    <t>Breeding and production pigs, pig blood products</t>
  </si>
  <si>
    <t>0103 - Live swine; 0511 - Animal products n.e.s.; dead animals of all types, unfit for human consumption</t>
  </si>
  <si>
    <t>Canada, Japan, Republic of Korea, Mexico, South Africa and United States of America</t>
  </si>
  <si>
    <d:r xmlns:d="http://schemas.openxmlformats.org/spreadsheetml/2006/main">
      <d:rPr>
        <d:sz val="11"/>
        <d:rFont val="Calibri"/>
      </d:rPr>
      <d:t xml:space="preserve">http://www.fsvps.ru/fsvps/download/attachment/11258/%D0%A4%D0%A1-%D0%90%D0%A1-8_9066_%D0%BE%D1%82_29_05_2014.pdf</d:t>
    </d:r>
  </si>
  <si>
    <t>The PED virus is insufficiently studied. An international standard has not been developed yet. The measure was provisionally adopted on the basis of available pertinent information as relevant scientific evidence is insufficient.</t>
  </si>
  <si>
    <t>Letter of the Federal Service for Veterinary and Phytosanitary Supervision No. FS-NV-8/8904 as of 27 May 2014</t>
  </si>
  <si>
    <t xml:space="preserve">This letter introduces a temporary restriction due to the outbreak of the Bovine Spongiform Encephalopathy (BSE) in May 2014 on the territory of Brazil (State of Mato Grosso). This measure applies on import of:_x000D_
- live cattle;_x000D_
- blood and blood containing products;_x000D_
- bone-in beef;_x000D_
- beef by-products;_x000D_
- intestinal raw materials derived from cattle, except for trimmed membranes;_x000D_
- mechanically separated beef; and_x000D_
- processed proteins, made as a feed for productive animals and feeds for productive animals, which include processed proteins, except for milk proteins.</t>
  </si>
  <si>
    <t>Live cattle, blood and blood containing products, bone-in beef, beef by-products, intestines raw materials, mechanically separated beef, processed proteins</t>
  </si>
  <si>
    <t>0102 - Live bovine animals; 0201 - Meat of bovine animals, fresh or chilled</t>
  </si>
  <si>
    <t>Animal diseases; Food safety; Animal health; Transmissible Spongiform Encephalopathy (TSE); Zoonoses; Bovine Spongiform Encephalopathy (BSE); Human health</t>
  </si>
  <si>
    <t>State of Mato Grosso (Brazil)</t>
  </si>
  <si>
    <d:r xmlns:d="http://schemas.openxmlformats.org/spreadsheetml/2006/main">
      <d:rPr>
        <d:sz val="11"/>
        <d:rFont val="Calibri"/>
      </d:rPr>
      <d:t xml:space="preserve">http://www.fsvps.ru/fsvps/download/direction/4233</d:t>
    </d:r>
  </si>
  <si>
    <t>Letter of the Federal Service for Veterinary and Phytosanitary Supervision No. FS-EN-8/7351 as of 5 May 2014</t>
  </si>
  <si>
    <t xml:space="preserve">In connection with the worsening of epizootic situation in Latvia on classical swine fever (CSF) and repeated cases of registration of the mentioned disease on the territory of Dagdas, Kraslavas and Zilupes municipalities in Latvia, in accordance with the information of the World Organization for Animal Health (OIE) as of 15 April 2014, a temporary restriction was introduced on certain products from Latvia. This measure applies on import of:_x000D_
- pedigree pigs;_x000D_
- boars sperm;_x000D_
- pork and pork meat products;_x000D_
- meat of wild boars;_x000D_
- hunting trophies made from susceptible kinds of animals, which were not subjected to full taxidermy treatment;_x000D_
- all types of feed and feed additives (excluding feed additives of chemical and microbiological synthesis and prepared feed for cats and dogs that were properly heat treated, i.e. no less than 70C for at least 20 min);_x000D_
- previously used equipment for maintenance, slaughter and cutting of pigs.</t>
  </si>
  <si>
    <t>Pedigree pigs, boars sperm, pork and pork meat products, meat of wild boars, hunting trophies made from susceptible kinds of animals, all types of feed and feed additives (excluding feed additives of chemical and microbiological synthesis and prepared feed for cats and dogs), previously used equipment for maintenance, slaughter and cutting of pigs</t>
  </si>
  <si>
    <t>Animal diseases; Classical Swine Fever; Feed additives; Bovine Spongiform Encephalopathy (BSE); Animal feed; Animal health; Pest- or Disease- free Regions / Regionalization</t>
  </si>
  <si>
    <d:r xmlns:d="http://schemas.openxmlformats.org/spreadsheetml/2006/main">
      <d:rPr>
        <d:sz val="11"/>
        <d:rFont val="Calibri"/>
      </d:rPr>
      <d:t xml:space="preserve">http://www.fsvps.ru/fsvps/download/direction/4115</d:t>
    </d:r>
  </si>
  <si>
    <t xml:space="preserve">Amendments to the Customs Union Technical Regulation «On safety of food products» (CU TR 021/2011) (107 pages, in Russian) ;
</t>
  </si>
  <si>
    <t xml:space="preserve">DraftamendmentstotheCustomsUnionTechnicalRegulationOnsafetyoffoodproductspreparedtoamendthetechnicalregulationconsideringproposalsfrommembersofthe CustomsUnionandthe Single EconomicSpacewithintheperiodofpublicdiscussionofdraftamendmentstothetechnicalregulationfinishedon  July 12, 2013; aswellasforeliminationofcontradictionsintherequirementsestablishedbythe technicalregulationandCommon sanitaryandepidemiologicalandhygienicrequirementsforproductssubjecttosanitaryandepidemiologicalsurveillancecontrol), adopted by the Decision of the Customs Union Commission ¹ 299 on 28 May 2010. </t>
  </si>
  <si>
    <t>Amendments ¹ 2 to the Customs UnionTechnical Regulation«On safety of food products » (CU TR 021/2011)httpwwweurasiancommissionorgruacttexnregdeptexregtrPagesprojectsPublicaspxThe Customs UnionTechnical Regulation«On safety of food products» (CU TR 021/2011)http://www.eurasiancommission.org/ru/act/texnreg/deptexreg/tr/Pages/PischevayaProd.aspx</t>
  </si>
  <si>
    <t>Letter of the Federal Service for Veterinary and Phytosanitary Supervision No. FS-EN-8/5469 as of 7 April 2014</t>
  </si>
  <si>
    <t>This letter introduces a temporary restriction due to violations of veterinary-sanitary requirements of the Customs Union, the Russian Federation and international requirements. Such violations deal with certification of controlled goods subject to veterinary supervision. The measure applies on import of processed meat products from Moldova to Russia.</t>
  </si>
  <si>
    <t>Processed meat products</t>
  </si>
  <si>
    <t>16 - PREPARATIONS OF MEAT, OF FISH OR OF CRUSTACEANS, MOLLUSCS OR OTHER AQUATIC INVERTEBRATES</t>
  </si>
  <si>
    <t>Republic of Moldova</t>
  </si>
  <si>
    <d:r xmlns:d="http://schemas.openxmlformats.org/spreadsheetml/2006/main">
      <d:rPr>
        <d:sz val="11"/>
        <d:rFont val="Calibri"/>
      </d:rPr>
      <d:t xml:space="preserve">http://www.fsvps.ru/fsvps/download/direction/4082</d:t>
    </d:r>
  </si>
  <si>
    <t>Administrative Regulation on fulfilment by the Federal Service for Veterinary and Phytosanitary Supervision of function on carrying out control over compliance with the legislation of the Russian Federation in the sphere of veterinary at the state border of the Russian Federation (including points of entry across the state border) and on transport, including requirements for ensuring security of the territory of the Russian Federation against introduction from foreign countries and spread of contagious animal diseases, import of dangerous veterinary-sanitary under control consignments</t>
  </si>
  <si>
    <t>This document establishes deadlines and a sequence of administrative procedures (actions) by the Federal Service for Veterinary and Phytosanitary Supervision and its territorial offices, as well as by customs services exercising veterinary state supervision at the state border of the Russian Federation. The proposed Regulation sets procedures for cooperation between units and officials of the above mentioned authorities, cooperation with legal and natural persons, other governmental authorities and institutions of local government, establishments and organizations in the import, export and transit of controlled goods.</t>
  </si>
  <si>
    <t>Common list of goods subject to veterinary control (supervision), adopted by the Customs Union (CU) Commission Decision "On application of veterinary and sanitary measures in the CU" No. 317 as of 18 June 2010</t>
  </si>
  <si>
    <t>03 - FISH AND CRUSTACEANS, MOLLUSCS AND OTHER AQUATIC INVERTEBRATES; 30 - PHARMACEUTICAL PRODUCTS; 04 - DAIRY PRODUCE; BIRDS' EGGS; NATURAL HONEY; EDIBLE PRODUCTS OF ANIMAL ORIGIN, NOT ELSEWHERE SPECIFIED OR INCLUDED; 01 - LIVE ANIMALS; 02 - MEAT AND EDIBLE MEAT OFFAL; 23 - RESIDUES AND WASTE FROM THE FOOD INDUSTRIES; PREPARED ANIMAL FODDER</t>
  </si>
  <si>
    <t>Animal health; Human health; Certification, control and inspection; Food safety</t>
  </si>
  <si>
    <d:r xmlns:d="http://schemas.openxmlformats.org/spreadsheetml/2006/main">
      <d:rPr>
        <d:sz val="11"/>
        <d:rFont val="Calibri"/>
      </d:rPr>
      <d:t xml:space="preserve">http://regulation.gov.ru/project/13050.html</d:t>
    </d:r>
  </si>
  <si>
    <t>Letter of the Federal Service for Veterinary and Phytosanitary Supervision No. FS-EN-8/1023 as of 25 January 2014</t>
  </si>
  <si>
    <t>The Russian Federation notified a temporary import restriction from Lithuania due to the outbreak of the African swine fever virus in G/SPS/N/RUS/48 (10 February 2014). The measure applies to: live pigs and its genetic material, pork products, including products from slaughter of wild boars, horn-hoofed and leather, intestinal materials, bristles, feed for pigs, hunting trophies, previously used equipment for maintenance, transportation, slaughter and cutting of pigs. The Federal Service for Veterinary and Phytosanitary Supervision (letter as of 2 April 2014 No. FS-EN-8/5081) introduced a temporary restriction on finished goods, which contain pork, except finished feed for cats and dogs, which were heat treated (no less than 70°C for no less than 20 min). The measure is introduced from 7 April 2014 since relevant information was not presented by veterinary services of the EU member states, i.e. undertaken anti-epizootic actions for localization of hotbeds of disease (in infected countries), and for preventive measures of introduction of pathogenic organisms of the African swine fever on the territory of other EU countries. Footnote: The letter of the Federal Service for Veterinary and Phytosanitary Supervision No. FS-EN-8/5081 as of 2 April 2014 is available in Russian on the following weblink: http://www.fsvps.ru/fsvps/laws/3874.html.</t>
  </si>
  <si>
    <t>Modification of content/scope of regulation; African swine fever (ASF)</t>
  </si>
  <si>
    <t>Letter by the Federal Service for Veterinary and Phytosanitary Supervision No. FS-AS-8/3159 as of 3 March 2014</t>
  </si>
  <si>
    <t xml:space="preserve">This letter by the Federal Service for Veterinary and Phytosanitary Supervision introduces a temporary restriction due to the outbreak of sheep pox and goats pox on the territory of Evros and Rhodope regional units of East Macedonia and Thrace region, Greece. This measure applies to import of:_x000D_
- live sheep and goats;_x000D_
- products produced from meat of sheep and goats;_x000D_
- milk and milk products;_x000D_
- feed of animal origin and other raw materials and products, obtained from sheep and goats slaughter;_x000D_
- equipment previously used for maintenance, slaughter and processing of sheep and goats.</t>
  </si>
  <si>
    <t>Live sheep and goats; products produced from meat of sheep and goats; milk and milk products; feed of animal origin and other raw materials and products obtained from sheep and goats slaughter; equipment previously used for maintenance, slaughter and processing of sheep and goats</t>
  </si>
  <si>
    <t>2309 - Preparations of a kind used in animal feeding; 0401 - Milk and cream, not concentrated nor containing added sugar or other sweetening matter; 0104 - Live sheep and goats; 0204 - Meat of sheep or goats, fresh, chilled or frozen</t>
  </si>
  <si>
    <t>Animal diseases; Animal feed; Animal health; Pest- or Disease- free Regions / Regionalization</t>
  </si>
  <si>
    <t>Evros and Rhodope regional units, region of East Macedonia and Thrace (Greece)</t>
  </si>
  <si>
    <t>Letter of the Federal Service for Veterinary and Phytosanitary Supervision No. FS-NV-8/2972 as of 27 February 2014</t>
  </si>
  <si>
    <t>The Russian Federation notified a temporary import restriction from Poland due to the outbreak of the African swine fever virus in G/SPS/N/RUS/49 (4 March 2014). The measure applies to: live pigs and its genetic material, pork products, including products from slaughter of wild boars, horn-hoofed and leather, intestinal materials, bristles, feed for pigs, hunting trophies, previously used equipment for maintenance, transportation, slaughter and cutting of pigs. The Federal Service for Veterinary and Phytosanitary Supervision (letter as of 2 April 2014 No. FS-EN-8/5081) introduced a temporary restriction on finished goods, which contain pork, except finished feed for cats and dogs, which were heat treated (no less than 70°C for no less than 20 min). The measure is introduced from 7 April 2014 since relevant information was not presented by veterinary services of the EU member states, i.e. undertaken anti-epizootic actions for localization of hotbeds of disease (in infected countries), and for preventive measures of introduction of pathogenic organisms of the African swine fever on the territory of other EU countries. Footnote: The letter of the Federal Service for Veterinary and Phytosanitary Supervision No. FS-EN-8/5081 as of 2 April 2014 is available in Russian on the following weblink: http://www.fsvps.ru/fsvps/laws/3874.html.</t>
  </si>
  <si>
    <t>Letter of the Federal Service for Veterinary and Phytosanitary Supervision No. FS-EN-8/4715 as of 28 March 2014</t>
  </si>
  <si>
    <t>This letter introduces a temporary restriction due to detection of acetate trenbolone residues (hormonal stimulator of growth) in products, imported from Australian establishments. This anabolic steroid is forbidden for use on the territory of the Customs Union in accordance with the Decision of the Customs Union Commission No. 299 as of 28 May 2010 "On application of sanitary measures in the Customs Union". The measure applies on import of chilled beef from Australia to Russia.</t>
  </si>
  <si>
    <t>Chilled beef</t>
  </si>
  <si>
    <t>0201 - Meat of bovine animals, fresh or chilled</t>
  </si>
  <si>
    <d:r xmlns:d="http://schemas.openxmlformats.org/spreadsheetml/2006/main">
      <d:rPr>
        <d:sz val="11"/>
        <d:rFont val="Calibri"/>
      </d:rPr>
      <d:t xml:space="preserve">http://www.fsvps.ru/fsvps/download/direction/4067</d:t>
    </d:r>
  </si>
  <si>
    <t>Letter of the Federal Service for Veterinary and Phytosanitary Supervision No. FS-EN-8/4958 as of 1 April 2014</t>
  </si>
  <si>
    <t>This letter introduces a temporary restriction due to detection of acetate trenbolone residues (hormonal stimulator of growth) in products, imported from Australian establishments. This anabolic steroid is forbidden for use on the territory of the Customs Union in accordance with the Decision of the Customs Union Commission No. 299 as of 28 May 2010 "On application of sanitary measures in the Customs Union". The measure applies on import of frozen beef from Australia to Russia.</t>
  </si>
  <si>
    <t>Frozen beef</t>
  </si>
  <si>
    <t>0202 - Meat of bovine animals, frozen</t>
  </si>
  <si>
    <d:r xmlns:d="http://schemas.openxmlformats.org/spreadsheetml/2006/main">
      <d:rPr>
        <d:sz val="11"/>
        <d:rFont val="Calibri"/>
      </d:rPr>
      <d:t xml:space="preserve">http://www.fsvps.ru/fsvps/download/direction/4071</d:t>
    </d:r>
  </si>
  <si>
    <t>Letter of the Federal Service for Veterinary and Phytosanitary Supervision No. FS-EN-8/4044 as of 18 March 2014</t>
  </si>
  <si>
    <t>This letter introduces a temporary restriction due to registration of vesicular stomatitis disease on the territory of municipality Campinas do Piauí, Brazil. This measure applies on import of horses and other odd-toed animals, cattle, sheep, pigs, sperm and embryos of mentioned types of animals.</t>
  </si>
  <si>
    <t>Horses and other odd-toed animals, cattle, sheep, pigs, sperm and embryos of mentioned types of animals</t>
  </si>
  <si>
    <t>0103 - Live swine; 0511 - Animal products n.e.s.; dead animals of all types, unfit for human consumption; 0101 - Live horses, asses, mules and hinnies; 0102 - Live bovine animals; 0104 - Live sheep and goats</t>
  </si>
  <si>
    <t>Municipality Campinas do Piauí (Brazil)</t>
  </si>
  <si>
    <d:r xmlns:d="http://schemas.openxmlformats.org/spreadsheetml/2006/main">
      <d:rPr>
        <d:sz val="11"/>
        <d:rFont val="Calibri"/>
      </d:rPr>
      <d:t xml:space="preserve">http://www.fsvps.ru/fsvps/laws/3866.html</d:t>
    </d:r>
  </si>
  <si>
    <t>Letter by the Federal Service for Veterinary and Phytosanitary Supervision No. FS-EN-8/4075 as of 19 March 2014</t>
  </si>
  <si>
    <t>Letter by the Federal Service for Veterinary and Phytosanitary Supervision introduces a temporary restriction due to the outbreak of low pathogenic avian influenza H5N1 on the territory of County of Bentheim of Lower Saxony state, Germany. This measure applies to import of live poultry, hatching eggs, fluff and feather, poultry and all types of poultry products meat, which were not heat treated (no less than 70°C), feed and feed additives for poultry (except feed additives of chemical and microbiological synthesis), equipment previously used for maintenance, slaughter and cutting of poultry.</t>
  </si>
  <si>
    <t>Live poultry, hatching eggs, fluff and feather, poultry and all types of poultry products meat, feed and feed additives for poultry, equipment previously used for maintenance, slaughter and cutting of poultry</t>
  </si>
  <si>
    <t>2309 - Preparations of a kind used in animal feeding; 0407 - Birds' eggs, in shell, fresh, preserved or cooked; 0105 - Live poultry, "fowls of the species Gallus domesticus, ducks, geese, turkeys and guinea fowls"; 0207 - Meat and edible offal of fowls of the species Gallus domesticus, ducks, geese, turkeys and guinea fowls, fresh, chilled or frozen</t>
  </si>
  <si>
    <t>Animal diseases; Pest- or Disease- free Regions / Regionalization; Feed additives; Zoonoses; Food safety; Avian Influenza; Animal feed; Animal health; Human health</t>
  </si>
  <si>
    <t xml:space="preserve">County of Bentheim of Lower Saxony (Germany) </t>
  </si>
  <si>
    <d:r xmlns:d="http://schemas.openxmlformats.org/spreadsheetml/2006/main">
      <d:rPr>
        <d:sz val="11"/>
        <d:rFont val="Calibri"/>
      </d:rPr>
      <d:t xml:space="preserve">http://www.fsvps.ru/fsvps/laws/3864.html</d:t>
    </d:r>
  </si>
  <si>
    <t>Draft of the Eurasian Economic Commission Collegium Decision on amendments to Common sanitary-epidemiological and hygienic requirements for products, subjected to sanitary-epidemiological supervision (control)</t>
  </si>
  <si>
    <t xml:space="preserve">The document introduces amendments to Common sanitary-epidemiological and hygienic requirements for products, subject to sanitary-epidemiological supervision (control), adopted by the Decision of the Customs Union Commission No. 299 as of 28 May 2010. _x000D_
 Chapter II of the mentioned document is adjusted with the following:_x000D_
- Section 15 (Annex 15.1) is amended with the list of active substances in pesticides in environmental objects, food raw materials, food products;_x000D_
- Annex 15 to Section 22 of Common sanitary requirements to "Meat products" (including sausages), excluding "non-processed and minced meat" is amended by MRL for phosphoric acid and food phosphates; and_x000D_
- Point 7.1 "Vegetable oil (all types)" of Section 1 is amended by norms for "peroxide number" for refined deodorized palm-oil (not more than 0.9 mmol of active oxigen/kg).</t>
  </si>
  <si>
    <t>HS Codes: 0210, 3808, 1511</t>
  </si>
  <si>
    <t>1511 - Palm oil and its fractions, whether or not refined (excl. chemically modified); 0210 - Meat and edible offal, salted, in brine, dried or smoked; edible flours and meals of meat or meat offal; 3808 - Insecticides, rodenticides, fungicides, herbicides, anti-sprouting products and plant-growth regulators, disinfectants and similar products, put up for retail sale or as preparations or articles, e.g. sulphur-treated bands, wicks and candles, and fly-papers</t>
  </si>
  <si>
    <t>Human health; Pesticides; Food safety; Maximum residue limits (MRLs)</t>
  </si>
  <si>
    <d:r xmlns:d="http://schemas.openxmlformats.org/spreadsheetml/2006/main">
      <d:rPr>
        <d:sz val="11"/>
        <d:rFont val="Calibri"/>
      </d:rPr>
      <d:t xml:space="preserve">http://www.eurasiancommission.org/ru/act/texnreg/depsanmer/publ/Pages/default.aspx</d:t>
    </d:r>
  </si>
  <si>
    <t>Letter by the Federal Service for Veterinary and Phytosanitary Supervision No. FS-EN-7/17213 as of 9 December 2013</t>
  </si>
  <si>
    <t xml:space="preserve">The Russian Federation notified the letter of the State Sanitary Inspector in G/SPS/N/RUS/41 (as of 19 December 2013). This letter introduced a temporary restriction on live poultry, hatching eggs, fluff and feather, poultry and poultry products meat, which were not heat treated (no less than 70°C), feed and feed additives for poultry (except feed additives of chemical and microbiological synthesis), equipment previously used for maintenance, slaughter and cutting of poultry. The measure was introduced due to the outbreak of low pathogenic avian influenza on the territory of Ten Boer municipality of Groningen province, the Netherlands._x000D_
The Federal Service for Veterinary and Phytosanitary Supervision (letter as of 25 March 2014 No. FS-AS-8/4439) introduced a temporary restriction on live poultry, hatching eggs, fluff and feather, poultry and poultry products meat, which were not heat treated (no less than 70°C), feed and feed additives for poultry (except feed additives of chemical and microbiological synthesis), equipment previously used for maintenance, slaughter and cutting of poultry. The measure was introduced from 31 March 2014 due to the outbreak of low pathogenic avian influenza H5N3 on the territory of Zaltbommel municipality of Gelderland province, the Netherlands._x000D_
At the moment the measure applies to import of above listed goods from two Dutch municipalities: Ten Boer municipality of Groningen province (from 11 December 2013) and Zaltbommel municipality of Gelderland province (from 31 March 2014)._x000D_
Footnote: The letter of the Federal Service for Veterinary and Phytosanitary Supervision No. FS-AS-8/4439 as of 25 March 2014 is available in Russian on the following weblink: http://www.fsvps.ru/fsvps/laws/3868.html.</t>
  </si>
  <si>
    <t>2309 - Preparations of a kind used in animal feeding; 0207 - Meat and edible offal of fowls of the species Gallus domesticus, ducks, geese, turkeys and guinea fowls, fresh, chilled or frozen; 0407 - Birds' eggs, in shell, fresh, preserved or cooked; 0105 - Live poultry, "fowls of the species Gallus domesticus, ducks, geese, turkeys and guinea fowls"</t>
  </si>
  <si>
    <t>Draft Technical Regulation of the Customs Union On restrictions of the use of hazardous substances in electrotechnical and radio-electronic devices (43 pages, in Russian).</t>
  </si>
  <si>
    <t xml:space="preserve">The draft technical regulation of the Customs Union_x000D_
On restrictions of the use_x000D_
of hazardous substances in electrotechnical and radioelectronicdevices establishes_x000D_
requirements for restriction of the use of hazardous substances_x000D_
in electrotechnical and radioelectronicdevices</t>
  </si>
  <si>
    <t>Electrotechnical and radio-electronic devices</t>
  </si>
  <si>
    <t>33.160 - Audio, video and audiovisual engineering; 35.160 - Microprocessor systems</t>
  </si>
  <si>
    <t>Draft Technical Regulation of the Customs Union On restrictions of the use of hazardous substances in electrotechnical and radio-electronical deviceshttpwwweurasiancommissionorgruacttexnregdeptexregtrPagesprojectsPublicaspx</t>
  </si>
  <si>
    <t>The draft technical regulation of the Customs Union On requirements to energy efficiency of electrical energy consuming devices (233 pages, in Russian).</t>
  </si>
  <si>
    <t>The draft technical regulation of the Customs Union On requirements to energy efficiency of electrical energy consuming devices establishes requirements to energy efficiency of electrical energy consuming devices aimed at ensuring environmental protection, energy efficiency and  resource-saving, as well as prevention of actions misleading consumers (users) of electrical energy consuming devices within the customs territory of the Customs Union</t>
  </si>
  <si>
    <t>Electrical energy consuming devices</t>
  </si>
  <si>
    <t>29 - ELECTRICAL ENGINEERING; 97 - DOMESTIC AND COMMERCIAL EQUIPMENT. ENTERTAINMENT. SPORTS</t>
  </si>
  <si>
    <t xml:space="preserve">The draft technical regulation of the Customs Union _x000D_
On requirements to energy efficiency of electrical energy consuming deviceshttp://www.eurasiancommission.org/ru/act/texnreg/deptexreg/tr/Pages/projectsPublic.aspx</t>
  </si>
  <si>
    <t>Draft Technical Regulation of the Customs Union On safety of equipment used on childrens playgrounds (43 pages, in Russian).</t>
  </si>
  <si>
    <t xml:space="preserve">The draft technical regulation of the Customs Union On safety of equipment used on childrens playgrounds establishes requirementson safety of equipment and surfaces of playgrounds, not used earlier, for their designing, manufacturing, installation, operation, transportation, storage and disposal, as well as procedures of conformity assessment </t>
  </si>
  <si>
    <t>Equipment used on childrens playgrounds</t>
  </si>
  <si>
    <t>97.200.40 - Playgrounds</t>
  </si>
  <si>
    <t>Draft Technical Regulation of the Customs Union On safety of equipment used on childrens playgroundshttpwwweurasiancommissionorgruacttexnregdeptexregtrPagesprojectsPublicaspx</t>
  </si>
  <si>
    <t>Letter of the Federal Service for Veterinary and Phytosanitary Supervision No. FS-AS-3/793 as of 25 January 2013</t>
  </si>
  <si>
    <t xml:space="preserve">The Russian Federation notified in G/SPS/N/RUS/9 (6 February 2013) an introduction of a temporary restriction on import of seed potatoes from the European Union to the Russian Federation (meristem cells, mini tubers and stolons did not fall under this measure). _x000D_
The Russian Federation notified in G/SPS/N/RUS/22 (3 April 2013) an introduction of a temporary restriction on import of seed and ware potatoes, plants for planting of fruit, ornamental and forest ornamental crops, plants grown in the protected ground from the European Union to the Russian Federation. This notification followed on the emergency measure notified in G/SPS/N/RUS/9 (6 February 2013)._x000D_
Notification G/SPS/N/RUS/9 (6 February 2013) is replaced by the notification G/SPS/N/RUS/22 (3 April 2013). The respective information, contained in G/SPS/N/RUS/9 (6 February 2013), was incorporated in G/SPS/N/RUS/22 (3 April 2013).</t>
  </si>
  <si>
    <t>Pests; Territory protection; Seeds; Plant health</t>
  </si>
  <si>
    <t>Letter of the Federal Service for Veterinary and Phytosanitary Supervision No. FS-AS-3/12671 as of 23 September 2013</t>
  </si>
  <si>
    <t>The Russian Federation notified in G/SPS/N/RUS/34 (7 October 2013) a letter of the Federal Service for Veterinary and Phytosanitary Supervision No. FS-AS-3/12671 as of 23 September 2013, which introduced a temporary restriction due to repeated cases of the detection of Capra beetle (Trogoderma granarium Ev.). This measure applied on import of regulated products with a high pest risk from Pakistan to Russian Federation. Experts of the Rosselhoznadzor conducted audit of phytosanitary control system on ensuring phytosanitary safety of regulated products, imported on the territory of the Russian Federation from Pakistan. Thus the notified measure was eliminated from 24 February 2014 by the letter of the Federal Service for Veterinary and Phytosanitary Supervision No. FS-AS-3/2744 as of 21 February 2014.</t>
  </si>
  <si>
    <t>0603 - Cut flowers and flower buds of a kind suitable for bouquets or for ornamental purposes, fresh, dried, dyed, bleached, impregnated or otherwise prepared; 0707 - Cucumbers and gherkins, fresh or chilled; 0801 - Coconuts, Brazil nuts and cashew nuts, fresh or dried, whether or not shelled or peeled; 0804 - Dates, figs, pineapples, avocados, guavas, mangoes and mangosteens, fresh or dried; 0808 - Apples, pears and quinces, fresh; 0901 - Coffee, whether or not roasted or decaffeinated; coffee husks and skins; coffee substitutes containing coffee in any proportion; 090112 - Decaffeinated coffee (excl. roasted); 1103 - Cereal groats, meal and pellets; 1212 - 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 140190 - Reeds, rushes, osier, raffia, cleaned, bleached or dyed cereal straw, lime bark and other vegetable materials of a kind used primarily for plaiting (excl. bamboos and rattans); 140490 - Vegetable products n.e.s; 1802 - Cocoa shells, husks, skins and other cocoa waste; 2302 - Bran, sharps and other residues, whether or not in the form of pellets, derived from the sifting, milling or other working of cereals or of leguminous plants; 2305 - Oil-cake and other solid residues, whether or not ground or in the form of pellets, resulting from the extraction of ground-nut oil; 3101 - Animal or vegetable fertilizers, whether or not mixed together or chemically treated; fertilizers produced by the mixing or chemical treatment of animal or vegetable products (excl. those in pellet or similar forms, or in packages with a gross weight of &lt;= 10 kg); 440610 - Railway or tramway sleepers "cross-ties" of wood, not impregnated; 4409 - Wood, incl. strips and friezes for parquet flooring, not assembled, continuously shaped "tongued, grooved, rebated, chamfered, V-jointed beaded, moulded, rounded or the like" along any of its edges, ends or faces, whether or not planed, sanded or end-jointed; 4415 - Packing cases, boxes, crates, drums and similar packings, of wood; cable-drums of wood; pallets, box pallets and other load boards, of wood; pallet collars of wood (excl. containers specially designed and equipped for one or more modes of transport); 0106 - Live animals (excl. horses, asses, mules, hinnies, bovine animals, swine, sheep, goats, poultry, fish, crustaceans, molluscs and other aquatic invertebrates, and microorganic cultures etc.); 0601 - Bulbs, tubers, tuberous roots, corms, crowns and rhizomes, dormant, in growth or in flower, chicory plants and roots (excl. bulbs, tubers and tuberous roots used for human consumption and chicory roots of the variety cichorium intybus sativum); 0709 - Other vegetables, fresh or chilled (excl. potatoes, tomatoes, alliaceous vegetables, edible brassicas, lettuce "Lactuca sativa" and chicory "Cichorium spp.", carrots, turnips, salad beetroot, salsify, celeriac, radishes and similar edible roots, cucumbers and gherkins, and leguminous vegatables); 0809 - Apricots, cherries, peaches incl. nectarines, plums and sloes, fresh; 1001 - Wheat and meslin; 060390 - Dried, dyed, bleached, impregnated or otherwise prepared cut flowers and buds, for bouquets or for ornamental purposes; 0704 - Cabbages, cauliflowers, kohlrabi, kale and similar edible brassicas, fresh or chilled; 0602 - Live plants incl. their roots, cuttings and slips; mushroom spawn (excl. bulbs, tubers, tuberous roots, corms, crowns and rhizomes, and chicory plants and roots); 0712 - Dried vegetables, whole, cut, sliced, broken or in powder, but not further prepared; 0802 - Other nuts, fresh or dried, whether or not shelled or peeled (excl. coconuts, Brazil nuts and cashew nuts); 0805 - Citrus fruit, fresh or dried; 0806 - Grapes, fresh or dried; 1002 - Rye; 1203 - Copra; 2304 - Oil-cake and other solid residues, whether or not ground or in the form of pellets, resulting from the extraction of soya-bean oil; 441840 - Wooden shuttering for concrete constructional work (excl. plywood boarding); 440121 - Coniferous wood in chips or particles (excl. those of a kind used principally for dying or tanning purposes); 1006 - Rice; 1104 - Cereal grains otherwise worked, e.g. hulled, rolled, flaked, pearled, sliced or kebbled; germ of cereals, whole, rolled, flaked or ground (excl. cereal flours, and husked and semi- or wholly milled rice and broken rice); 1211 - Plants and parts of plants, incl. seeds and fruits, of a kind used primarily in perfumery, medicaments or for insecticidal, fungicidal or similar purposes, fresh or dried, whether or not cut, crushed or powdered; 121299 - Fruit stones and kernels and other vegetable products, incl. unroasted chicory roots of the variety cichorium intybus sativum, of a kind used primarily for human consumption, n.e.s.; 0604 - Foliage, branches and other parts of plants, without flowers or flower buds, and grasses, mosses and lichens, of a kind suitable for bouquets or for ornamental purposes, fresh, dried, dyed, bleached, impregnated or otherwise prepared; 0705 - Lettuce "Lactuca sativa" and chicory "Cichorium spp.", fresh or chilled; 0807 - Melons, incl. watermelons, and papaws "papayas", fresh; 1003 - Barley; 1004 - Oats; 1005 - Maize or corn; 1106 - 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 1201 - Soya beans, whether or not broken; 1206 - Sunflower seeds, whether or not broken; 1208 - Flours and meals of oil seeds or oleaginous fruits (excl. mustard); 1801 - Cocoa beans, whole or broken, raw or roasted; 253090 - Arsenic sulfides, alunite, pozzuolana, earth colours and other mineral substances, n.e.s.; 2703 - Peat, incl. peat litter, whether or not agglomerated; 4407 - Wood sawn or chipped lengthwise, sliced or barked, whether or not planed, sanded or end-jointed, of a thickness of &gt; 6 mm; 0702 - Tomatoes, fresh or chilled; 0703 - Onions, shallots, garlic, leeks and other alliaceous vegetables, fresh or chilled; 0706 - Carrots, turnips, salad beetroot, salsify, celeriac, radishes and similar edible roots, fresh or chilled; 0713 - Dried leguminous vegetables, shelled, whether or not skinned or split; 0810 - Fresh strawberries, raspberries, blackberries, back, white or redcurrants, gooseberries and other edible fruits (excl. nuts, bananas, dates, figs, pineapples, avocadoes, guavas, mangoes, mangosteens, papaws "papayas", citrus fruit, grapes, melons, apples, pears, quinces, apricots, cherries, peaches, plums and sloes); 090111 - Coffee (excl. roasted and decaffeinated); 1007 - Grain sorghum; 1008 - Buckwheat, millet, canary seed and other cereals (excl. wheat and meslin, rye, barley, oats, maize, rice and grain sorghum); 1202 - Ground-nuts, whether or not shelled or broken (excl. roasted or otherwise cooked); 1205 - Rape or colza seeds, whether or not broken; 1207 - Other oil seeds and oleaginous fruits, whether or not broken (excl. edible nuts, olives, soya beans, ground-nuts, copra, linseed, rape or colza seeds and sunflower seeds); 1213 - Cereal straw and husks, unprepared, whether or not chopped, ground, pressed or in the form of pellets; 300290 - Human blood; animal blood prepared for therapeutic, prophylactic or diagnostic uses; toxins, cultures of micro-organisms and similar products (excl. yeasts and vaccines); 440110 - Fuel wood, in logs, billets, twigs, faggots or similar forms; 06049 - - Other:; 0701 - Potatoes, fresh or chilled; 0708 - Leguminous vegetables, shelled or unshelled, fresh or chilled; 0714 - Roots and tubers of manioc, arrowroot, salep, Jerusalem artichokes, sweet potatoes and similar roots and tubers with high starch or inulin content, fresh, chilled, frozen or dried, whether or not sliced or in the form of pellets; sago pith; 0803 - Bananas, incl. plantains, fresh or dried; 1101 - Wheat or meslin flour; 1107 - Malt, whether or not roasted; 1204 - Linseed, whether or not broken; 1209 - Seeds, fruits and spores, for sowing (excl. leguminous vegetables and sweetcorn, coffee, tea, mate and spices, cereals, oil seeds and oleaginous fruits, and seeds and fruit used primarily in perfumery, medicaments or for insecticidal, fungicidal or similar purposes); 4404 - Hoopwood; split poles; piles, pickets and stakes of wood, pointed but not sawn lengthwise; wooden stickes, roughly trimmed but not turned, bent or otherwise worked, for the manufacture of walking-sticks, umbrellas, tool handles or the like; chipwood, wooden slats and strips and the like (excl. hoopwood cut to length and chamfered; brush surrounds and shoe trees); 0813 - Dried apricots, prunes, apples, peaches, pears, papaws "papayas", tamarinds and other edible fruits, and mixtures of edible and dried fruits or of edible nuts (excl. nuts, bananas, dates, figs, pineapples, avocadoes, guavas, mangoes, mangosteens, citrus fruit and grapes, unmixed); 1102 - Cereal flours (excl. wheat or meslin); 121291 - Sugar beet, fresh, chilled, frozen or dried, whether or not ground;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 440122 - Wood in chips or particles (excl. those of a kind used principally for dying or tanning purposes, and coniferous wood); 4403 - Wood in the rough, whether or not stripped of bark or sapwood, or roughly squared (excl. rough-cut wood for walking sticks, umbrellas, tool shafts and the like; wood in the form of railway sleepers; wood cut into boards or beams, etc.)</t>
  </si>
  <si>
    <t>Withdrawal of the measure; Food safety; Human health; Pesticides; Maximum residue limits (MRLs)</t>
  </si>
  <si>
    <t>This letter introduces a temporary restriction due to the outbreak of the African swine fever virus (ASF) in February 2014 on the territory of Poland. This measure applies on import of: - live pigs and its genetic material; - pork products (which were not heat treated no less than 80ºC for at least 30 minutes); - products from slaughter of wild boars; - horn-hoofed and leather, intestinal materials; - bristles; - feed for pigs; - hunting trophies, which were not subjected to full taxidermy treatment; - previously used equipment for maintenance, transportation, slaughter and cutting of pigs.</t>
  </si>
  <si>
    <t>Live pigs and its genetic material, pork products, including products from slaughter of wild boars, horn-hoofed and leather, intestinal materials, bristles, feed for pigs, hunting trophies, previously used equipment for maintenance, transportation, slaughter and cutting of pigs</t>
  </si>
  <si>
    <t>Animal diseases; Animal feed; Animal health; African swine fever (ASF)</t>
  </si>
  <si>
    <d:r xmlns:d="http://schemas.openxmlformats.org/spreadsheetml/2006/main">
      <d:rPr>
        <d:sz val="11"/>
        <d:rFont val="Calibri"/>
      </d:rPr>
      <d:t xml:space="preserve">http://www.fsvps.ru/fsvps/download/direction/4035</d:t>
    </d:r>
  </si>
  <si>
    <t>The Russian Federation notified a temporary import restriction from Lithuania due to the outbreak of the African swine fever virus in G/SPS/N/RUS/48 (10 February 2014). The measure applies to: live pigs and its genetic material, pork products, including products from slaughter of wild boars, horn-hoofed and leather, intestinal materials, bristles, feed for pigs, hunting trophies, previously used equipment for maintenance, transportation, slaughter and cutting of pigs. This measure has been introduced in accordance with OIE standards: Chapter 15.1 of the OIE Terrestrial Animal Health Code, Chapter 2.8.1 of the OIE Manual of Diagnostic Tests and Vaccines for Terrestrial Animals.</t>
  </si>
  <si>
    <t>Animal diseases; Animal feed; Animal health; Pest- or Disease- free Regions / Regionalization; African swine fever (ASF)</t>
  </si>
  <si>
    <t>The draft of Technical Regulation of the Customs Union on safety of feed and feed additives</t>
  </si>
  <si>
    <t>The Russian Federation notified draft of Technical Regulation of the Customs Union on safety of feed and feed additives in G/SPS/N/RUS/20 (21 March 2013). The proposed amendments are at the internal consideration in the CU member states. This procedure is carried out in accordance with the Regulation on the procedure of drafting, adoption, introduction of amendments and cessation of the CU TR, adopted by the Eurasian Economic Commission Council Decision No. 48 as of 20 June 2012. Thus the proposed dates of adoption and publication were changed to August 2014.</t>
  </si>
  <si>
    <t>Change in date of adoption/publication/entry into force</t>
  </si>
  <si>
    <t>Amendments to the Customs Union Technical Regulation "On safety of food products", adopted by the Decision of the Customs Union (CU) Commission No. 880 as of 9 December 2011</t>
  </si>
  <si>
    <t>The Russian Federation notified amendments to the Customs Union technical regulation (TR) "On safety of food products", adopted by the Decision of the Customs Union (CU) Commission No. 880 as of 9 December 2011, in G/SPS/N/RUS/25 (13 May 2013). The proposed amendments are at the internal consideration in the CU member states. This procedure is carried out in accordance with the Regulation on the procedure of drafting, adoption, introduction of amendments and cessation of the CU TR, adopted by the Eurasian Economic Commission Council Decision No. 48 as of 20 June 2012. Thus the proposed dates of adoption and publication were changed to July 2014.</t>
  </si>
  <si>
    <t>The draft of Technical Regulation of the Customs Union on safety of fish and fish products</t>
  </si>
  <si>
    <t>The Russian Federation notified draft of technical regulation (TR) of the Customs Union (CU) on safety of fish and fish products in G/SPS/N/RUS/21 (21 March 2013). The proposed amendments are at the internal consideration in the CU member states. This procedure is carried out in accordance with the Regulation on the procedure of drafting, adoption, introduction of amendments and cessation of the CU TR, adopted by the Eurasian Economic Commission Council Decision No. 48 as of 20 June 2012. Thus the proposed dates of adoption and publication were changed to June 2014.</t>
  </si>
  <si>
    <t>Draft of the Eurasian Economic Commission Collegium Decision on amendments to the Customs Union (CU) Commission Decision on Common forms of veterinary certificates for goods subject to veterinary control from third countries No. 607 as of 7 April 2011</t>
  </si>
  <si>
    <t xml:space="preserve">The Russian Federation notified draft of amendments to the Common forms of veterinary certificates for goods subject to veterinary control from third countries in G/SPS/N/RUS/38 (29 October 2013). The document introduced amendments to the CU legislation especially to the CU form of veterinary certificate No. 36. _x000D_
The Decision was adopted by the Eurasian Economic Commission Collegium No. 19 as of 11 February 2014. The Decision will enter into force 30 days after its official publication. The publication was on 11 February 2014 at the Eurasian Economic Commission website:_x000D_
http://www.eurasiancommission.org/docs/Download.aspx?IsDlg=0&amp;print=1&amp;ID=5177.</t>
  </si>
  <si>
    <t>02 - MEAT AND EDIBLE MEAT OFFAL; 23 - RESIDUES AND WASTE FROM THE FOOD INDUSTRIES; PREPARED ANIMAL FODDER; 01 - LIVE ANIMALS; 30 - PHARMACEUTICAL PRODUCTS; 04 - DAIRY PRODUCE; BIRDS' EGGS; NATURAL HONEY; EDIBLE PRODUCTS OF ANIMAL ORIGIN, NOT ELSEWHERE SPECIFIED OR INCLUDED</t>
  </si>
  <si>
    <d:r xmlns:d="http://schemas.openxmlformats.org/spreadsheetml/2006/main">
      <d:rPr>
        <d:sz val="11"/>
        <d:rFont val="Calibri"/>
      </d:rPr>
      <d:t xml:space="preserve">http://www.eurasiancommission.org/docs/Download.aspx?IsDlg=0&amp;amp;print=1&amp;amp;ID=5177.</d:t>
    </d:r>
  </si>
  <si>
    <t>Draft of the Eurasian Economic Commission Collegium Decision on amendments to the Customs Union (CU) Commission Decision on Common veterinary (veterinary and sanitary) requirements No. 317 as of 18 June 2010</t>
  </si>
  <si>
    <t xml:space="preserve">The Russian Federation notified draft of amendments to the Common veterinary (veterinary and sanitary) requirements in G/SPS/N/RUS/36 (17 October 2013). The document introduced amendments to CU legislation specifically to the Chapter 37 of the Common veterinary requirements. These amendments precise that requirements on absence of botulinic toxin applied only for canned pet feed._x000D_
The Decision was adopted by the Eurasian Economic Commission Collegium No. 18 as of 11 February 2014. The Decision will enter into force 30 days from the date of its official publication. The publication was on 11 February 2014 at the Eurasian Economic Commission website:_x000D_
http://www.eurasiancommission.org/docs/Download.aspx?IsDlg=0&amp;print=1&amp;ID=5175.</t>
  </si>
  <si>
    <d:r xmlns:d="http://schemas.openxmlformats.org/spreadsheetml/2006/main">
      <d:rPr>
        <d:sz val="11"/>
        <d:rFont val="Calibri"/>
      </d:rPr>
      <d:t xml:space="preserve">http://www.eurasiancommission.org/docs/Download.aspx?IsDlg=0&amp;amp;print=1&amp;amp;ID=5175.</d:t>
    </d:r>
  </si>
  <si>
    <t>Amendments to the Customs Union Technical Regulation "On safety of grain", adopted by the Decision of the Customs Union (CU) Commission No. 874 as of 9 December 2011</t>
  </si>
  <si>
    <t>The Russian Federation notified amendments to the Customs Union technical regulation (TR) "On safety of grain", adopted by the Decision of the Customs Union Commission No. 874 as of 9 December 2011, in G/SPS/N/RUS/26 (13 May 2013). The proposed amendments are at the internal consideration in the CU member states. This procedure is carried out in accordance with the Regulation on the procedure of drafting, adoption, introduction of amendments and cessation of the CU TR, adopted by the Eurasian Economic Commission Council Decision No. 48 as of 20 June 2012. Thus the proposed dates of adoption and publication were changed to June 2014.</t>
  </si>
  <si>
    <t>10 - CEREALS; 1206 - Sunflower seeds, whether or not broken</t>
  </si>
  <si>
    <t>This letter introduces a temporary restriction due to the outbreak of the African swine fever virus (ASF) in January 2014 on the territory of Lithuania. This measure applies on import of: - live pigs and its genetic material; - pork products (which were not heat treated no less than 72ºC for at least 30 minutes); - products from slaughter of wild boars; - horn-hoofed and leather, intestinal materials; - bristles; - feed for pigs; - hunting trophies, which were not subjected to full taxidermy treatment; - previously used equipment for maintenance, transportation, slaughter and cutting of pigs.</t>
  </si>
  <si>
    <t>Animal diseases; African swine fever (ASF); Animal feed; Animal health; Pest- or Disease- free Regions / Regionalization</t>
  </si>
  <si>
    <d:r xmlns:d="http://schemas.openxmlformats.org/spreadsheetml/2006/main">
      <d:rPr>
        <d:sz val="11"/>
        <d:rFont val="Calibri"/>
      </d:rPr>
      <d:t xml:space="preserve">http://www.fsvps.ru/fsvps/download/direction/3116</d:t>
    </d:r>
  </si>
  <si>
    <t>Letter by the Federal Service for Veterinary and Phytosanitary Supervision No. FS-EN-7/18503 as of 25 December 2013</t>
  </si>
  <si>
    <t xml:space="preserve">The Russian Federation notified the letter of the State Sanitary Inspector in G/SPS/N/RUS/45 (as of 16 January 2014). This letter introduced a temporary restriction on live sheep and goats; products produced from meat of sheep and goats; milk and milk products; feed of animal origin and other raw materials and products obtained from sheep and goats slaughter; equipment previously used for maintenance, slaughter and processing of sheep and goats. The measure was introduced due to the outbreak of sheep pox and goats' pox on the territory of Blagoevgrad Province and Burgas Province, Bulgaria._x000D_
The Federal Service for Veterinary and Phytosanitary Supervision (letter as of 27 January 2014 No. FS-EN-8/1124) introduced a temporary restriction on live sheep and goats; products produced from meat of sheep and goats; milk and milk products; feed of animal origin and other raw materials and products obtained from sheep and goats slaughter; equipment previously used for maintenance, slaughter and processing of sheep and goats. The measure was introduced from 28 January 2014 due to the outbreak of sheep pox and goats' pox on the territory of Plovdiv Province, Bulgaria._x000D_
At the moment the measure applies to import of above listed goods from three Bulgarian provinces: Blagoevgrad Province and Burgas Province (from 26 December 2013), Plovdiv Province (from 28 January 2014)._x000D_
_x000D_
Footnote: The letter of the Federal Service for Veterinary and Phytosanitary Supervision No. FS-EN-8/1124 as of 27 January 2014 is available in Russian on the following weblink: http://www.fsvps.ru/fsvps/download/attachment/2582/1124(1887311_%D0%A4%D0%A1-%D0%95%D0%9D-8_1124_27_01_2014).pdf</t>
  </si>
  <si>
    <t>0104 - Live sheep and goats; 0204 - Meat of sheep or goats, fresh, chilled or frozen; 2309 - Preparations of a kind used in animal feeding; 0401 - Milk and cream, not concentrated nor containing added sugar or other sweetening matter</t>
  </si>
  <si>
    <t>Letter of the State Sanitary Inspector No. 01/11491-13-23 as of 6 October 2013</t>
  </si>
  <si>
    <t xml:space="preserve">The Russian Federation notified the letter of the State Sanitary Inspector in G/SPS/N/RUS/35 (as of 11 October 2013). This letter introduced a temporary restriction on import of milk and milk products from Lithuania to the Russian Federation due to detection of incompliance to microbiology, sanitary chemical and organoleptic requirements. Lithuania provided relevant information on securing microbiological requirements, strengthening of production control, elimination of detected labeling deviations. Thus the measure was withdrawn from 3 February 2014, with regard to import of milk and milk products from "Vilkyskiu Pienine" and "Silutes Rambinas", Lithuania._x000D_
_x000D_
At the moment the measure does not apply to milk and milk products from five Lithuanian establishments: "Pieno Zvaigzdes" (from 9 January 2014), "Rokiskio suris" AB (from 20 January 2014), "Zemaitijos Pienas" (from 30 January 2014), "Vilkyskiu Pienine" and "Silutes Rambinas" (from 3 February 2014).</t>
  </si>
  <si>
    <t>0401 - Milk and cream, not concentrated nor containing added sugar or other sweetening matter; 0402 - Milk and cream, concentrated or containing added sugar or other sweetening matter; 0406 - Cheese and curd;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t>
  </si>
  <si>
    <t xml:space="preserve">The Russian Federation notified the letter of the State Sanitary Inspector in G/SPS/N/RUS/35 (as of 11 October 2013). This letter introduced a temporary restriction on import of milk and milk products from Lithuania to the Russian Federation due to detection of incompliance to microbiology, sanitary chemical and organoleptic requirements. Lithuania provided relevant information on securing microbiological requirements, strengthening of production control, elimination of detected labelling deviations. Thus the measure was withdrawn from 30 January 2014, with regard to import of milk and milk products from "Zemaitijos Pienas", Lithuania. _x000D_
At the moment the measure does not apply to milk and milk products from three Lithuanian establishments: "Pieno Zvaigzdes" (from 9 January 2014), "Rokiskio suris" AB (from 20 January 2014) and "Zemaitijos Pienas" (from 30 January 2014).</t>
  </si>
  <si>
    <t xml:space="preserve">The Russian Federation notified the letter of the State Sanitary Inspector in G/SPS/N/RUS/35 (as of 11 October 2013). This letter introduced a temporary restriction on import of milk and milk products from Lithuania to the Russian Federation due to detection of incompliance to microbiology, sanitary chemical and organoleptic requirements. Lithuania provided relevant information on securing microbiological requirements, strengthening of production control, elimination of detected labeling deviations. Thus the measure was withdrawn with regard to import of milk and milk products from "Rokiskio suris" AB, Lithuania. _x000D_
At the moment the measure does not apply to milk and milk products from two Lithuanian establishments: "Pieno Zvaigzdes" and "Rokiskio suris" AB.</t>
  </si>
  <si>
    <t>0406 - Cheese and curd; 0401 - Milk and cream, not concentrated nor containing added sugar or other sweetening matter; 0402 - Milk and cream, concentrated or containing added sugar or other sweetening matter;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t>
  </si>
  <si>
    <t>Letter of the Federal Service for Veterinary and Phytosanitary Supervision No. FS-NV-8/528 as of 15 January 2014</t>
  </si>
  <si>
    <t>This letter introduces a temporary restriction due to the outbreak of the African swine fever virus (ASF) in January 2014 in Luhansk region, Ukraine. This measure applies on import of: - live pigs and its genetic material; - pork products (which were not heat treated no less than 72ºC for at least 30 minutes); - products from slaughter of wild boars; - horn-hoofed and leather, intestinal materials; - bristles; - feed for pigs; - hunting trophies, which were not subjected to full taxidermy treatment; - previously used equipment for maintenance, transportation, slaughter and cutting of pigs.</t>
  </si>
  <si>
    <t>Luhansk region (Ukraine)</t>
  </si>
  <si>
    <d:r xmlns:d="http://schemas.openxmlformats.org/spreadsheetml/2006/main">
      <d:rPr>
        <d:sz val="11"/>
        <d:rFont val="Calibri"/>
      </d:rPr>
      <d:t xml:space="preserve">http://www.fsvps.ru/fsvps/download/attachment/2201/528.pdf</d:t>
    </d:r>
  </si>
  <si>
    <t>Letter of the Federal Service for Veterinary and Phytosanitary Supervision No. FS-NV-7/514 as of 15 January 2014</t>
  </si>
  <si>
    <t>This letter introduces a temporary restriction due to detection of acetate trenbolone residues (hormonal stimulator of growth) in products, imported from Australian establishments. This anabolic steroid is forbidden for use on the territory of the Customs Union in accordance with the Decision of the Customs Union Commission No. 299 as of 28 May 2010 "On application of sanitary measures in the Customs Union". The measure applies on import of beef by-products from Australia to Russia.</t>
  </si>
  <si>
    <t>Beef by-products</t>
  </si>
  <si>
    <d:r xmlns:d="http://schemas.openxmlformats.org/spreadsheetml/2006/main">
      <d:rPr>
        <d:sz val="11"/>
        <d:rFont val="Calibri"/>
      </d:rPr>
      <d:t xml:space="preserve">http://www.fsvps.ru/fsvps/download/direction/3025</d:t>
    </d:r>
  </si>
  <si>
    <t xml:space="preserve">This letter by the Federal Service for Veterinary and Phytosanitary Supervision introduces a temporary restriction due to the outbreak of sheep pox and goats pox on the territory of Blagoevgrad Province and Burgas Province of Bulgaria. This measure applies to import of:_x000D_
- live sheep and goats;_x000D_
- products produced from meat of sheep and goats;_x000D_
- milk and milk products;_x000D_
- feed of animal origin and other raw materials and products, obtained from sheep and goats slaughter;_x000D_
- equipment previously used for maintenance, slaughter and processing of sheep and goats.</t>
  </si>
  <si>
    <t>0401 - Milk and cream, not concentrated nor containing added sugar or other sweetening matter; 2309 - Preparations of a kind used in animal feeding; 0104 - Live sheep and goats; 0204 - Meat of sheep or goats, fresh, chilled or frozen</t>
  </si>
  <si>
    <t>Blagoevgrad Province and Burgas Province (Bulgaria)</t>
  </si>
  <si>
    <d:r xmlns:d="http://schemas.openxmlformats.org/spreadsheetml/2006/main">
      <d:rPr>
        <d:sz val="11"/>
        <d:rFont val="Calibri"/>
      </d:rPr>
      <d:t xml:space="preserve">http://fsvps.ru/fsvps/laws/3792.html</d:t>
    </d:r>
  </si>
  <si>
    <t>The Russian Federation notified the letter of the State Sanitary Inspector in G/SPS/N/RUS/35 (as of 11 October 2013). This letter introduced a temporary restriction on import of milk and milk products from Lithuania to the Russian Federation due to detection of incompliance to microbiology, sanitary chemical and organoleptic requirements. In December 2013 Lithuania provided additional information on application of additional measures for securing microbiological requirements, strengthening of production control, elimination of detected labeling deviations. Thus this measure was withdrawn with regard to import of milk products from Pieno Zvaigzdes, Lithuania.</t>
  </si>
  <si>
    <t>Letter by the Federal Service for Veterinary and Phytosanitary Supervision No. FS-NV-7/18093 as of 19 December 2013</t>
  </si>
  <si>
    <t xml:space="preserve">Letter by the Federal Service for Veterinary and Phytosanitary Supervision introduces temporary restrictions on shipment of fish products from Norway. This measure is introduced due to a number of discrepancies of veterinary-sanitary requirements of the Customs Union and the Russian Federation, revealed on the basis of results of laboratory tests, documentary control of fish products, imported from Norway to the territory of the Russian Federation, and on-site inspections of Norwegian fish processing establishments._x000D_
This measure is not applied to import of fish products from coastal establishments, engaged in fish production from non-salmon species of fish, listed in Annex to the above mentioned letter. _x000D_
The list of above mentioned establishments can be also found on the website of the Federal Service for Veterinary and Phytosanitary Supervision: http://www.fsvps.ru/fsvps/importExport/norway/enterprises.html?product=247&amp;productType=7.</t>
  </si>
  <si>
    <d:r xmlns:d="http://schemas.openxmlformats.org/spreadsheetml/2006/main">
      <d:rPr>
        <d:sz val="11"/>
        <d:rFont val="Calibri"/>
      </d:rPr>
      <d:t xml:space="preserve">http://www.fsvps.ru/fsvps/download/direction/2943</d:t>
    </d:r>
  </si>
  <si>
    <t xml:space="preserve">The document introduces amendments to the CU legislation specifically to the Regulation on the Common procedure for carrying out veterinary control at the customs border of the Customs Union and on the customs territory of the Customs Union. The mentioned Regulation is adjusted with the following:_x000D_
- definition of the term "competent authority";_x000D_
- requirements for issuing of certificates; _x000D_
- control conditions over the goods (products), imported on the basis of veterinary certificates, which differ from forms of veterinary certificates, established by the Eurasian Economic Commission;_x000D_
- conditions for issuance of replacement certificates. Veterinary certificate, early issued by the competent authority of the exporting country, can be replaced by the new veterinary certificate in case if its loss or damage (technical mistake or partial change in previously provided information, if such amendments are allowed). Note: clarifications on these criteria are made in the text of the draft document.</t>
  </si>
  <si>
    <t>Common list of goods subject to veterinary control, adopted by the Customs Union (CU) Commission Decision on application of veterinary and sanitary measures in the CU as of 18 June 2010 No. 317</t>
  </si>
  <si>
    <t>01 - LIVE ANIMALS; 30 - PHARMACEUTICAL PRODUCTS; 04 - DAIRY PRODUCE; BIRDS' EGGS; NATURAL HONEY; EDIBLE PRODUCTS OF ANIMAL ORIGIN, NOT ELSEWHERE SPECIFIED OR INCLUDED; 02 - MEAT AND EDIBLE MEAT OFFAL; 23 - RESIDUES AND WASTE FROM THE FOOD INDUSTRIES; PREPARED ANIMAL FODDER</t>
  </si>
  <si>
    <t>Food safety; Certification, control and inspection; Animal health; Human health</t>
  </si>
  <si>
    <d:r xmlns:d="http://schemas.openxmlformats.org/spreadsheetml/2006/main">
      <d:rPr>
        <d:sz val="11"/>
        <d:rFont val="Calibri"/>
      </d:rPr>
      <d:t xml:space="preserve">http://www.eurasiancommission.org/ru/act/texnreg/depsanmer/publ/Documents/Izmvetkontr3112.pdf</d:t>
    </d:r>
  </si>
  <si>
    <t>Letter of the Federal Service for Veterinary and Phytosanitary Supervision on introduction of temporary restriction on import of live pigs, boar semen, pork and raw pork products and pork goods from Latvia</t>
  </si>
  <si>
    <t>The Russian Federation notified in G/SPS/N/RUS/3 (19 December 2012) a letter of the Federal Service for Veterinary and Phytosanitary Supervision No. FS-EN-7/15784 as of 27 November 2012, which introduced a temporary restriction due to the outbreak of classic swine fever in Latvia. This measure applied on import of live pigs, boar semen, pork and raw pork products and pork goods, which were not heat treated (no less than 70ºC), from Latvia to Russia. The notified measure was eliminated by the letter of the Federal Service for Veterinary and Phytosanitary Supervision No. FS-NV-7/17830 as of 16 December 2013. The publication was made on the official website of the Federal Service for Veterinary and Phytosanitary Supervision: http://www.fsvps.ru/fsvps/download/direction/2940.</t>
  </si>
  <si>
    <t>0203 - Meat of swine, fresh, chilled or frozen; 0103 - Live swine; 0511 - Animal products n.e.s.; dead animals of all types, unfit for human consumption</t>
  </si>
  <si>
    <t>Draft of the Eurasian Economic Collegium Decision on amendments to the CU Technical Regulation "On safety of grain", adopted by the Decision of the CU Commission No. 874 as of 9 December 2011</t>
  </si>
  <si>
    <t>The document introduces amendments to the CU Technical Regulation "On safety of grain" in order to establish common terminology for rape in the CU Technical Regulation "On oil and fat products", "On food safety" and "On safety of grain". Replacement is previewed for the word "grain" to "seed", since raw material for rapeseed oil is rapeseed. With this regard amendments are made in Annex 1 (distinguishing characteristics of an oil plant named rapeseed) and Annex 6 (the word "grain" is replaced with the word "seed").</t>
  </si>
  <si>
    <t>Grain</t>
  </si>
  <si>
    <t>10 - CEREALS</t>
  </si>
  <si>
    <d:r xmlns:d="http://schemas.openxmlformats.org/spreadsheetml/2006/main">
      <d:rPr>
        <d:sz val="11"/>
        <d:rFont val="Calibri"/>
      </d:rPr>
      <d:t xml:space="preserve">http://www.eurasiancommission.org/ru/act/texnreg/deptexreg/tr/Documents/1%20R%20Kol%20o%20por%20Izm%202%20Zerno.pdf</d:t>
    </d:r>
  </si>
  <si>
    <t>Draft of amendments to the Customs Union Technical Regulation "On safety of products for children and adolescents" (CU TR 007/2011), (6 page, in Russian).</t>
  </si>
  <si>
    <t xml:space="preserve">Clarification of technical regulation's scope and alignment of certain provisions of the technical ;
regulation and annexes to it</t>
  </si>
  <si>
    <t>97.190 - Equipment for children</t>
  </si>
  <si>
    <t xml:space="preserve">Amendments to ;
the Customs Union Technical Regulation «On safety of products ;
for children and adolescents (CU TR 0072011)httpwwweurasiancommissionorgruacttexnregdeptexregtrPagesprojectsPublicaspxThe ;
Customs Union Technical Regulation «On safety of products ;
for children and adolescents (CU TR 0072011)http://www.eurasiancommission.org/ru/act/texnreg/deptexreg/tr/Pages/bezopDeti.aspx</t>
  </si>
  <si>
    <t>Draft of amendments to the technical regulation of the Customs Union "On oil and fat products" (CU TR 024/2011), (1 page, in Russian).</t>
  </si>
  <si>
    <t xml:space="preserve">Draft of amendments to the Customs UnionTechnical Regulation «On oil and fat ;
products» (CU TR 024/2011) has been ;
prepared to make adjustments to the definition of "modification of ;
vegetable oils and (or) fat" to ensure the uniform application  of the provisions of the Customs UnionTechnical Regulation «On oil and fat ;
products» (CU TR 024/2011). </t>
  </si>
  <si>
    <t>Oil and fat products</t>
  </si>
  <si>
    <t>67.200.10 - Animal and vegetable fats and oils</t>
  </si>
  <si>
    <t>Amendments to the Customs UnionTechnical Regulation «On oil and fat products» (CU TR 024/2011)httpwwweurasiancommissionorgruacttexnregdeptexregtrPagesprojectsPublicaspxThe Customs UnionTechnical Regulation «On oil and fat products» (CU TR 024/2011)http://www.eurasiancommission.org/ru/act/texnreg/deptexreg/tr/Pages/MasloGirov.aspx</t>
  </si>
  <si>
    <t>Draft of amendments to the Customs Union Technical Regulation "On safety of light industry products" (CU TR 017/2011), (5 pages, in Russian).</t>
  </si>
  <si>
    <t xml:space="preserve">Clarification of certain provisions of the Technical Regulation and making certain technical ;
corrections.</t>
  </si>
  <si>
    <t>Amendments to the Customs Union Technical Regulation On safety of light industry products (CU TR 017/2011)http://www.eurasiancommission.org/ru/act/texnreg/deptexreg/tr/Pages/ProjIzmLegProm.aspxThe Customs Union Technical Regulation On safety of light industry products (CU TR 017/2011)http://www.eurasiancommission.org/ru/act/texnreg/deptexreg/tr/Pages/bezopProductLegkProm.aspx</t>
  </si>
  <si>
    <t>Draft of amendments to the technical regulation of the Customs Union "On safety of grain" (CU TR 015/2011), (1 page, in Russian).</t>
  </si>
  <si>
    <t xml:space="preserve">Draft of amendments to the Annex 1 (distinguishing characteristics of an oil plant named rapeseed) and to Annex 6 (the word grain is replaced with the word seed) are made due to the fact that rape seed is a raw material for rapeseed oil. </t>
  </si>
  <si>
    <t>67.200.20 - Oilseeds</t>
  </si>
  <si>
    <t>Draft of amendments to the Customs UnionTechnical Regulation«On safety of grain» (CU TR 015/2011)httpwwweurasiancommissionorgruacttexnregdeptexregtrPagesprojectsPublicaspxThe Customs UnionTechnical Regulation«On safety of grain» (CU TR 015/2011)http://www.eurasiancommission.org/ru/act/texnreg/deptexreg/tr/Pages/bezpoZerna.aspx</t>
  </si>
  <si>
    <t>Draft of the Eurasian Economic Commission Collegium Decision on amendments to the Customs Union (CU) Commission Decision on application of international standards, recommendations and guidelines No. 721 as of 22 June 2011</t>
  </si>
  <si>
    <t>The Russian Federation notified the draft of the Eurasian Economic Commission Collegium Decision on amendments to the CU Commission Decision on application of international standards, recommendations and guidelines No. 721 as of 22 June 2011 in G/SPS/N/RUS/31 (29 August 2013). The notified draft proposal is withdrawn.</t>
  </si>
  <si>
    <t>2309 - Preparations of a kind used in animal feeding; 3503 - Gelatin, whether or not in square or rectangular sheets, whether or not surface-worked or coloured, and gelatin derivatives; isinglass; other glues of animal origin (excl. those packaged as glue for retail sale and weighing &lt;= 1 kg, and casein glues of heading 3501)</t>
  </si>
  <si>
    <t>Letter by the Federal Service for Veterinary and Phytosanitary Supervision introduces a temporary restriction due to the outbreak of low pathogenic avian influenza on the territory of Ten Boer municipality, Groningen province, the Netherlands. This measure applies to import of live poultry, hatching eggs, fluff and feather, poultry and poultry products meat, which were not heat treated (no less than 70°C), feed and feed additives for poultry (except feed additives of chemical and microbiological synthesis), equipment previously used for maintenance, slaughter and cutting of poultry.</t>
  </si>
  <si>
    <t>Live poultry, hatching eggs, fluff and feather, poultry and poultry products meat, feed and feed additives for poultry, equipment previously used for maintenance, slaughter and cutting of poultry</t>
  </si>
  <si>
    <t>Animal diseases; Food safety; Avian Influenza; Animal feed; Animal health; Human health; Pest- or Disease- free Regions / Regionalization; Feed additives; Zoonoses</t>
  </si>
  <si>
    <t>Ten Boer municipality, Groningen province (Netherlands)</t>
  </si>
  <si>
    <d:r xmlns:d="http://schemas.openxmlformats.org/spreadsheetml/2006/main">
      <d:rPr>
        <d:sz val="11"/>
        <d:rFont val="Calibri"/>
      </d:rPr>
      <d:t xml:space="preserve">http://www.fsvps.ru/fsvps/laws/3773.html</d:t>
    </d:r>
  </si>
  <si>
    <t>Letters by the Federal Service for Veterinary and Phytosanitary Supervision No. FS-EN-7/16933 as of 5 December 2013 and No. FS-EN-7/17506 as of 11 December 2013</t>
  </si>
  <si>
    <t>These letters by the Federal Service for Veterinary and Phytosanitary Supervision introduce temporary restrictions on shipment of milk products from 13 enterprises from the Netherlands, listed in the above mentioned letters. This measure was introduced due to detection of violations of CU veterinary and sanitary requirements as results of inspections. Inspections were carried out on establishments, engaged in production of products of animal origin, by the specialists of the Federal Service for Veterinary and Phytosanitary Supervision from 29 September 2013 till 12 October 2013 in the Netherlands.</t>
  </si>
  <si>
    <t>Milk products</t>
  </si>
  <si>
    <d:r xmlns:d="http://schemas.openxmlformats.org/spreadsheetml/2006/main">
      <d:rPr>
        <d:sz val="11"/>
        <d:rFont val="Calibri"/>
      </d:rPr>
      <d:t xml:space="preserve">http://www.fsvps.ru/fsvps/download/direction/2914
http://www.fsvps.ru/fsvps/laws/3781.html</d:t>
    </d:r>
  </si>
  <si>
    <t xml:space="preserve">The Russian Federation notified in G/SPS/N/RUS/33 (20 September 2013) draft of the Eurasian Economic Commission Collegium Decision on amendments to the Customs Union (CU) Commission Decision on Common veterinary (veterinary and sanitary) requirements No. 317 as of 18 June 2010. The Decision was adopted by the Eurasian Economic Commission Collegium No. 294 as of 10 December 2013. The Decision will enter into force on 10 January 2014. The publication was on 11 December 2013 at the Eurasian Economic Commission website:_x000D_
http://www.eurasiancommission.org/_layouts/Lanit.EEC.Desicions/Download.aspx?IsDlg=0&amp;print=1&amp;ID=5025.</t>
  </si>
  <si>
    <d:r xmlns:d="http://schemas.openxmlformats.org/spreadsheetml/2006/main">
      <d:rPr>
        <d:sz val="11"/>
        <d:rFont val="Calibri"/>
      </d:rPr>
      <d:t xml:space="preserve">http://www.eurasiancommission.org/_layouts/Lanit.EEC.Desicions/Download.aspx?IsDlg=0&amp;amp;print=1&amp;amp;ID=5025.</d:t>
    </d:r>
  </si>
  <si>
    <t>Letter of the Federal Service for Veterinary and Phytosanitary Supervision regarding the temporary restriction of cattle and small cattle from Austria due to the detection of seropositive animals of Schmallenberg virus in Austria</t>
  </si>
  <si>
    <t xml:space="preserve">The Russian Federation notified in G/SPS/N/RUS/2 (10 December 2012) a letter of the Federal Service for Veterinary and Phytosanitary Supervision No. FS-EN-7/13651 as of 11 October 2012, which introduced a temporary restriction due to the detection of seropositive animals of Schmallenberg virus in Austria, which indicates the existence of this disease in the country. This measure was applied on transit through the territory of the Russian Federation of cattle and small cattle from Austria and on import of cattle and small cattle and genetic materials of these animals from Austria to Russia. The notified measure was eliminated by the letter of the Federal Service for Veterinary and Phytosanitary Supervision No. FS-NV-2/5077 as of 30 April 2013, and No. FS-NV-2/7111 as of 13 June 2013. The publication was made on the official website of the Federal Service for Veterinary and Phytosanitary Supervision:_x000D_
http://www.fsvps.ru/fsvps/laws/3613.html _x000D_
http://www.fsvps.ru/fsvps/laws/3640.html _x000D_
Import is allowed on the territory of the Russian Federation from 1 May 2013, in compliance with the provisions, specified in Annex 1 of the above mentioned letters of the Federal Service for Veterinary and Phytosanitary Supervision.</t>
  </si>
  <si>
    <t>0104 - Live sheep and goats; 0102 - Live bovine animals</t>
  </si>
  <si>
    <d:r xmlns:d="http://schemas.openxmlformats.org/spreadsheetml/2006/main">
      <d:rPr>
        <d:sz val="11"/>
        <d:rFont val="Calibri"/>
      </d:rPr>
      <d:t xml:space="preserve">http://www.fsvps.ru/fsvps/laws/3613.html 
http://www.fsvps.ru/fsvps/laws/3640.html</d:t>
    </d:r>
  </si>
  <si>
    <t>Letter of the Federal Service for Veterinary and Phytosanitary Supervision regarding the temporary restriction of cattle and small cattle from Finland due to the detection of seropositive animals of Schmallenberg virus in Finland</t>
  </si>
  <si>
    <t xml:space="preserve">The Russian Federation notified in G/SPS/N/RUS/1 (10 December 2012) a letter of the Federal Service for Veterinary and Phytosanitary Supervision No. FS-EN-7/14628 as of 02 November 2012, which introduced a temporary restriction due to the detection of seropositive animals of Schmallenberg virus in Finland, which indicates the existence of this disease in the country. This measure was applied on transit through the territory of the Russian Federation of cattle and small cattle from Finland and on import of cattle and small cattle and genetic materials of these animals from Finland to Russia. The notified measure was eliminated by the letter of the Federal Service for Veterinary and Phytosanitary Supervision No. FS-NV-2/5077 as of 30 April 2013, and No. FS-NV-2/7111 as of 13 June 2013. The publication was made on the official website of the Federal Service for Veterinary and Phytosanitary Supervision:_x000D_
http://www.fsvps.ru/fsvps/laws/3613.html _x000D_
http://www.fsvps.ru/fsvps/laws/3640.html _x000D_
Import is allowed on the territory of the Russian Federation from 1 May 2013, in compliance with the provisions, specified in Annex 1 of the above-mentioned letters of the Federal Service for Veterinary and Phytosanitary Supervision.</t>
  </si>
  <si>
    <t>0102 - Live bovine animals; 0104 - Live sheep and goats</t>
  </si>
  <si>
    <t>Draft of the Eurasian Economic Commission Council Decision on amendments to the Annex 3 of the Customs Union (CU) Commission Decision as of 18 June 2010 No. 318</t>
  </si>
  <si>
    <t>The document introduces amendments to CU legislation regarding the common procedure on carrying out quarantine and phytosanitary control (supervision) on the customs territory of the Customs Union (Annex 3 to the CU Commission Decision as of 18 June 2010 No. 318). The proposed amendments relate to trade within the CU customs territory. The document is aimed at improving efficiency of quarantine and phytosanitary control on the customs territory of the CU, optimization of work performed by competent authorities responsible for plant protection in country-members of the CU, and eliminating unjustified barriers between the member states.</t>
  </si>
  <si>
    <t>Common list of regulated products subject to quarantine and phytosanitary control (supervision) on the customs border of the Customs Union and the customs territory of the Customs Union adopted by the Customs Union Commission Decision as of 18 June 2010 No. 318</t>
  </si>
  <si>
    <t>Letter of the Federal Service for Veterinary and Phytosanitary Supervision regarding the temporary restriction of cattle and small cattle from Sweden due to the detection of seropositive animals of Schmallenberg virus in Sweden</t>
  </si>
  <si>
    <t xml:space="preserve">The Russian Federation notified in G/SPS/N/RUS/7 (11 January 2013) a letter of the Federal Service for Veterinary and Phytosanitary Supervision No. FS-AS-7/17069 as of 19 December 2012, which introduced a temporary restriction due to the detection of seropositive animals of Schmallenberg virus in Sweden, which indicates the existence of this disease in the country. This measure was applied on transit through the territory of the Russian Federation of cattle and small cattle from Sweden and on import of cattle and small cattle and genetic materials of these animals from Sweden to Russia. The notified measure was eliminated by the letter of the Federal Service for Veterinary and Phytosanitary Supervision No. FS-NV-2/5077 as of 30 April 2013, and No. FS-NV-2/7111 as of 13 June 2013. The publication was made on the official website of the Federal Service for Veterinary and Phytosanitary Supervision:_x000D_
http://www.fsvps.ru/fsvps/laws/3613.html _x000D_
http://www.fsvps.ru/fsvps/laws/3640.html _x000D_
Import is allowed on the territory of the Russian Federation from 1 May 2013, in compliance with the provisions, specified in Annex 1 of the above mentioned letters of the Federal Service for Veterinary and Phytosanitary Supervision.</t>
  </si>
  <si>
    <t>Letters of the Federal Service for Veterinary and Phytosanitary Supervision regarding the temporary restriction on import of live poultry, incubative eggs, down and feather, poultry and all types of poultry products from Markisch-Oderland district, Brandenburg (Germany)</t>
  </si>
  <si>
    <t xml:space="preserve">The Russian Federation notified in G/SPS/N/RUS/16 (8 March 2013) letters of the Federal Service for Veterinary and Phytosanitary Supervision No. FS-AS-7/2057 as of 22 February 2013 and No. FS-AS-7/2242 as of 28 February 2013, which introduced a temporary restriction on import of live poultry, incubative eggs, down and feather, poultry and all types of poultry products, from Markisch-Oderland district, Brandenburg (Germany) due to low pathogenic avian influenza (AI) outbreak._x000D_
The notified measure was eliminated by the letter of the Federal Service for Veterinary and Phytosanitary Supervision No. FS-AS-7/12177 as of 13 September 2013.</t>
  </si>
  <si>
    <t>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7020 - Articles of glass, n.e.s.; 0105 - Live poultry, "fowls of the species Gallus domesticus, ducks, geese, turkeys and guinea fowls"; 1213 - Cereal straw and husks, unprepared, whether or not chopped, ground, pressed or in the form of pellets; 3923 - Articles for the conveyance or packaging of goods, of plastics; stoppers, lids, caps and other closures, of plastics; 1003 - Barley; 1004 - Oats; 1201 - Soya beans, whether or not broken; 1208 - Flours and meals of oil seeds or oleaginous fruits (excl. mustard); 3926 - Articles of plastics and articles of other materials of heading 3901 to 3914, n.e.s.; 7309 -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 1001 - Wheat and meslin; 2309 - Preparations of a kind used in animal feeding; 100590 - Maize (excl. seed); 860900 - Containers, incl. containers for the transport of fluids, specially designed and equipped for carriage by one or more modes of transport; 871639 - Trailers and semi-trailers for the transport of goods, not designed for running on rails (excl. self-loading of self-unloading trailers and semi-trailers for agricultural purposes and tanker trailers and tanker semi-trailers); 0407 - Birds' eggs, in shell, fresh, preserved or cooked; 4421 - Other articles of wood, n.e.s.; 860691 - Railway or tramway goods vans and wagons, covered and closed (excl. self-discharging goods vans and wagons, tank wagons and the like and insulated or refrigerated goods vans and wagons); 1211 - Plants and parts of plants, incl. seeds and fruits, of a kind used primarily in perfumery, medicaments or for insecticidal, fungicidal or similar purposes, fresh or dried, whether or not cut, crushed or powdered; 3507 - Enzymes; prepared enzymes, n.e.s.; 4416 - Casks, barrels, vats, tubs and other coopers' products parts thereof, of wood, incl. staves; 843621 - Poultry incubators and brooders; 843680 - Agricultural, horticultural, forestry or bee-keeping machinery, n.e.s.</t>
  </si>
  <si>
    <t>Draft of the Eurasian Economic Commission Council Decision on amendments to the Customs Union (CU) Commission Decision on Regulation on Common procedure for conduct of veterinary control at the Customs Union and within the Customs territory of the Customs Union No. 317 as of 18 June 2013</t>
  </si>
  <si>
    <t xml:space="preserve">The Russian Federation notified draft of the Eurasian Economic Commission Council Decision on amendments to the Customs Union (CU) Commission Decision on Regulation on Common procedure for conduct of veterinary control at the Customs Union and within the Customs territory of the Customs Union No. 317 as of 18 June 2013 in G/SPS/N/RUS/28 (8 July 2013). The Decision was adopted by the Council of the Eurasian Economic Commission on 19 November 2013, No. 84. The Decision will enter into force on 21 May 2014. The publication was on 21 November 2013 at the Eurasian Economic Commission website:_x000D_
http://www.eurasiancommission.org/_layouts/Lanit.EEC.Desicions/Download.aspx?IsDlg=0&amp;print=1&amp;ID=4968_x000D_
_x000D_
The relevant amendments were introduced into the CU Commission Decision Regulation on Common procedure for conduct of veterinary control at the Customs Union and within the Customs territory of the Customs Union No. 317 as of 18 June 2013. This document establishes the technical requirements for blanks of the veterinary certificates on imported goods with the aim to minimize risk of falsification of the veterinary certificates._x000D_
</t>
  </si>
  <si>
    <t>0101 - Live horses, asses, mules and hinnies;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2104 - Soups and broths and preparations therefor; food preparations consisting of finely homogenized mixtures of two or more basic ingredients such as meat, fish, vegetables or fruit, put up for retail sale as infant food or for dietetic purposes, in containers of &lt;= 250 g;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1002 - Rye; 2105 - Ice cream and other edible ice, whether or not containing cocoa;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0105 - Live poultry, "fowls of the species Gallus domesticus, ducks, geese, turkeys and guinea fowls";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0409 - Natural honey; 0410 - Turtles' eggs, birds' nests and other edible products of animal origin, n.e.s.; 1213 - Cereal straw and husks, unprepared, whether or not chopped, ground, pressed or in the form of pellets; 1603 - Extracts and juices of meat, fish or crustaceans, molluscs and other aquatic invertebrates; 2106 - Food preparations, n.e.s.;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1003 - Barley; 1004 - Oats; 1005 - Maize or corn; 1201 - Soya beans, whether or not broken; 1208 - Flours and meals of oil seeds or oleaginous fruits (excl. mustard); 1601 - Sausages and similar products, of meat, offal or blood; food preparations based on these products; 12129 - - Other:; 0104 - Live sheep and goats;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lard stearin, lard oil, oleostearin, oleooil and tallow oil, not emulsified or mixed or otherwise prepared); 1604 - Prepared or preserved fish; caviar and caviar substitutes prepared from fish eggs; 2306 - Oil-cake and other solid residues, whether or not ground or in the form of pellets, resulting from the extraction of vegetable fats or oils (excl. from soya-bean oil and ground-nut oil); 190220 - Pasta, stuffed with meat or other substances, whether or not cooked or otherwise prepared;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0301 - Live fish; 1301 - Lac; natural gums, resins, gum-resins, balsams and other natural oleoresins; 2309 - Preparations of a kind used in animal feeding; 152190 - Beeswax, other insect waxes and spermaceti, whether or not refined or coloured; 190420 - Prepared foods obtained from unroasted cereal flakes or from mixtures of unroasted cereal flakes and roasted cereal flakes or swelled cereals; 0407 - Birds' eggs, in shell, fresh, preserved or cooked; 0506 - Bones and horn-cores and their powder and waste, unworked, defatted, simply prepared, treated with acid or degelatinised (excl. cut to shape);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1211 - Plants and parts of plants, incl. seeds and fruits, of a kind used primarily in perfumery, medicaments or for insecticidal, fungicidal or similar purposes, fresh or dried, whether or not cut, crushed or powdered; 1602 - Prepared or preserved meat, offal or blood (excl. sausages and similar products, and meat extracts and juices); 1605 - Crustaceans, molluscs and other aquatic invertebrates, prepared or preserved</t>
  </si>
  <si>
    <d:r xmlns:d="http://schemas.openxmlformats.org/spreadsheetml/2006/main">
      <d:rPr>
        <d:sz val="11"/>
        <d:rFont val="Calibri"/>
      </d:rPr>
      <d:t xml:space="preserve">http://www.eurasiancommission.org/_layouts/Lanit.EEC.Desicions/Download.aspx?IsDlg=0&amp;amp;print=1&amp;amp;ID=4968</d:t>
    </d:r>
  </si>
  <si>
    <t>Draft of the Eurasian Economic Collegium Decision on amendments of the Customs Union Commission Decision on Common forms to veterinary control (supervision) from third countries No. 607 as of 7 April 2011</t>
  </si>
  <si>
    <t xml:space="preserve">The Russian Federation notified draft of the Eurasian Economic Collegium Decision on amendments of the Customs Union Commission Decision on Common forms to veterinary control (supervision) from third countries No. 607 as of 7 April 2011, in G/SPS/N/RUS/29 (8 July 2013). This document establishes new CU form of veterinary certificate for export to the CU territory of live of Lumbricus. The Decision was adopted by the Collegium of the Eurasian Economic Commission on 29 October 2013 No. 245. The Decision will enter into on 5 December 2013. The publication was on 5 November 2013 at the Eurasian Economic Commission website:_x000D_
http://www.eurasiancommission.org/docs/Download.aspx?IsDlg=0&amp;ID=4903&amp;print=1</t>
  </si>
  <si>
    <d:r xmlns:d="http://schemas.openxmlformats.org/spreadsheetml/2006/main">
      <d:rPr>
        <d:sz val="11"/>
        <d:rFont val="Calibri"/>
      </d:rPr>
      <d:t xml:space="preserve">http://www.eurasiancommission.org/docs/Download.aspx?IsDlg=0&amp;amp;ID=4903&amp;amp;print=1</d:t>
    </d:r>
  </si>
  <si>
    <t>Eurasian Economic Commission Council Decision on amendments of the Customs Union Commission Decision on Common veterinary (veterinary and sanitary) requirements No. 317 as of 18 June 2010</t>
  </si>
  <si>
    <t xml:space="preserve">The Russian Federation notified draft of the Eurasian Economic Commission Council Decision on amendments of the Customs Union Commission Decision on Common veterinary (veterinary and sanitary) requirements No. 317 as of 18 June 2010, in G/SPS/N/RUS/27 (8 July 2013). The Decision was adopted by the Collegium of the Eurasian Economic Commission on 29 October 2013 No. 244. The Decision will enter into on 5 December 2013. The publication was on 5 November 2013 at the Eurasian Economic Commission website:_x000D_
http://www.eurasiancommission.org/docs/Download.aspx?IsDlg=0&amp;ID=4901&amp;print=1_x000D_
The relevant amendments were introduced to the CU legislation specifically to the Common veterinary (veterinary and sanitary) requirements for import and transfer between the CU Parties of live of Lumbricus for breeding.     _x000D_
(Footnote: the Eurasian Economic Commission Council Decision on amendments of the Customs Union Commission Decision on Common veterinary (veterinary and sanitary) requirements No. 317 as of 18 June 2010 should read as follows "the Eurasian Economic Commission Collegium Decision on amendments of the Customs Union Commission Decision on Common veterinary (veterinary and sanitary) requirements No. 317 as of 18 June 2010")</t>
  </si>
  <si>
    <t>0104 - Live sheep and goats; 0102 - Live bovine animals; 2309 - Preparations of a kind used in animal feeding; 3503 - Gelatin, whether or not in square or rectangular sheets, whether or not surface-worked or coloured, and gelatin derivatives; isinglass; other glues of animal origin (excl. those packaged as glue for retail sale and weighing &lt;= 1 kg, and casein glues of heading 3501)</t>
  </si>
  <si>
    <d:r xmlns:d="http://schemas.openxmlformats.org/spreadsheetml/2006/main">
      <d:rPr>
        <d:sz val="11"/>
        <d:rFont val="Calibri"/>
      </d:rPr>
      <d:t xml:space="preserve">http://www.eurasiancommission.org/docs/Download.aspx?IsDlg=0&amp;amp;ID=4901&amp;amp;print=1</d:t>
    </d:r>
  </si>
  <si>
    <t>Draft of the Eurasian Economic Commission Collegium Decision on amendments to the Customs Union Commission Decision on Common forms of veterinary certificates for goods subject to veterinary control from third countries as of 7 April 2011 No. 607</t>
  </si>
  <si>
    <t>The document introduces amendments to CU legislation specially to the CU form of veterinary certificate No. 36. The document adjusts veterinary certificate with the relevant Common veterinary requirements (Chapter 37). Amendments to the Chapter 37 of the Common veterinary requirements were notified in G/SPS/N/RUS/36 (17 October 2013).These amendments precise that requirements on absence of botulinic toxin applied only for canned pet feed.</t>
  </si>
  <si>
    <t>04 - DAIRY PRODUCE; BIRDS' EGGS; NATURAL HONEY; EDIBLE PRODUCTS OF ANIMAL ORIGIN, NOT ELSEWHERE SPECIFIED OR INCLUDED; 30 - PHARMACEUTICAL PRODUCTS; 01 - LIVE ANIMALS; 02 - MEAT AND EDIBLE MEAT OFFAL; 23 - RESIDUES AND WASTE FROM THE FOOD INDUSTRIES; PREPARED ANIMAL FODDER</t>
  </si>
  <si>
    <t>Animal feed; Animal health; Contaminants; Toxins</t>
  </si>
  <si>
    <t>The draft of Technical Regulation of the Customs Union on safety of milk and milk products</t>
  </si>
  <si>
    <t xml:space="preserve">The Russian Federation notified the draft of Technical Regulation of the Customs Union on safety of milk and milk products in G/SPS/N/RUS/19 (20 March 2013). _x000D_
This document was adopted by the EEC (Eurasian Economic Commission) Council Decision on 9 October 2013 No. 67. The Technical Regulation will enter into force on 1 May 2014._x000D_
http://www.eurasiancommission.org/docs/Download.aspx?IsDlg=0&amp;ID=4766&amp;print=1</t>
  </si>
  <si>
    <d:r xmlns:d="http://schemas.openxmlformats.org/spreadsheetml/2006/main">
      <d:rPr>
        <d:sz val="11"/>
        <d:rFont val="Calibri"/>
      </d:rPr>
      <d:t xml:space="preserve">http://www.eurasiancommission.org/docs/Download.aspx?IsDlg=0&amp;amp;ID=4766&amp;amp;print=1</d:t>
    </d:r>
  </si>
  <si>
    <t>The draft of Technical Regulation of the Customs Union on safety of meat and meat products</t>
  </si>
  <si>
    <t xml:space="preserve">The Russian Federation notified the draft of Technical Regulation of the Customs Union on safety of meat and meat products in G/SPS/N/RUS/18 (20 March 2013). _x000D_
This document was adopted by the EEC (Eurasian Economic Commission) Council Decision on 9 October 2013 No. 68. The Technical Regulation will enter into force on 1 May 2014._x000D_
http://www.eurasiancommission.org/docs/Download.aspx?IsDlg=0&amp;ID=4765&amp;print=1</t>
  </si>
  <si>
    <d:r xmlns:d="http://schemas.openxmlformats.org/spreadsheetml/2006/main">
      <d:rPr>
        <d:sz val="11"/>
        <d:rFont val="Calibri"/>
      </d:rPr>
      <d:t xml:space="preserve">http://www.eurasiancommission.org/docs/Download.aspx?IsDlg=0&amp;amp;ID=4765&amp;amp;print=1</d:t>
    </d:r>
  </si>
  <si>
    <t>Draft of the Eurasian Economic Commission Collegium Decision on amendments to the Customs Union (CU) Commission Decision on Common list of goods subject to veterinary control as of 18 June 2010 No. 317</t>
  </si>
  <si>
    <t>The document introduces amendments to CU legislation specifically to the CU Common list of goods subject to veterinary control. It adjusts the HS codes column with the column of description of the goods subject to veterinary control. The following HS codes "from 2852 10 000 2", "from 2852 10 000 8", "2852 90 000 2", "from 2852 90 000 4", "from 2852 90 000 7" are deleted from the column for HS codes of the CU Common list. It is technical correction.</t>
  </si>
  <si>
    <t>Temporary restriction on import of milk and milk products from Lithuania</t>
  </si>
  <si>
    <t xml:space="preserve">Box 11 of G/SPS/N/RUS/35 should read as follows:_x000D_
11. Date of entry into force (dd/mm/yy)/period of application (as applicable): 9 October 2013 _x000D_
[ ] Trade facilitating measure</t>
  </si>
  <si>
    <t>Human health; Bacteria; Food safety; Contaminants</t>
  </si>
  <si>
    <t>The document introduces amendments to CU legislation specifically to the Chapter 37 of the Common veterinary requirements. These amendments precise that requirements on absence of botulinic toxin applied only for canned pet feed.</t>
  </si>
  <si>
    <t>HS Code: 2309</t>
  </si>
  <si>
    <t>Animal feed; Animal health; Toxins; Contaminants</t>
  </si>
  <si>
    <t>Letter of State Sanitary Inspector No. 01/11491-13-23 as of 6 October 2013</t>
  </si>
  <si>
    <t>This letter introduces a temporary restriction on import of milk and milk products from Lithuania to the Russian Federation due to detection of incompliance to microbiology, sanitary chemical and organoleptic requirements.</t>
  </si>
  <si>
    <t>Milk and dairy products (HS Codes: 0401-0406)</t>
  </si>
  <si>
    <t>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0401 - Milk and cream, not concentrated nor containing added sugar or other sweetening matter; 0402 - Milk and cream, concentrated or containing added sugar or other sweetening matter; 0406 - Cheese and curd</t>
  </si>
  <si>
    <t>Food safety; Contaminants; Human health; Bacteria</t>
  </si>
  <si>
    <t>This letter introduces a temporary restriction on the import of regulated products with a high pest risk from Pakistan to Russian Federation, due to repeated cases of the detection of Capra beetle (Trogoderma granarium Ev.). This pest, which is absent in the territory of Russia, is of quarantine concern for the Russian Federation.</t>
  </si>
  <si>
    <t>HS Codes: 0106 41 000, 0106 49 000, 0601, 0602 (except 0602 90 100 0) 0603 11 000 0, 0603 19 800 0, 0603 90 000 0, 0604 20 200 0, 0604 20 400 0, 0604 20 900 0, 0604 90 910 0, 0701, 0702 00 000, 0703, 0704, 0705, 0706, 0707 00, 0708, 0709, 0712 90 110 0, 0713, 0714, 0801, 0802, 0803, 0804, 0805, 0806, 0807, 0808, 0809, 0810, 0813, 0901 11 000, 0901 12 000, 1001, 1002, 1003, 1004, 1005, 1006, 1007, 1008, 1101 00, 1102, 1103, 1104, 1106 10 000 0, 1107, 1201, 1202, 1203 00 000 0, 1204 00, 1205, 1206 00, 1207, 1208, 1209, 1211 (except 1211 30 000 0, 1211 40 000 0), 1212 91, 1212 92 000 0, 1212 99 410 0, 1212 99 490 0, 1212 94 000 0, 1212 99 950 0, 1213 00 000 0, 1401 90 000 0, 1214, 1801 00 000 0, 1802 00 000 0, 2302, 2304 00 000, 2305 00 000 0, 2306, 2530 90 000 0, 2703 00 000 0, 3002 90 500 0, 3002 90 900 0, 3101 00 000 0, 4401 10 000, 440121 000 0, 4401 22 000 0, 4401 39, 4403 (except 4403 10 000), 4404, 1404 90 000 9, 4401 39 900 0, 4406 10 000 0, 4407, 4409, 4415, 4418 40 000 0, 9705 00 000 0</t>
  </si>
  <si>
    <t>0106 - Live animals (excl. horses, asses, mules, hinnies, bovine animals, swine, sheep, goats, poultry, fish, crustaceans, molluscs and other aquatic invertebrates, and microorganic cultures etc.); 0601 - Bulbs, tubers, tuberous roots, corms, crowns and rhizomes, dormant, in growth or in flower, chicory plants and roots (excl. bulbs, tubers and tuberous roots used for human consumption and chicory roots of the variety cichorium intybus sativum); 06049 - - Other:; 0701 - Potatoes, fresh or chilled; 0702 - Tomatoes, fresh or chilled; 0703 - Onions, shallots, garlic, leeks and other alliaceous vegetables, fresh or chilled; 0706 - Carrots, turnips, salad beetroot, salsify, celeriac, radishes and similar edible roots, fresh or chilled; 0602 - Live plants incl. their roots, cuttings and slips; mushroom spawn (excl. bulbs, tubers, tuberous roots, corms, crowns and rhizomes, and chicory plants and roots); 060390 - Dried, dyed, bleached, impregnated or otherwise prepared cut flowers and buds, for bouquets or for ornamental purposes; 0704 - Cabbages, cauliflowers, kohlrabi, kale and similar edible brassicas, fresh or chilled; 0813 - Dried apricots, prunes, apples, peaches, pears, papaws "papayas", tamarinds and other edible fruits, and mixtures of edible and dried fruits or of edible nuts (excl. nuts, bananas, dates, figs, pineapples, avocadoes, guavas, mangoes, mangosteens, citrus fruit and grapes, unmixed); 1102 - Cereal flours (excl. wheat or meslin); 0604 - Foliage, branches and other parts of plants, without flowers or flower buds, and grasses, mosses and lichens, of a kind suitable for bouquets or for ornamental purposes, fresh, dried, dyed, bleached, impregnated or otherwise prepared; 0705 - Lettuce "Lactuca sativa" and chicory "Cichorium spp.", fresh or chilled; 0603 - Cut flowers and flower buds of a kind suitable for bouquets or for ornamental purposes, fresh, dried, dyed, bleached, impregnated or otherwise prepared; 0707 - Cucumbers and gherkins, fresh or chilled; 0801 - Coconuts, Brazil nuts and cashew nuts, fresh or dried, whether or not shelled or peeled; 0804 - Dates, figs, pineapples, avocados, guavas, mangoes and mangosteens, fresh or dried; 0808 - Apples, pears and quinces, fresh; 0901 - Coffee, whether or not roasted or decaffeinated; coffee husks and skins; coffee substitutes containing coffee in any proportion; 090112 - Decaffeinated coffee (excl. roasted); 1103 - Cereal groats, meal and pellets; 1212 - 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 140190 - Reeds, rushes, osier, raffia, cleaned, bleached or dyed cereal straw, lime bark and other vegetable materials of a kind used primarily for plaiting (excl. bamboos and rattans); 140490 - Vegetable products n.e.s; 1802 - Cocoa shells, husks, skins and other cocoa waste; 2302 - Bran, sharps and other residues, whether or not in the form of pellets, derived from the sifting, milling or other working of cereals or of leguminous plants; 2305 - Oil-cake and other solid residues, whether or not ground or in the form of pellets, resulting from the extraction of ground-nut oil; 3101 - Animal or vegetable fertilizers, whether or not mixed together or chemically treated; fertilizers produced by the mixing or chemical treatment of animal or vegetable products (excl. those in pellet or similar forms, or in packages with a gross weight of &lt;= 10 kg); 440610 - Railway or tramway sleepers "cross-ties" of wood, not impregnated; 4409 - Wood, incl. strips and friezes for parquet flooring, not assembled, continuously shaped "tongued, grooved, rebated, chamfered, V-jointed beaded, moulded, rounded or the like" along any of its edges, ends or faces, whether or not planed, sanded or end-jointed; 4415 - Packing cases, boxes, crates, drums and similar packings, of wood; cable-drums of wood; pallets, box pallets and other load boards, of wood; pallet collars of wood (excl. containers specially designed and equipped for one or more modes of transport); 0712 - Dried vegetables, whole, cut, sliced, broken or in powder, but not further prepared; 0802 - Other nuts, fresh or dried, whether or not shelled or peeled (excl. coconuts, Brazil nuts and cashew nuts); 0805 - Citrus fruit, fresh or dried; 0806 - Grapes, fresh or dried; 1002 - Rye; 1203 - Copra; 2304 - Oil-cake and other solid residues, whether or not ground or in the form of pellets, resulting from the extraction of soya-bean oil; 441840 - Wooden shuttering for concrete constructional work (excl. plywood boarding); 0709 - Other vegetables, fresh or chilled (excl. potatoes, tomatoes, alliaceous vegetables, edible brassicas, lettuce "Lactuca sativa" and chicory "Cichorium spp.", carrots, turnips, salad beetroot, salsify, celeriac, radishes and similar edible roots, cucumbers and gherkins, and leguminous vegatables); 0809 - Apricots, cherries, peaches incl. nectarines, plums and sloes, fresh; 1001 - Wheat and meslin; 440121 - Coniferous wood in chips or particles (excl. those of a kind used principally for dying or tanning purposes); 1006 - Rice; 1104 - Cereal grains otherwise worked, e.g. hulled, rolled, flaked, pearled, sliced or kebbled; germ of cereals, whole, rolled, flaked or ground (excl. cereal flours, and husked and semi- or wholly milled rice and broken rice); 1211 - Plants and parts of plants, incl. seeds and fruits, of a kind used primarily in perfumery, medicaments or for insecticidal, fungicidal or similar purposes, fresh or dried, whether or not cut, crushed or powdered; 121299 - Fruit stones and kernels and other vegetable products, incl. unroasted chicory roots of the variety cichorium intybus sativum, of a kind used primarily for human consumption, n.e.s.; 0708 - Leguminous vegetables, shelled or unshelled, fresh or chilled; 0714 - Roots and tubers of manioc, arrowroot, salep, Jerusalem artichokes, sweet potatoes and similar roots and tubers with high starch or inulin content, fresh, chilled, frozen or dried, whether or not sliced or in the form of pellets; sago pith; 0803 - Bananas, incl. plantains, fresh or dried; 1101 - Wheat or meslin flour; 1107 - Malt, whether or not roasted; 1204 - Linseed, whether or not broken; 1209 - Seeds, fruits and spores, for sowing (excl. leguminous vegetables and sweetcorn, coffee, tea, mate and spices, cereals, oil seeds and oleaginous fruits, and seeds and fruit used primarily in perfumery, medicaments or for insecticidal, fungicidal or similar purposes); 4404 - Hoopwood; split poles; piles, pickets and stakes of wood, pointed but not sawn lengthwise; wooden stickes, roughly trimmed but not turned, bent or otherwise worked, for the manufacture of walking-sticks, umbrellas, tool handles or the like; chipwood, wooden slats and strips and the like (excl. hoopwood cut to length and chamfered; brush surrounds and shoe trees); 0713 - Dried leguminous vegetables, shelled, whether or not skinned or split; 0810 - Fresh strawberries, raspberries, blackberries, back, white or redcurrants, gooseberries and other edible fruits (excl. nuts, bananas, dates, figs, pineapples, avocadoes, guavas, mangoes, mangosteens, papaws "papayas", citrus fruit, grapes, melons, apples, pears, quinces, apricots, cherries, peaches, plums and sloes); 090111 - Coffee (excl. roasted and decaffeinated); 1007 - Grain sorghum; 1008 - Buckwheat, millet, canary seed and other cereals (excl. wheat and meslin, rye, barley, oats, maize, rice and grain sorghum); 1202 - Ground-nuts, whether or not shelled or broken (excl. roasted or otherwise cooked); 1205 - Rape or colza seeds, whether or not broken; 1207 - Other oil seeds and oleaginous fruits, whether or not broken (excl. edible nuts, olives, soya beans, ground-nuts, copra, linseed, rape or colza seeds and sunflower seeds); 1213 - Cereal straw and husks, unprepared, whether or not chopped, ground, pressed or in the form of pellets; 300290 - Human blood; animal blood prepared for therapeutic, prophylactic or diagnostic uses; toxins, cultures of micro-organisms and similar products (excl. yeasts and vaccines); 440110 - Fuel wood, in logs, billets, twigs, faggots or similar forms; 121291 - Sugar beet, fresh, chilled, frozen or dried, whether or not ground;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 440122 - Wood in chips or particles (excl. those of a kind used principally for dying or tanning purposes, and coniferous wood); 4403 - Wood in the rough, whether or not stripped of bark or sapwood, or roughly squared (excl. rough-cut wood for walking sticks, umbrellas, tool shafts and the like; wood in the form of railway sleepers; wood cut into boards or beams, etc.); 0807 - Melons, incl. watermelons, and papaws "papayas", fresh; 1003 - Barley; 1004 - Oats; 1005 - Maize or corn; 1106 - 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 1201 - Soya beans, whether or not broken; 1206 - Sunflower seeds, whether or not broken; 1208 - Flours and meals of oil seeds or oleaginous fruits (excl. mustard); 1801 - Cocoa beans, whole or broken, raw or roasted; 253090 - Arsenic sulfides, alunite, pozzuolana, earth colours and other mineral substances, n.e.s.; 2703 - Peat, incl. peat litter, whether or not agglomerated; 4407 - Wood sawn or chipped lengthwise, sliced or barked, whether or not planed, sanded or end-jointed, of a thickness of &gt; 6 mm</t>
  </si>
  <si>
    <t>Pests; Territory protection</t>
  </si>
  <si>
    <t xml:space="preserve">Pakistan </t>
  </si>
  <si>
    <t>Draft of the technical regulation of the Customs Union "Requirements to coal and coal processing products" (18 pages, in Russian).</t>
  </si>
  <si>
    <t xml:space="preserve">Draft of the Technical Regulation of the Customs Union covers coal and ;
coal processing products to be marketed on the common customs territory of the ;
Customs Union</t>
  </si>
  <si>
    <t>Coal and coal processing products</t>
  </si>
  <si>
    <t xml:space="preserve">The draft of ;
the technical regulation of ;
the Customs Union "Requirements to coal and coal processing products" httpwwweurasiancommissionorgruacttexnregdeptexregtrPagesprojectsPublicaspx</t>
  </si>
  <si>
    <t>The document introduces amendments to CU legislation specifically to the Annex of the CU veterinary requirements. The Annex deals with the list of veterinary - sanitary measures (forms of veterinary control) applied to the imported goods. These amendments adjust CU legislation in accordance with the commitments of the Russian Federation in the WPR, Table 41.</t>
  </si>
  <si>
    <t>Draft of the Eurasian Economic Commission Collegium Decision on amendments to the Common veterinary (veterinary and sanitary) requirements relating to listing of third countries establishments which produced raw materials of animal origin</t>
  </si>
  <si>
    <t>The Russian Federation notified amendments to the Common veterinary (veterinary and sanitary) requirements relating to listing of third countries establishments which produced raw materials of animal origin in G/SPS/N/RUS/15 (6 March 2013). The notified draft proposal is withdrawn.</t>
  </si>
  <si>
    <t>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3502 - Albumins, incl. concentrates of two or more whey proteins containing by weight &gt; 80% whey proteins, calculated on the dry matter, albuminates and other albumin derivatives;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2301 - Flours, meals and pellets, of meat or meat offal, of fish or of crustaceans, molluscs or other aquatic invertebrates, unfit for human consumption; greaves;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1604 - Prepared or preserved fish; caviar and caviar substitutes prepared from fish eggs; 190220 - Pasta, stuffed with meat or other substances, whether or not cooked or otherwise prepared;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2104 - Soups and broths and preparations therefor; food preparations consisting of finely homogenized mixtures of two or more basic ingredients such as meat, fish, vegetables or fruit, put up for retail sale as infant food or for dietetic purposes, in containers of &lt;= 250 g; 0210 - Meat and edible offal, salted, in brine, dried or smoked; edible flours and meals of meat or meat offal; 0301 - Live fish; 2309 - Preparations of a kind used in animal feeding; 190420 - Prepared foods obtained from unroasted cereal flakes or from mixtures of unroasted cereal flakes and roasted cereal flakes or swelled cereals;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t>
  </si>
  <si>
    <t>Draft of the Eurasian Economic Commission Collegium Decision on amendments to the Common veterinary (veterinary and sanitary) requirements</t>
  </si>
  <si>
    <t xml:space="preserve">The Russian Federation notified draft of the Eurasian Economic Commission Collegium Decision on amendments to the Common veterinary (veterinary and sanitary) requirements, adopted by the Decision of the Customs Union (CU) Commission No. 317 as of 18 June 2010, in G/SPS/N/RUS/23 (19 April 2013). The Decision was adopted by the Collegium of the Eurasian Economic Commission on 10 September 2013 No. 192. The Decision will enter into force 30 calendar days after it is officially published. The publication was on 11 September 2013 at the Eurasian Economic Commission website:_x000D_
http://www.eurasiancommission.org/docs/Download.aspx?IsDlg=0&amp;ID=4651&amp;print=1_x000D_
The relevant amendments were introduced into the CU Commission Decision as of 7 April 2011 No. 607 on Common forms of certificates for goods subject to veterinary control. This document adjusts CU forms of veterinary certificates in accordance with the above mentioned amendments to the CU veterinary requirements. Amendments to the CU forms of veterinary certificates were adopted by the Decision of the Collegium of the Eurasian Economic Commission on 10 September 2013 No. 193. The Decision will enter into force 30 calendar days after it is officially published. The publication was on 11 September 2013 at the Eurasian Economic Commission website:_x000D_
http://www.eurasiancommission.org/docs/Download.aspx?IsDlg=0&amp;ID=4653&amp;print=1</t>
  </si>
  <si>
    <t>0104 - Live sheep and goats;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1502 - Fats of bovine animals, sheep or goats (excl. lard stearin, lard oil, oleostearin, oleooil and tallow oil, not emulsified or mixed or otherwise prepared);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3501 - Casein, caseinates and other casein derivatives; casein glues (excl. those packaged as glue for retail sale and weighing &lt;= 1 kg); 0407 - Birds' eggs, in shell, fresh, preserved or cooked; 1503 - Lard stearin, lard oil, oleostearin, oleo-oil and tallow oil (excl. emulsified, mixed or otherwise prepared);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2309 - Preparations of a kind used in animal feeding; 4206 - Articles of gut, goldbeater's skin, bladders or tendons (excl. silkworm gut, sterile catgut, other sterile surgical suture material and strings for musical instruments); 0101 - Live horses, asses, mules and hinnies;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151620 - Vegetable fats and oils and their fractions, partly or wholly hydrogenated, inter-esterified, re-esterified or elaidinized, whether or not refined, but not further prepared;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0511 - Animal products n.e.s.; dead animals of all types, unfit for human consumption; 151610 - Animal fats and oils and their fractions, partly or wholly hydrogenated, inter-esterified, re-esterified or elaidinized, whether or not refined, but not further prepared; 3502 - Albumins, incl. concentrates of two or more whey proteins containing by weight &gt; 80% whey proteins, calculated on the dry matter, albuminates and other albumin derivatives; 1504 - Fats and oils and their fractions of fish or marine mammals, whether or not refined (excl. chemically modified); 3503 - Gelatin, whether or not in square or rectangular sheets, whether or not surface-worked or coloured, and gelatin derivatives; isinglass; other glues of animal origin (excl. those packaged as glue for retail sale and weighing &lt;= 1 kg, and casein glues of heading 3501); 0105 - Live poultry, "fowls of the species Gallus domesticus, ducks, geese, turkeys and guinea fowls";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0410 - Turtles' eggs, birds' nests and other edible products of animal origin, n.e.s.</t>
  </si>
  <si>
    <d:r xmlns:d="http://schemas.openxmlformats.org/spreadsheetml/2006/main">
      <d:rPr>
        <d:sz val="11"/>
        <d:rFont val="Calibri"/>
      </d:rPr>
      <d:t xml:space="preserve">http://www.eurasiancommission.org/docs/Download.aspx?IsDlg=0&amp;amp;ID=4651&amp;amp;print=1
http://www.eurasiancommission.org/docs/Download.aspx?IsDlg=0&amp;amp;ID=4653&amp;amp;print=1</d:t>
    </d:r>
  </si>
  <si>
    <t>Letter of the Federal Service for Customers' Rights Protection and Human Well-Being regarding the temporary suspension on import of milk and dairy products produced by Fonterra (New Zealand)</t>
  </si>
  <si>
    <t>The Russian Federation notified the measure regarding the temporary suspension on import of milk and dairy products produced by Fonterra (New Zealand) in G/SPS/N/RUS/30 (16 August 2013). The notified measure is eliminated by the Federal Service for Customers' Rights Protection and Human Well-Being on 5 September 2013.</t>
  </si>
  <si>
    <t>Draft of the technical regulation of the Customs Union «Requirements to liquefied petroleum gases to be used as fuel» (16 pages, in Russian).</t>
  </si>
  <si>
    <t>The Technical Regulation of the Customs Union covers liquefied petroleum gases to be marketed on the common customs territory of the Customs Union and used as fuel for domestic, industrial consumption, as well as fuel for motor vehicles.</t>
  </si>
  <si>
    <t xml:space="preserve">liquefied petroleum  gases to be used as fuel</t>
  </si>
  <si>
    <t>75.160.30 - Gaseous fuels</t>
  </si>
  <si>
    <t xml:space="preserve">The draft of the technical regulation of the Customs Union _x000D_
«Requirements to liquefied petroleum gases to be used as fuel» httpwwweurasiancommissionorgruacttexnregdeptexregtrPagesprojectsPublicaspx </t>
  </si>
  <si>
    <t xml:space="preserve">Draft of the technical regulation of the Customs Union "On safety of amusement machines" (58 pages, in Russian). ;
</t>
  </si>
  <si>
    <t xml:space="preserve">The technical regulation of the Customs Union covers amusement machines to be marketed on the common territory of the Customs Union._x000D_
</t>
  </si>
  <si>
    <t>Amusement machines</t>
  </si>
  <si>
    <t xml:space="preserve">Draft of the technical regulation of the Customs Union _x000D_
«On safety of amusement machines»  httpwwweurasiancommissionorgruacttexnregdeptexregtrPagesprojectsPublicaspx</t>
  </si>
  <si>
    <t xml:space="preserve">Draft of amendments to the technical regulation of the Customs Union «On safety of packaging» (CU TR 005/2011) ;
(12 pages, in Russian). ;
</t>
  </si>
  <si>
    <t>Clarification of certain provisions and addition of certain requirements for recycling  of packaging (closures).</t>
  </si>
  <si>
    <t>Packaging and Closures</t>
  </si>
  <si>
    <t>Draft of amendments to the technical regulation of the Customs Union «On safety of packaging» (CU TR 005/2011)httpwwweurasiancommissionorgruacttexnregdeptexregtrPagesprojectsPublicaspxTechnical Regulation of the Customs Union «On safety of packaging» (CU TR 005/2011)httpwwweurasiancommissionorgruacttexnregdeptexregtrPagesbezopypakovkiaspx</t>
  </si>
  <si>
    <t xml:space="preserve">Draft of amendments to the technical regulation of the Customs Union «On safety of machines and equipment» (CU TR 010/2011) ;
(2 pages, in Russian). ;
</t>
  </si>
  <si>
    <t>Clarification of forms of conformity confirmation with technical regulations for technological equipment for trade enterprises, catering facilities and food units (paragraphs 9 and 46 of the Annex 3), as well as elimination  of a technical mistake in paragraph 5 of the Article 1 of the technical regulation.</t>
  </si>
  <si>
    <t>Machines and Equipment</t>
  </si>
  <si>
    <t>25.020 - Manufacturing forming processes; 55.200 - Packaging machinery; 55.230 - Distribution and vending machines</t>
  </si>
  <si>
    <t xml:space="preserve">Draft of amendments to the technical regulation of the Customs Union «On safety of machines and equipment» (CU TR 010/2011)httpwwweurasiancommissionorgruacttexnregdeptexregtrPagesprojectsPublicaspxTechnical Regulation of the Customs Union «On safety of machines and equipment_x000D_
(CU TR 010/2011)http://www.eurasiancommission.org/ru/act/texnreg/deptexreg/tr/Pages/bezopMashines.aspx</t>
  </si>
  <si>
    <t>Draft of the Eurasian Economic Commission Council Decision on amendments to the Annex 2 of the Customs Union (CU) Commission Decision on the application of the sanitary measures in the Customs Union No. 299 as of 28 May 2010</t>
  </si>
  <si>
    <t>The document introduces amendments CU legislation specifically to the CU list of infectious (parasitic) diseases, which required carrying out arrangements on sanitary protection of the customs territory of the CU. These amendments will correct technical mistakes and adjust the list to the international disease classification. This list relates to the infectious (parasitic) diseases of humans.</t>
  </si>
  <si>
    <t>The list of the infectious (parasitic) diseases of humans. It is not related to trade in goods.</t>
  </si>
  <si>
    <t>Protect humans from animal/plant pest or disease (SPS); Protect territory from other damage from pests (SPS)</t>
  </si>
  <si>
    <t>Human health; Pests; Territory protection</t>
  </si>
  <si>
    <t>Draft of the Eurasian Economic Commission Collegium Decision on amendments to the Customs Union Commission Decision on application of international standards, recommendations and guidelines No. 721 as of 22 June 2011</t>
  </si>
  <si>
    <t>The document introduces amendments to adjust CU legislation to the WTO SPS Agreement. Point 2 of the CU Commission Decision No. 721 will be amended in accordance with Article 3.3 of the WTO SPS Agreement.</t>
  </si>
  <si>
    <t xml:space="preserve">Common list of goods subject to veterinary control, adopted by the Customs Union (CU) Commission Decision on application of veterinary and sanitary measures in the CU No. 317 as of 18 June 2010;_x000D_
Common list of regulated products subject to quarantine control, adopted by the Customs Union Commission Decision on plant quarantine in the CU No. 318 as of 18 June 2010;_x000D_
Common list of goods subject to sanitary and epidemiological control, adopted by the Customs Union Commission Decision on application of sanitary measures in the CU No. 299 as of 28 May 2010.</t>
  </si>
  <si>
    <t>Food safety; Territory protection; Adoption/publication/entry into force of reg.; Certification, control and inspection; Plant health; Animal health; Human health</t>
  </si>
  <si>
    <t>Letter of the Federal Service for Consumers' Rights Protection and Human Well-Being of 03/08/2013 No. 01/8825-13-23</t>
  </si>
  <si>
    <t>This letter introduces a temporary suspension on import of milk and dairy products produced by Fonterra (New Zealand) or products of other companies containing whey protein produced by Fonterra (New Zealand), especially the products intended to be used as infant nutrition (Nutricia Karicare Infant Formula Stage 1, Nutricia Karicare Gold+ Stage 2 Follow On Formula). This measure is connected to case of contamination of the products with Clostridium Botulinum according to the information of New Zealand competent authorities. The measure will be upheld until the Russian Federation gets appropriate explanations of New Zealand competent authorities and corresponding necessary measures to contain the contaminated products will be enforced.</t>
  </si>
  <si>
    <t>HS Codes: 0401, 0402, 0403, 0404, 0405, 0406</t>
  </si>
  <si>
    <t>Food safety; Contaminants; Bacteria; Toxins; Human health</t>
  </si>
  <si>
    <t>Temporary restrictions on import of seed and ware potato, plants for planting of fruit, ornamental and forest ornamental crops, plants grown in the protected ground (hereinafter - plant products) from the European Union to the Russian Federation</t>
  </si>
  <si>
    <t xml:space="preserve">The Russian Federation notified temporary restrictions on import of certain types of plant products from the European Union to the Russian Federation in G/SPS/N/RUS/22 (3 April 2013)._x000D_
Date of entry into force was changed and the Russian Federation notified it in G/SPS/N/RUS/22/Add.1 (5 June 2013)._x000D_
On 1 July 2013 the Russian Federation introduced temporary restrictions on import of certain types of plant products from the European Union to the Russian Federation in particular on seed and ware potato, plants for planting with the exception for import from the nurseries at the territory of the EU members which have been authorized as consistent with the international standards. These nurseries are free from pests of quarantine concern for Russia. The authorization has been given on basis of the results of joint inspections. The following HS codes are subject to the measure:_x000D_
0602 10; 0602 10 100 0; 0602 10 900 0; 0602 20; 0602 20 100 0; 0602 20 900 0; 0602 30 000 0; 0602 40 000 0; 0602 90 300 0; 0602 90 410 0; 0602 90 450 0; 0602 90 490 0; 0602 90 500 0; 0602 90 700 0; 0701; 0701 10 000 0; 0701 90; 0701 90 100 0; 0701 90 500 0; 0701 90 900 0.</t>
  </si>
  <si>
    <t>060230 - Rhododendrons and azaleas, grafted or not; 070110 - Seed potatoes; 060210 - Unrooted cuttings and slips; 060220 - Edible fruit or nut trees, shrubs and bushes, whether or not grafted; 070190 - Fresh or chilled potatoes (excl. seed); 0701 - Potatoes, fresh or chilled; 060240 - Roses, whether or not grafted; 060290 - Live plants, incl. their roots, and mushroom spawn (excl. bulbs, tubers, tuberous roots, corms, crowns and rhizomes, incl. chicory plants and roots, unrooted cuttings and slips, fruit and nut trees, rhododendrons, azaleas and roses)</t>
  </si>
  <si>
    <t>Draft of the Eurasian Economic Commission Council Decision on amendments to the Customs Union (CU) Commission Decision on Common veterinary (veterinary and sanitary) requirements No. 317 as of 18 June 2010</t>
  </si>
  <si>
    <t xml:space="preserve">The document introduces amendments to CU legislation specifically to the CU veterinary requirements. _x000D_
This document amends 1 - 5 Chapters of the existing veterinary requirements regarding Schmallenberg disease. Besides the document establishes two new Chapters:_x000D_
- for gelatine, collagen, glue of animal origin for import and transfer between the CU Parties;_x000D_
- for import and transfer between the CU Parties of live of Lumbricus for breeding._x000D_
</t>
  </si>
  <si>
    <t>0102, 0104, 2309, 3503 00</t>
  </si>
  <si>
    <t>0102 - Live bovine animals; 2309 - Preparations of a kind used in animal feeding; 3503 - Gelatin, whether or not in square or rectangular sheets, whether or not surface-worked or coloured, and gelatin derivatives; isinglass; other glues of animal origin (excl. those packaged as glue for retail sale and weighing &lt;= 1 kg, and casein glues of heading 3501); 0104 - Live sheep and goats</t>
  </si>
  <si>
    <t>Draft of the Eurasian Economic Commission Collegium Decision on amendments to the Customs Union (CU) Commission Decision on Common forms of veterinary certificates for goods subject to veterinary control (supervision) from third countries No. 607 as of 7 April 2011.</t>
  </si>
  <si>
    <t xml:space="preserve">The document introduces amendments to CU legislation specifically to the CU forms of veterinary certificates. _x000D_
This document establishes two new forms of veterinary certificates:_x000D_
- Form No. 41 for export to the CU territory of live of Lumbricus;_x000D_
- Form No. 42 for export to the CU territory of gelatine, collagen, glue of animal origin.</t>
  </si>
  <si>
    <t>2309, 3503 00</t>
  </si>
  <si>
    <t>3503 - Gelatin, whether or not in square or rectangular sheets, whether or not surface-worked or coloured, and gelatin derivatives; isinglass; other glues of animal origin (excl. those packaged as glue for retail sale and weighing &lt;= 1 kg, and casein glues of heading 3501); 2309 - Preparations of a kind used in animal feeding</t>
  </si>
  <si>
    <t>Animal health; Human health; Food safety; Pests</t>
  </si>
  <si>
    <t>Draft of the Eurasian Economic Commission Council Decision on amendments to the Customs Union Commission Decision on Regulation on Common procedure for conduct of veterinary control at the Customs border of the Customs Union and within the Customs territory of the Customs Union (CU) No. 317 as of 18 June 2010</t>
  </si>
  <si>
    <t xml:space="preserve">The document introduces amendments to CU legislation specifically to the CU procedure for conduct of veterinary control. _x000D_
This document determines the technical requirements for blanks of the veterinary certificates on imported goods. The aim of these amendments is to prevent falsification of the veterinary certificates._x000D_
</t>
  </si>
  <si>
    <t>0101, 0102, 0103, 0104, 0105, 0106, 0201, 0202, 0203, 0204, 0205 00, 0206, 0207, 0208, 0209, 0210, 0301, 0302, 0303, 0304, 0305, 0306, 0307, 0308, from 0401, 0402, 0403, 0404, 0405, 0406, 0407, 0408, 0409 00, 0410 00, 0502, 0504 00, 0505, 0506, 0507, 1001 19 000 0, 1001 99 000 0, 1002 90 000 0, 1003 90 000 0, 1004 90 000 0, 1005 90 000 0, 1201 90 000 0, from 1208, from 1211, from 1212 9, 1213 00, 1214, from 1301 90 000 0, 1501, 1502, 1521 90, 1601 00, 1602, 1603, 1604, 1605, 1902 20, 1904 20, from group 20, from 2104, from 2105, from 2106, 2301, from 2302, from 2303, from 2304 00, from 2306, 2308 00, 2309, from 3501, 3502, 3503 00, 3504 00, 4101, 4102, 4103, 4206 00, 4301, 5101, 5102, 5103, from 9508 10</t>
  </si>
  <si>
    <t>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0301 - Live fish; 1301 - Lac; natural gums, resins, gum-resins, balsams and other natural oleoresins; 2309 - Preparations of a kind used in animal feeding; 4103 - 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 4206 - Articles of gut, goldbeater's skin, bladders or tendons (excl. silkworm gut, sterile catgut, other sterile surgical suture material and strings for musical instruments); 152190 - Beeswax, other insect waxes and spermaceti, whether or not refined or coloured; 190420 - Prepared foods obtained from unroasted cereal flakes or from mixtures of unroasted cereal flakes and roasted cereal flakes or swelled cereals; 0407 - Birds' eggs, in shell, fresh, preserved or cooked; 0506 - Bones and horn-cores and their powder and waste, unworked, defatted, simply prepared, treated with acid or degelatinised (excl. cut to shape); 3503 - Gelatin, whether or not in square or rectangular sheets, whether or not surface-worked or coloured, and gelatin derivatives; isinglass; other glues of animal origin (excl. those packaged as glue for retail sale and weighing &lt;= 1 kg, and casein glues of heading 3501); 3504 - Peptones and their derivatives; other albuminous substances and their derivatives, n.e.s.; hide powder, whether or not chromed; 4101 - Raw hides and skins of bovine "incl. buffalo" or equine animals, fresh, or salted, dried, limed, pickled or otherwise preserved, whether or not dehaired or split (excl. tanned, parchment-dressed or further prepared); 4301 - Raw furskins, incl. heads, tails, paws and other pieces or cuttings suitable for use in furriery (excl. raw hides and skins of heading 4101, 4102 or 4103); 0105 - Live poultry, "fowls of the species Gallus domesticus, ducks, geese, turkeys and guinea fowls";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0409 - Natural honey; 0410 - Turtles' eggs, birds' nests and other edible products of animal origin, n.e.s.; 1213 - Cereal straw and husks, unprepared, whether or not chopped, ground, pressed or in the form of pellets; 0104 - Live sheep and goats;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1501 - Pig fat, incl. lard, and poultry fat, rendered or otherwise extracted (excl. lard stearin and lard oil); 1502 - Fats of bovine animals, sheep or goats (excl. lard stearin, lard oil, oleostearin, oleooil and tallow oil, not emulsified or mixed or otherwise prepared); 1604 - Prepared or preserved fish; caviar and caviar substitutes prepared from fish eggs; 2306 - Oil-cake and other solid residues, whether or not ground or in the form of pellets, resulting from the extraction of vegetable fats or oils (excl. from soya-bean oil and ground-nut oil); 190220 - Pasta, stuffed with meat or other substances, whether or not cooked or otherwise prepared;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1211 - Plants and parts of plants, incl. seeds and fruits, of a kind used primarily in perfumery, medicaments or for insecticidal, fungicidal or similar purposes, fresh or dried, whether or not cut, crushed or powdered;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3502 - Albumins, incl. concentrates of two or more whey proteins containing by weight &gt; 80% whey proteins, calculated on the dry matter, albuminates and other albumin derivatives;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1003 - Barley; 1004 - Oats; 1005 - Maize or corn; 1201 - Soya beans, whether or not broken; 1208 - Flours and meals of oil seeds or oleaginous fruits (excl. mustard);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1002 - Rye; 2105 - Ice cream and other edible ice, whether or not containing cocoa;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4102 - Raw skins of sheep or lambss, fresh, or salted, dried, limed, pickled or otherwise preserved, whether or not dehaired or split (excl. those with wool on, fleeces of Astrakhan, Caracul, Persian, Broadtail or similar lambs, or of Indian, Chinese, Mongolian or Tibetan lambs and tanned, parchment-dressed or further prepared); 5103 - Waste of wool or of fine or coarse animal hair, incl. yarn waste (excl. garnetted stock, waste of hair and bristles used in the manufacture of brooms and brushes, and of horsehair from the mane or tail); 0101 - Live horses, asses, mules and hinnies;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2104 - Soups and broths and preparations therefor; food preparations consisting of finely homogenized mixtures of two or more basic ingredients such as meat, fish, vegetables or fruit, put up for retail sale as infant food or for dietetic purposes, in containers of &lt;= 250 g;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5101 - Wool, neither carded nor combed; 5102 - Fine or coarse animal hair, neither carded nor combed (excl. wool, hair and bristles used in the manufacture of brooms and brushes, and horsehair from the mane or tail); 1603 - Extracts and juices of meat, fish or crustaceans, molluscs and other aquatic invertebrates; 2106 - Food preparations, n.e.s.; 950810 - Travelling circuses and travelling menageries; 1601 - Sausages and similar products, of meat, offal or blood; food preparations based on these products; 12129 - - Other:</t>
  </si>
  <si>
    <t>Food safety; Animal health; Human health; Change in date of adoption/publication/entry into force; Certification, control and inspection; Modification of content/scope of regulation</t>
  </si>
  <si>
    <t>Temporary restriction on import of seed and ware potatoes, plants for planting of fruit, ornamental and forest ornamental crops, plants grown in the protected ground (hereinafter - plant products) from the European Union to the Russian Federation</t>
  </si>
  <si>
    <t>The Russian Federation notified temporary restriction on import of certain types of plant products from the European Union to the Russian Federation, G/SPS/N/RUS/22 (3 April 2013). Date of entry into force is changed. Proposed date of entry into force is 1 July 2013.</t>
  </si>
  <si>
    <t>060240 - Roses, whether or not grafted; 060290 - Live plants, incl. their roots, and mushroom spawn (excl. bulbs, tubers, tuberous roots, corms, crowns and rhizomes, incl. chicory plants and roots, unrooted cuttings and slips, fruit and nut trees, rhododendrons, azaleas and roses); 0701 - Potatoes, fresh or chilled; 060210 - Unrooted cuttings and slips; 060220 - Edible fruit or nut trees, shrubs and bushes, whether or not grafted; 070190 - Fresh or chilled potatoes (excl. seed); 060230 - Rhododendrons and azaleas, grafted or not; 070110 - Seed potatoes</t>
  </si>
  <si>
    <t xml:space="preserve">Draft of amendments to the Customs Union Technical Regulation «On safety of food products» ;
(15 pages, in Russian). ;
</t>
  </si>
  <si>
    <t>Clarification of certain food safety requirements and norms; elimination of duplication of safety requirements; adjustment of food products description in accordance with adopted Customs Union Technical Regulations; correction of technical mistakes.</t>
  </si>
  <si>
    <t>food products</t>
  </si>
  <si>
    <t>The Russian Federation notified amendments to the Customs Union Technical Regulation "On safety of food products", adopted by the Decision of the Customs Union (CU) Commission No. 880 as of 9 December 2011 in G/SPS/N/RUS/25 (13 May 2013). Final date for comments is extended to 12 July 2013.</t>
  </si>
  <si>
    <t>Modification of final date for comments</t>
  </si>
  <si>
    <t>The Russian Federation notified amendments to the Customs Union Technical Regulation "On safety of grain", adopted by the Decision of the Customs Union (CU) Commission No. 874 as of 9 December 2011 in G/SPS/N/RUS/26 (13 May 2013). Final date for comments is extended to 12 July 2013.</t>
  </si>
  <si>
    <t xml:space="preserve">Draft amendments to the Customs Union Technical Regulation «On safety of grain» ;
(12 pages, in Russian). ;
</t>
  </si>
  <si>
    <t>1) Annex 2 of the Customs Union Technical Regulation «On safety of grain» was amended by adding the characteristic of the maximum permissible level of cadmium in sunflower seeds intended for food purposes, registered in the Unified Sanitary-Epidemiological Requirements for Products Subject to Sanitary-Epidemiological Surveillance (control), approved by the Decision ¹ 299 of the Commission of the Customs Union on May 28, 2010 «On the application of sanitary measures in the Customs Union»;2) Annex 6 of the Customs Union Technical Regulation «On safety of grain» was amended by adding the characteristic, envisaged in the Unified Sanitary-Epidemiological Requirements in terms of maximum permissible levels of residues of active ingredients of pesticides  in grain.</t>
  </si>
  <si>
    <t>67.060 - Cereals, pulses and derived products</t>
  </si>
  <si>
    <t xml:space="preserve">Draft amendments to the Customs Union Technical Regulation «Technical Regulation on oil and fat products » ;
(2 pages, in Russian). ;
</t>
  </si>
  <si>
    <t>Clarification of requirements on marking of oil and fat products.</t>
  </si>
  <si>
    <t>Draft of the Eurasian Economic Commission Collegium Decision on Guidelines for inspectors regarding the equivalence of veterinary and sanitary measures related to inspections of objects subject to veterinary control (supervision) in third countries</t>
  </si>
  <si>
    <t>The Russian Federation notified Guidelines for inspectors regarding the equivalence of veterinary and sanitary measures related to inspections of objects subject to veterinary control (supervision) in third countries in G/SPS/N/RUS/6 (4 January 2013). The notified draft proposal is withdrawn. These Guidelines will be adopted as an Annex to the Customs Union Commission Decision on Common System of Joint Inspection of Objects and Sampling Goods (Products) Subject to Veterinary Control (Supervision) No. 834 as of 18 October 2011.</t>
  </si>
  <si>
    <t>03 - FISH AND CRUSTACEANS, MOLLUSCS AND OTHER AQUATIC INVERTEBRATES; 02 - MEAT AND EDIBLE MEAT OFFAL; 04 - DAIRY PRODUCE; BIRDS' EGGS; NATURAL HONEY; EDIBLE PRODUCTS OF ANIMAL ORIGIN, NOT ELSEWHERE SPECIFIED OR INCLUDED</t>
  </si>
  <si>
    <t>Draft of the Eurasian Economic Commission Council Decision on amendments to the Customs Union Technical Regulation "On safety of grain", adopted by the Decision of the Customs Union (CU) Commission No. 874 as of 9 December 2011</t>
  </si>
  <si>
    <t xml:space="preserve">The document introduces amendments to CU legislation specifically to the CU obligatory requirements for grain, into:_x000D_
1) Annex 2 of the Customs Union Technical Regulation "On safety of grain". The Annex will be supplemented by MRL for cadmium in sunflower seeds intended for food consumption;_x000D_
2) Annex 6 of the Customs Union Technical Regulation "On safety of grain". The Annex will be supplemented by MRL for pesticides in grain._x000D_
These amendments will adjust the Customs Union Technical Regulation "On safety of grain" in accordance with Common sanitary-epidemiological requirements (CU Commission Decision No. 299 as of 28 May 2010).</t>
  </si>
  <si>
    <t>Human health; Pesticides; Maximum residue limits (MRLs); Contaminants; Heavy metals; Food safety</t>
  </si>
  <si>
    <d:r xmlns:d="http://schemas.openxmlformats.org/spreadsheetml/2006/main">
      <d:rPr>
        <d:sz val="11"/>
        <d:rFont val="Calibri"/>
      </d:rPr>
      <d:t xml:space="preserve">http://www.tsouz.ru/db/techreglam/Documents/IzmZernPO.pdf</d:t>
    </d:r>
  </si>
  <si>
    <t>Amendments to the Customs Union Commission Decision on Common System of Joint Inspection of Objects and Sampling Goods (Products) Subject to Veterinary Control (Supervision) No. 834 as of 18 October 2011</t>
  </si>
  <si>
    <t xml:space="preserve">The Russian Federation notified amendments to the Customs Union Commission Decision on Common System of Joint Inspection of Objects and Sampling Goods (Products) Subject to Veterinary Control (Supervision) No. 834 as of 18 October 2011 in G/SPS/N/RUS/14 (27 February 2013). During public discussion procedure of this document certain comments and proposals have been received. As a result the document has been supplemented with the guidelines for inspectors regarding the equivalence of veterinary and sanitary measures and with the guidelines for inspections of third countries establishments. _x000D_
_x000D_
Document is available in Russian (105 pages). _x000D_
_x000D_
Proposed date of adoption (dd/mm/yy): August 2013;_x000D_
Proposed date of publication (dd/mm/yy): August 2013;_x000D_
Proposed date of entry into force: September 2013.</t>
  </si>
  <si>
    <t>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0203 - Meat of swine, fresh, chilled or frozen; 1604 - Prepared or preserved fish; caviar and caviar substitutes prepared from fish eggs;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0210 - Meat and edible offal, salted, in brine, dried or smoked; edible flours and meals of meat or meat offal; 0301 - Live fish</t>
  </si>
  <si>
    <t>Modification of content/scope of regulation; Change in date of adoption/publication/entry into force</t>
  </si>
  <si>
    <t>Draft of the Eurasian Economic Commission Council Decision on amendments to the Customs Union Technical Regulation "On safety of food products", adopted by the Decision of the Customs Union (CU) Commission No. 880 as of 9 December 2011</t>
  </si>
  <si>
    <t>The document introduces amendments to CU legislation specifically to the CU obligatory requirements for food products. These amendments clarify certain food safety requirements and norms; eliminate duplication of safety requirements; adjust food products description in accordance with adopted Customs Union Technical Regulations; introduce changes in accordance with the amended Common sanitary-epidemiological requirements (CU Commission Decision No. 299 as of 28 May 2010) and Common veterinary requirements (CU Commission Decision No. 317 as of 18 June 2010); correct technical mistakes.</t>
  </si>
  <si>
    <d:r xmlns:d="http://schemas.openxmlformats.org/spreadsheetml/2006/main">
      <d:rPr>
        <d:sz val="11"/>
        <d:rFont val="Calibri"/>
      </d:rPr>
      <d:t xml:space="preserve">http://www.tsouz.ru/db/techreglam/Documents/PrIzmPischPO.pdf</d:t>
    </d:r>
  </si>
  <si>
    <t>Letter of the Federal Service for Veterinary and Phytosanitary Surveillance No. FS-AS-3/5042 as of 30 April 2013</t>
  </si>
  <si>
    <t>The letter introduces a temporary restriction on import of ware potato from Egypt to Russia due to detection of brown rot of potato (Ralstonia solanacearum (Smith) Yabuuchi et al.) in shipments. The measure applies for import of ware potato from 11 agricultural areas: 45.10.02.10; 45.10.03.28; 45.10.03.34; 45.10.47.88; 45.11.37.15; 45.11.40.01; 45.13.16.01; 55.15.01.03; 55.15.06.19; 55.15.07.23; 97.01.21.50.</t>
  </si>
  <si>
    <t>Ware potato</t>
  </si>
  <si>
    <t>Amendments to the Customs Union Commission Decision on Common System of Joint Inspection of Objects and Sampling Goods (Products) Subject to Veterinary Control (Supervision) No. 834 as of 18 October 2011.</t>
  </si>
  <si>
    <t xml:space="preserve">The Russian Federation notified amendments to the Customs Union Commission Decision on Common System of Joint Inspection of Objects and Sampling Goods (Products) Subject to Veterinary Control (Supervision) No. 834 as of 18 October 2011 in G/SPS/N/RUS/14 (27 February 2013). During public discussion procedure of this document certain comments and proposals have been received. As a result points 43 and 44 of the document have been corrected. Deadlines for consideration of requests from third countries by the competent authorities of Customs Union members have been specified in the document._x000D_
Document available in Russian (11 pages)._x000D_
Proposed date of adoption (dd/mm/yy): July 2013;_x000D_
Proposed date of publication (dd/mm/yy): July 2013;_x000D_
Proposed date of entry into force: August 2013.</t>
  </si>
  <si>
    <t>0205 - Meat of horses, asses, mules or hinnies, fresh, chilled or frozen; 0204 - Meat of sheep or goats, fresh, chilled or frozen;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0210 - Meat and edible offal, salted, in brine, dried or smoked; edible flours and meals of meat or meat offal; 0301 - Live fish;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0406 - Cheese and curd; 0504 - Guts, bladders and stomachs of animals (other than fish), whole and pieces thereof, fresh, chilled, frozen, salted, in brine, dried or smoked; 1604 - Prepared or preserved fish; caviar and caviar substitutes prepared from fish eggs;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0201 - Meat of bovine animals, fresh or chilled; 0202 - Meat of bovine animals, frozen; 0203 - Meat of swine, fresh, chilled or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t>
  </si>
  <si>
    <t>Change in date of adoption/publication/entry into force; Modification of content/scope of regulation</t>
  </si>
  <si>
    <t>Amendments to the Common veterinary (veterinary and sanitary) requirements No. 317 as of 18 June 2010.</t>
  </si>
  <si>
    <t xml:space="preserve">The Russian Federation notified amendments to the Common veterinary (veterinary and sanitary) requirements No. 317 as of 18 June 2010 in G/SPS/N/RUS/15 (6 March 2013). During public discussion procedure of this document certain comments and proposals have been received. As a result it was specified in the document that the measure will apply only for food products, produced by processed establishments. Two words were added "food" and "processed". The notified changes are of a trade-facilitating nature._x000D_
Proposed date of adoption (dd/mm/yy): May 2013;_x000D_
Proposed date of publication (dd/mm/yy): May 2013;_x000D_
Proposed date of entry into force: June 2013.</t>
  </si>
  <si>
    <t>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2104 - Soups and broths and preparations therefor; food preparations consisting of finely homogenized mixtures of two or more basic ingredients such as meat, fish, vegetables or fruit, put up for retail sale as infant food or for dietetic purposes, in containers of &lt;= 250 g;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2301 - Flours, meals and pellets, of meat or meat offal, of fish or of crustaceans, molluscs or other aquatic invertebrates, unfit for human consumption; greaves;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 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1604 - Prepared or preserved fish; caviar and caviar substitutes prepared from fish eggs; 190220 - Pasta, stuffed with meat or other substances, whether or not cooked or otherwise prepared; 0210 - Meat and edible offal, salted, in brine, dried or smoked; edible flours and meals of meat or meat offal; 0301 - Live fish; 2309 - Preparations of a kind used in animal feeding; 190420 - Prepared foods obtained from unroasted cereal flakes or from mixtures of unroasted cereal flakes and roasted cereal flakes or swelled cereals;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3502 - Albumins, incl. concentrates of two or more whey proteins containing by weight &gt; 80% whey proteins, calculated on the dry matter, albuminates and other albumin derivatives</t>
  </si>
  <si>
    <t xml:space="preserve">Draft of the Eurasian Economic Commission Collegium Decision on amendments to the Common veterinary (veterinary and sanitary) requirements, adopted by the Decision of the Customs Union (CU) Commission No. 317 as of 18 June 2010._x000D_
http://tsouz.ru/db/techregulation/Pages/Publichnoe.aspx</t>
  </si>
  <si>
    <t xml:space="preserve">The document introduces amendments to CU legislation specifically to the Common veterinary requirements. There will be tree new Chapters in the Common veterinary requirements.  These Chapters set requirements for wild animals; for zoo and circus animals; inedible raw materials of animal origin for feed production for unproductive pets and fur animals.</t>
  </si>
  <si>
    <t>0101, 0102, 0103, 0104, 0105, 0106, 0201, 0202, 0203, 0204, 0205 00, 0206, 0207, 0208, 0209, 0210, 0302, 0303, 0304, 0305, 0306, 0307, 0308, 0401, 0402, 0403, 0404, 0405, 0406, 0407, 0408, 0410 00 000 0, 0504 00 000 0, 0505, 0511, 1501, 1502, 1503 00, 1504, 1506 00 000 0, 1516 10, 1516 20, 1518 00, 2309, 3501, 3502, 3503, 4206 00 000 0</t>
  </si>
  <si>
    <t>0104 - Live sheep and goats; 0204 - Meat of sheep or goats, fresh, chilled or frozen; 0207 - Meat and edible offal of fowls of the species Gallus domesticus, ducks, geese, turkeys and guinea fowls, fresh, chilled or frozen;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1501 - Pig fat, incl. lard, and poultry fat, rendered or otherwise extracted (excl. lard stearin and lard oil); 1502 - Fats of bovine animals, sheep or goats (excl. lard stearin, lard oil, oleostearin, oleooil and tallow oil, not emulsified or mixed or otherwise prepared); 0105 - Live poultry, "fowls of the species Gallus domesticus, ducks, geese, turkeys and guinea fowls";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0410 - Turtles' eggs, birds' nests and other edible products of animal origin, n.e.s.; 0407 - Birds' eggs, in shell, fresh, preserved or cooked; 1503 - Lard stearin, lard oil, oleostearin, oleo-oil and tallow oil (excl. emulsified, mixed or otherwise prepared); 1504 - Fats and oils and their fractions of fish or marine mammals, whether or not refined (excl. chemically modified); 3503 - Gelatin, whether or not in square or rectangular sheets, whether or not surface-worked or coloured, and gelatin derivatives; isinglass; other glues of animal origin (excl. those packaged as glue for retail sale and weighing &lt;= 1 kg, and casein glues of heading 3501); 0102 - Live bovine animals; 0106 - Live animals (excl. horses, asses, mules, hinnies, bovine animals, swine, sheep, goats, poultry, fish, crustaceans, molluscs and other aquatic invertebrates, and microorganic cultures etc.); 0210 - Meat and edible offal, salted, in brine, dried or smoked; edible flours and meals of meat or meat offal; 2309 - Preparations of a kind used in animal feeding; 4206 - Articles of gut, goldbeater's skin, bladders or tendons (excl. silkworm gut, sterile catgut, other sterile surgical suture material and strings for musical instruments); 0101 - Live horses, asses, mules and hinnies;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151620 - Vegetable fats and oils and their fractions, partly or wholly hydrogenated, inter-esterified, re-esterified or elaidinized, whether or not refined, but not further prepared;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1506 - 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 3501 - Casein, caseinates and other casein derivatives; casein glues (excl. those packaged as glue for retail sale and weighing &lt;= 1 kg); 3502 - Albumins, incl. concentrates of two or more whey proteins containing by weight &gt; 80% whey proteins, calculated on the dry matter, albuminates and other albumin derivatives; 0103 - Live swine;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0511 - Animal products n.e.s.; dead animals of all types, unfit for human consumption; 151610 - Animal fats and oils and their fractions, partly or wholly hydrogenated, inter-esterified, re-esterified or elaidinized, whether or not refined, but not further prepared</t>
  </si>
  <si>
    <t>Animal feed; Animal health</t>
  </si>
  <si>
    <t>Supplement (SPS)</t>
  </si>
  <si>
    <d:r xmlns:d="http://schemas.openxmlformats.org/spreadsheetml/2006/main">
      <d:rPr>
        <d:sz val="11"/>
        <d:rFont val="Calibri"/>
      </d:rPr>
      <d:t xml:space="preserve">http://members.wto.org/crnattachments/2013/sps/RUS/13_1586_00_et.pdf</d:t>
    </d:r>
  </si>
  <si>
    <t>Supplement (TBT)</t>
  </si>
  <si>
    <d:r xmlns:d="http://schemas.openxmlformats.org/spreadsheetml/2006/main">
      <d:rPr>
        <d:sz val="11"/>
        <d:rFont val="Calibri"/>
      </d:rPr>
      <d:t xml:space="preserve">http://members.wto.org/crnattachments/2013/TBT/RUS/13_1457_00_et.pdf</d:t>
    </d:r>
  </si>
  <si>
    <t>Letter of the Federal Service for Veterinary and Phytosanitary Supervision No. FS-AS-3/2717 as of 7 March 2013</t>
  </si>
  <si>
    <t>This letter introduces a temporary restriction on import of seed and ware potatoes, plants for planting of fruit, ornamental and forest ornamental crops, plants grown in the protected ground from the European Union to Russian Federation. This notification follows on the emergency measure notified as of 6 February 2013 in G/SPS/N/RUS/9.</t>
  </si>
  <si>
    <t>Seed and ware potatoes, plants for planting of fruit, ornamental and forest ornamental crops, plants grown in the protected ground</t>
  </si>
  <si>
    <t>060210 - Unrooted cuttings and slips; 060220 - Edible fruit or nut trees, shrubs and bushes, whether or not grafted; 060240 - Roses, whether or not grafted; 060290 - Live plants, incl. their roots, and mushroom spawn (excl. bulbs, tubers, tuberous roots, corms, crowns and rhizomes, incl. chicory plants and roots, unrooted cuttings and slips, fruit and nut trees, rhododendrons, azaleas and roses); 0701 - Potatoes, fresh or chilled; 060230 - Rhododendrons and azaleas, grafted or not; 070110 - Seed potatoes; 070190 - Fresh or chilled potatoes (excl. seed)</t>
  </si>
  <si>
    <t>Plant health; Territory protection; Adoption/publication/entry into force of reg.; Seeds</t>
  </si>
  <si>
    <t xml:space="preserve">European Union </t>
  </si>
  <si>
    <t>Amendments to the Technical Regulation of the Customs Union On safety of wheeled vehicles (16 pages, in Russian).</t>
  </si>
  <si>
    <t xml:space="preserve">The amendments to the Technical Regulation provide clarification of the Technical Regulation scope and particular definitions, changes in requirements of the article 5, particular provisions of the Annexes  1-4, 6, 9, 10,12,14,15 to the Technical Regulation, including changes in requirements for ambulances</t>
  </si>
  <si>
    <t>Wheeled vehicles L, M, N and O categories designed for using on public roads; chassis; vehicle components, effecting vehicle safety.</t>
  </si>
  <si>
    <t>43.080 - Commercial vehicles; 43.100 - Passenger cars. Caravans and light trailers</t>
  </si>
  <si>
    <t xml:space="preserve">Amendments to the Technical Regulation of the Customs Union On safety of wheeled vehicles ;
http://tsouz.ru/db/techreglam/Pages/Proekty_izm_v_TR_spisok.aspx ;
Technical Regulations of the Customs Union On safety of wheeled vehicles ;
http://tsouz.ru/db/techreglam/Documents/TR%20TS%20KolesnTrS.pdf ;
</t>
  </si>
  <si>
    <t xml:space="preserve">Amendments to the Technical Regulation of the Customs Union on requirements for motor and aviation gasoline, diesel and marine fuel, jet fuel,  mazut heating oil (4 pages, in Russian).</t>
  </si>
  <si>
    <t xml:space="preserve">The amendments to the Technical Regulation provide improvement of particular provisions of the Technical Regulation , (including) ;
- clarification of the «mazut heating oil» definition ; ;
- changes in  the point 2.1 of the Annex 1 to  the Technical Regulation; ;
- specified requirements described in the Annex 4 and Annex 5 of the Technical Regulation. ;
</t>
  </si>
  <si>
    <t xml:space="preserve">Motor gasoline, aviation gasoline, diesel fuel, marine fuel, jet fuel,  mazut heating oil</t>
  </si>
  <si>
    <t xml:space="preserve">Amendments to the Technical Regulation of the Customs Union on requirements for motor and aviation gasoline, diesel and marine fuel, jet fuel, mazut heating oil ;
 http://www.tsouz.ru/db/techreglam/Pages/Proekty_izm_v_TR_spisok.aspx ;
Technical Regulation of the Customs Union on requirements for motor and aviation gasoline, diesel and marine fuel, jet fuel, mazut heating oil ;
http://www.tsouz.ru/KTS/KTS32/Documents/P_826_1.pdf  ;
</t>
  </si>
  <si>
    <t>The draft of Technical Regulation establishes common safety requirements for fish and fish products and requirements for production, storage, marketing, transportation and utilization of fish and fish products. These requirements are obligatory for implementation on the territory of the Custom Union.</t>
  </si>
  <si>
    <t>Fish and fish products</t>
  </si>
  <si>
    <d:r xmlns:d="http://schemas.openxmlformats.org/spreadsheetml/2006/main">
      <d:rPr>
        <d:sz val="11"/>
        <d:rFont val="Calibri"/>
      </d:rPr>
      <d:t xml:space="preserve">http://www.tsouz.ru/db/techreglam/Documents/TR%20TS%20Fish.pdf</d:t>
    </d:r>
  </si>
  <si>
    <t>The draft of Technical Regulation establishes common safety requirements for feed and feed additives as well as raw materials, and requirements for production, storage, marketing, transportation and utilization of feed and feed additives. These requirements are obligatory for implementation on the territory of the Custom Union.</t>
  </si>
  <si>
    <t>Feed and feed additives</t>
  </si>
  <si>
    <t>Animal feed; Feed additives; Animal health</t>
  </si>
  <si>
    <d:r xmlns:d="http://schemas.openxmlformats.org/spreadsheetml/2006/main">
      <d:rPr>
        <d:sz val="11"/>
        <d:rFont val="Calibri"/>
      </d:rPr>
      <d:t xml:space="preserve">http://www.tsouz.ru/db/techreglam/Documents/TR%20Korma.pdf</d:t>
    </d:r>
  </si>
  <si>
    <t>The draft of Technical Regulation establishes common safety requirements for meat and meat products and requirements for production, storage, marketing, transportation and utilization of meat and meat products. These requirements are obligatory for implementation on the territory of the Custom Union.</t>
  </si>
  <si>
    <t>Meat and meat products</t>
  </si>
  <si>
    <d:r xmlns:d="http://schemas.openxmlformats.org/spreadsheetml/2006/main">
      <d:rPr>
        <d:sz val="11"/>
        <d:rFont val="Calibri"/>
      </d:rPr>
      <d:t xml:space="preserve">http://www.tsouz.ru/db/techreglam/Documents/TRMeatVGS.pdf</d:t>
    </d:r>
  </si>
  <si>
    <t>The draft of Technical Regulation establishes common safety requirements for milk and milk products and requirements for production, storage, marketing, transportation and utilization of milk and milk products. These requirements are obligatory for implementation on the territory of the Custom Union.</t>
  </si>
  <si>
    <t>0401 - Milk and cream, not concentrated nor containing added sugar or other sweetening matter; 0402 - Milk and cream, concentrated or containing added sugar or other sweetening matter;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0406 - Cheese and curd</t>
  </si>
  <si>
    <d:r xmlns:d="http://schemas.openxmlformats.org/spreadsheetml/2006/main">
      <d:rPr>
        <d:sz val="11"/>
        <d:rFont val="Calibri"/>
      </d:rPr>
      <d:t xml:space="preserve">http://www.tsouz.ru/db/techreglam/Documents/TR%20moloko.pdf</d:t>
    </d:r>
  </si>
  <si>
    <t xml:space="preserve">Letters of the Federal Service for Veterinary and Phytosanitary Supervision No. FS-AS-7/2057 as of 22 February 2013 and No.  FS-AS-7/2242 as of 28 February 2013</t>
  </si>
  <si>
    <t>These letters introduce a temporary restriction on import of live poultry, incubative eggs, down and feather, poultry and all types of poultry products, which were not heat treated (no less than 70ºC), feed and feed additives and equipment for keeping, slaughter and cutting of poultry from Markisch-Oderland district, Brandenburg (Germany) due to low pathogenic avian influenza (AI) outbreak.</t>
  </si>
  <si>
    <t>HS Codes: 0105, 0207, 0505, 1001 19 000 0, 1001 99 000 0, 1002 90 000 0, 1003 90 000 0, 1004 90 000 0, 1005 90 000 0, 1201 90 000 0, 1208, 1211, 1213 00 000 0, 1214, 2301, 2302, 2303, 2304 00 000, 2306, 2308 00, 2309, 3507, 3923, 3926, 4415, 4416 00 000 0, 4421, 7020 00, 7309 00, 7310, 7326, 7616, 8436 21 000 0, 8436 29 000 0, 8436 80 900 0, 8606 91 800 0, 8609 00, 8716 39 800, 0407</t>
  </si>
  <si>
    <t>1211 - Plants and parts of plants, incl. seeds and fruits, of a kind used primarily in perfumery, medicaments or for insecticidal, fungicidal or similar purposes, fresh or dried, whether or not cut, crushed or powdered; 3507 - Enzymes; prepared enzymes, n.e.s.; 4416 - Casks, barrels, vats, tubs and other coopers' products parts thereof, of wood, incl. staves; 843621 - Poultry incubators and brooders; 843680 - Agricultural, horticultural, forestry or bee-keeping machinery, n.e.s.;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4415 - Packing cases, boxes, crates, drums and similar packings, of wood; cable-drums of wood; pallets, box pallets and other load boards, of wood; pallet collars of wood (excl. containers specially designed and equipped for one or more modes of transport); 843629 - Poultry-keeping machinery (excl. machines for sorting or grading eggs, poultry pickers of heading 8438 and incubators and brooders); 1002 - Rye;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7020 - Articles of glass, n.e.s.; 0407 - Birds' eggs, in shell, fresh, preserved or cooked; 4421 - Other articles of wood, n.e.s.; 860691 - Railway or tramway goods vans and wagons, covered and closed (excl. self-discharging goods vans and wagons, tank wagons and the like and insulated or refrigerated goods vans and wagons); 0207 - Meat and edible offal of fowls of the species Gallus domesticus, ducks, geese, turkeys and guinea fowls, fresh, chilled or frozen;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2306 - Oil-cake and other solid residues, whether or not ground or in the form of pellets, resulting from the extraction of vegetable fats or oils (excl. from soya-bean oil and ground-nut oil); 0105 - Live poultry, "fowls of the species Gallus domesticus, ducks, geese, turkeys and guinea fowls"; 1213 - Cereal straw and husks, unprepared, whether or not chopped, ground, pressed or in the form of pellets; 3923 - Articles for the conveyance or packaging of goods, of plastics; stoppers, lids, caps and other closures, of plastics; 1003 - Barley; 1004 - Oats; 1201 - Soya beans, whether or not broken; 1208 - Flours and meals of oil seeds or oleaginous fruits (excl. mustard); 3926 - Articles of plastics and articles of other materials of heading 3901 to 3914, n.e.s.; 7309 -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7310 - Tanks, casks, drums, cans, boxes and similar containers, of iron or steel, for any material "other than compressed or liquefied gas", of a capacity of &lt;= 300 l, not fitted with mechanical or thermal equipment, whether or not lined or heat-insulated, n.e.s.; 7326 - Articles of iron or steel, n.e.s. (excl. cast articles); 7616 - Articles of aluminium, n.e.s.; 1001 - Wheat and meslin; 2309 - Preparations of a kind used in animal feeding; 100590 - Maize (excl. seed); 860900 - Containers, incl. containers for the transport of fluids, specially designed and equipped for carriage by one or more modes of transport; 871639 - Trailers and semi-trailers for the transport of goods, not designed for running on rails (excl. self-loading of self-unloading trailers and semi-trailers for agricultural purposes and tanker trailers and tanker semi-trailers)</t>
  </si>
  <si>
    <t>Animal diseases; Food safety; Avian Influenza; Animal feed; Animal health; Human health; Pest- or Disease- free Regions / Regionalization; Zoonoses; Feed additives</t>
  </si>
  <si>
    <t>Markisch-Oderland district, Brandenburg (Germany)</t>
  </si>
  <si>
    <d:r xmlns:d="http://schemas.openxmlformats.org/spreadsheetml/2006/main">
      <d:rPr>
        <d:sz val="11"/>
        <d:rFont val="Calibri"/>
      </d:rPr>
      <d:t xml:space="preserve">http://www.fsvps.ru/fsvps-docs/ru/laws/instructions/2013/fc-ac-7-2057.pdf
http://www.fsvps.ru/fsvps-docs/ru/laws/instructions/2013/fc-ac-7-2242.pdf</d:t>
    </d:r>
  </si>
  <si>
    <t>Draft of the Eurasian Economic Commission Collegium Decision on amendments to the Common veterinary (veterinary and sanitary) requirements, adopted by the Decision of the Customs Union (CU) Commission No. 317 as of 18 June 2010</t>
  </si>
  <si>
    <t xml:space="preserve">The document introduces amendments to CU legislation specifically to the Common veterinary requirements on finished meat products (Chapters 25 and 40). These amendments divide current requirements into two parts: _x000D_
- products produced without heat treatment or heat treated below 70ºC;_x000D_
- products produced with heat treatment above 70ºC.</t>
  </si>
  <si>
    <t>HS Codes: 0210, 1601 00, 1602, from 1902 20, from 1904 20, from group 20, from 2104, from 2106</t>
  </si>
  <si>
    <t>2106 - Food preparations, n.e.s.; 0210 - Meat and edible offal, salted, in brine, dried or smoked; edible flours and meals of meat or meat offal; 190420 - Prepared foods obtained from unroasted cereal flakes or from mixtures of unroasted cereal flakes and roasted cereal flakes or swelled cereals; 190220 - Pasta, stuffed with meat or other substances, whether or not cooked or otherwise prepared; 2104 - Soups and broths and preparations therefor; food preparations consisting of finely homogenized mixtures of two or more basic ingredients such as meat, fish, vegetables or fruit, put up for retail sale as infant food or for dietetic purposes, in containers of &lt;= 250 g; 1602 - Prepared or preserved meat, offal or blood (excl. sausages and similar products, and meat extracts and juices); 1601 - Sausages and similar products, of meat, offal or blood; food preparations based on these products</t>
  </si>
  <si>
    <d:r xmlns:d="http://schemas.openxmlformats.org/spreadsheetml/2006/main">
      <d:rPr>
        <d:sz val="11"/>
        <d:rFont val="Calibri"/>
      </d:rPr>
      <d:t xml:space="preserve">http://tsouz.ru/db/techregulation/Pages/Publichnoe.aspx</d:t>
    </d:r>
  </si>
  <si>
    <t>Draft of the Eurasian Economic Commission Collegium Decisions on amendments to the Common veterinary (veterinary and sanitary) requirements No. 317 as of 18 June 2010</t>
  </si>
  <si>
    <t>The document introduces amendments to CU legislation specifically to the General provisions of the Common veterinary requirements. These amendments specify that establishments of the third countries are obliged to use raw materials of animal origin produced by establishments which have the right to supply the products to the Customs Union territory. This requirement applies for the products which contain components of animal origin.</t>
  </si>
  <si>
    <t>HS Codes: 0201, 0202, 0203, 0204, 0205 00, 0206, 0207, 0208, 0209, 0210, 0301, 0302, 0303, 0304, 0305, 0306, 0307, 0308, 0401, 0402, 0403, 0404, 0405, 0406, 0407, 0408, 0504 00 000 0, 1601 00, 1602, 1604, 1605, from 190220, from 190420, from 20, from 2104, from 2106, 2301, from 2105 00, 2309, from 2106, from 3501, 3502, 3503 00</t>
  </si>
  <si>
    <t>0203 - Meat of swine, fresh, chilled or frozen; 0305 - Fish, fit for human consumption, dried, salted or in brine; smoked fish, fit for human consumption, whether or not cooked before or during the smoking process; flours, meals and pellets of fish, fit for human consumption; 0205 - Meat of horses, asses, mules or hinnies, fresh, chilled or frozen; 0206 - Edible offal of bovine animals, swine, sheep, goats, horses, asses, mules or hinnies, fresh, chilled or frozen; 0204 - Meat of sheep or goats, fresh, chilled or frozen; 0207 - Meat and edible offal of fowls of the species Gallus domesticus, ducks, geese, turkeys and guinea fowls, fresh, chilled or frozen;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0201 - Meat of bovine animals, fresh or chilled; 0202 - Meat of bovine animals, frozen; 0209 - Pig fat, free of lean meat, and poultry fat, not rendered or otherwise extracted, fresh, chilled, frozen, salted, in brine, dried or smoked; 0210 - Meat and edible offal, salted, in brine, dried or smoked; edible flours and meals of meat or meat offal; 0301 - Live fish; 0401 - Milk and cream, not concentrated nor containing added sugar or other sweetening matter; 0402 - Milk and cream, concentrated or containing added sugar or other sweetening matter; 2105 - Ice cream and other edible ice, whether or not containing cocoa; 2301 - Flours, meals and pellets, of meat or meat offal, of fish or of crustaceans, molluscs or other aquatic invertebrates, unfit for human consumption; greaves; 0408 - Birds' eggs, not in shell, and egg yolks, fresh, dried, cooked by steaming or by boiling in water, moulded, frozen or otherwise preserved, whether or not containing added sugar or other sweetening matter; 2106 - Food preparations, n.e.s.; 2309 - Preparations of a kind used in animal feeding; 190420 - Prepared foods obtained from unroasted cereal flakes or from mixtures of unroasted cereal flakes and roasted cereal flakes or swelled cereals; 0406 - Cheese and curd; 0504 - Guts, bladders and stomachs of animals (other than fish), whole and pieces thereof, fresh, chilled, frozen, salted, in brine, dried or smoked; 1604 - Prepared or preserved fish; caviar and caviar substitutes prepared from fish eggs; 190220 - Pasta, stuffed with meat or other substances, whether or not cooked or otherwise prepared;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0307 - Molluscs, fit for human consumption, whether in shell or not, live, fresh, chilled, frozen, dried, salted or in brine, incl. aquatic invertebrates (other than crustaceans and molluscs); flours, meals and pellets of aquatic invertebrates other than crustaceans, fit for human consumption; 2104 - Soups and broths and preparations therefor; food preparations consisting of finely homogenized mixtures of two or more basic ingredients such as meat, fish, vegetables or fruit, put up for retail sale as infant food or for dietetic purposes, in containers of &lt;= 250 g;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3502 - Albumins, incl. concentrates of two or more whey proteins containing by weight &gt; 80% whey proteins, calculated on the dry matter, albuminates and other albumin derivatives;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t>
  </si>
  <si>
    <t>Human health; Food safety; Maximum residue limits (MRLs); Veterinary drugs</t>
  </si>
  <si>
    <t>The draft of Technical Regulation of the Customs Union on Measuring tools of indicators of petroleum and petroleum products (23 pages, in Russian).</t>
  </si>
  <si>
    <t>The draft of Technical Regulation provides common requirements of the Custom Union to measuring tools of indicators of petroleum and petroleum products for ensuring free circulation of these products in the single market of the Custom Union.</t>
  </si>
  <si>
    <t>Measuring tools of indicators of petroleum and petroleum products</t>
  </si>
  <si>
    <t>75.180 - Equipment for petroleum and natural gas industries</t>
  </si>
  <si>
    <t>Metrology</t>
  </si>
  <si>
    <t xml:space="preserve">The draft of Technical Regulation of the Customs Union on Measuring tools of indicators of petroleum and petroleum products ;
http://www.tsouz.ru/db/techreglam/Documents/TR_sr_izm_petrol.pdf ;
</t>
  </si>
  <si>
    <t>The draft ofTechnical Regulation of the Customs Union on requirements to fertilizers (14 pages, in Russian).</t>
  </si>
  <si>
    <t>The draft of Technical Regulation provides common requirements of the Custom Union to fertilizers for ensuring free circulation of these products in the single market of the Custom Union.</t>
  </si>
  <si>
    <t>Mineral fertilizers</t>
  </si>
  <si>
    <t>65.080 - Fertilizers</t>
  </si>
  <si>
    <t xml:space="preserve">The draft of Technical Regulation of the Customs Union on requirements to fertilizers ;
http://www.tsouz.ru/db/techreglam/Documents/TR%20UdobreniyaVGS.pdf ;
</t>
  </si>
  <si>
    <t>The draft of Technical Regulation of the Customs Union on safety of equipment working under excessive pressure(45 pages, in Russian).</t>
  </si>
  <si>
    <t>The draft of Technical Regulation provides common requirements of the Custom Union toequipment working under excessive pressure for ensuring free circulation of these products in the single market of the Custom Union.</t>
  </si>
  <si>
    <t>Equipment working under excessive pressure</t>
  </si>
  <si>
    <t xml:space="preserve">The draft of Technical Regulation of the Customs Union on safety of equipment working under excessive pressure ;
http://www.tsouz.ru/db/techreglam/Documents/TRIzbitDavlenVGS.pdf ;
</t>
  </si>
  <si>
    <t>The draft of Technical Regulation of the Customs Union on safety meat and meat products (64 pages, in Russian).</t>
  </si>
  <si>
    <t>The draft of Technical Regulation provides common requirements of the Custom Union to meat and meat products for ensuring free circulation of these products in the single market of the Custom Union.</t>
  </si>
  <si>
    <t xml:space="preserve">The draft of Technical Regulation of the Customs Union on safety meat and meat products ;
http://www.tsouz.ru/db/techreglam/Documents/TRMeatVGS.pdf ;
</t>
  </si>
  <si>
    <t>The draft of Technical Regulation of the Customs Union on safety of synthetic detergents and household chemicals (30 pages, in Russian).</t>
  </si>
  <si>
    <t>The draft of Technical Regulation provides common requirements of the Custom Union to synthetic detergents and household chemicals for ensuring free circulation of these products in the single market of the Custom Union.</t>
  </si>
  <si>
    <t>Synthetic detergents and household chemicals</t>
  </si>
  <si>
    <t>71.100.35 - Chemicals for industrial and domestic disinfection purposes; 71.100.40 - Surface active agents</t>
  </si>
  <si>
    <t xml:space="preserve">The draft of Technical Regulation of the Customs Union on safety of synthetic detergents and household chemicals ;
http://www.tsouz.ru/db/techreglam/Documents/TR%20SMS%20i%20TBH%2016_12_11.pdf ;
</t>
  </si>
  <si>
    <t>The draft of Technical Regulation of the Customs Union on informing of consumers on energy efficiency of electrical energy-consuming devices (28 page, in Russian).</t>
  </si>
  <si>
    <t>Establishes electrical devises energy efficiency categories and characteristics for ensuring energy conservation and consumer informing on energy efficiency of devices.</t>
  </si>
  <si>
    <t>Electric refrigeration devices, household washing machines and combo washer-dryers electric machines, powered from AC mains voltage of 250 V, 50 Hz, household dishwashers, electric-powered AC voltage up to 250V and a frequency of 50 Hz; frying electric (household electric oven), working from the mains, residential air conditioners, powered from AC mains voltage of 250 V, 50 Hz, household lamps, powered by the mains power supply system of general purpose and intended for use in lighting devices, and household fluorescent lamp.</t>
  </si>
  <si>
    <t>23.120 - Ventilators. Fans. Air-conditioners; 29.140 - Lamps and related equipment; 97.040 - Kitchen equipment; 97.060 - Laundry appliances</t>
  </si>
  <si>
    <t xml:space="preserve">The draft of Technical Regulation of the Customs Union on informing of consumers on energy efficiency of electrical energy-consuming devices ;
http://www.tsouz.ru/db/techreglam/Documents/TR%20Energoeffect.pdf ;
</t>
  </si>
  <si>
    <t>Amendments to the Technical Regulation of the Customs union on safety requirements for food additives, aromatizers, technological auxiliaries(1 pages, in Russian).</t>
  </si>
  <si>
    <t>Including natural Vanilin to the list of permitted aromatizers for using in producing formula for kids over 5 months.</t>
  </si>
  <si>
    <t>Food additives, aromatizers, technological auxiliaries.</t>
  </si>
  <si>
    <t>Protection of human health or safety (TBT); Reducing trade barriers and facilitating trade (TBT)</t>
  </si>
  <si>
    <t xml:space="preserve">Amendments to the Technical Regulation of the Customs union on safety requirements for food additives, aromatizers, technological auxiliaries ;
http://www.tsouz.ru/db/techreglam/Documents/4.jpg ;
Technical Regulation of the Customs union on safety requirements for food additives, aromatizers, technological auxiliaries ;
http://www.tsouz.ru/eek/RSEEK/RSEEK/SEEK8/Documents/P_58.pdf ;
</t>
  </si>
  <si>
    <t>The draft of Technical Regulation of the Customs Union on tobacco products (21 pages, in Russian).</t>
  </si>
  <si>
    <t>The draft of Technical Regulation provides common requirements of the Custom Union to tobacco productsfor ensuring free circulation of these products in the single market of the Custom Union.</t>
  </si>
  <si>
    <t>Tobacco products.</t>
  </si>
  <si>
    <t xml:space="preserve">The draft of Technical Regulation of the Customs Union on tobacco products ;
http://www.tsouz.ru/db/techreglam/Documents/%D0%9F%D1%80%D0%BE%D0%B5%D0%BA%D1%82%20%D0%A2%D0%A0%20%D0%A2%D0%A1%20%D0%A2%D0%B0%D0%B1%D0%B0%D0%BA%20%D0%BD%D0%B0%20%D0%92%D0%93%D0%A1.pdf ;
</t>
  </si>
  <si>
    <t>The draft of Technical Regulation of the Customs Union on safety of chemical products (41 pages, in Russian).</t>
  </si>
  <si>
    <t>The draft of Technical Regulation provides common requirements of the Custom Union to chemical products for ensuring free circulation of these products in the single market of the Custom Union.</t>
  </si>
  <si>
    <t>Chemical products</t>
  </si>
  <si>
    <t>71 - CHEMICAL TECHNOLOGY</t>
  </si>
  <si>
    <t xml:space="preserve">The draft of Technical Regulation of the Customs Union on safety of chemical products ;
http://www.tsouz.ru/db/techreglam/Documents/TRHimiyaVGS.pdf ;
</t>
  </si>
  <si>
    <t>The draft of Technical Regulation of the Customs Union on safety of feed and feed additives (59 pages, in Russian).</t>
  </si>
  <si>
    <t>The draft of Technical Regulation provides common requirements of the Custom Union to feed and feed additives for ensuring free circulation of these products in the single market of the Custom Union.</t>
  </si>
  <si>
    <t>Animal feed</t>
  </si>
  <si>
    <t xml:space="preserve">The draft of Technical Regulation of the Customs Union on safety of feed and feed additives ;
http://www.tsouz.ru/db/techreglam/Documents/TR%20Korma.pdf ;
</t>
  </si>
  <si>
    <t>The draft of Technical Regulation of the Customs Union on safety milk and milk products (137 pages, in Russian).</t>
  </si>
  <si>
    <t>The draft of Technical Regulation provides common requirements of the Custom Union to milk and milk products for ensuring free circulation of these products in the single market of the Custom Union.</t>
  </si>
  <si>
    <t>milk and milk products</t>
  </si>
  <si>
    <t xml:space="preserve">The draft of Technical Regulation of the Customs Union on safety milk and milk products ;
http://www.tsouz.ru/db/techreglam/Documents/TR%20moloko.pdf ;
</t>
  </si>
  <si>
    <t>The draft of amendments to the Technical Regulation of the Customs Union on perfume and cosmetic products (3 pages, in Russian).</t>
  </si>
  <si>
    <t>Clarification of peeling definition and establishment of declaration schemes.</t>
  </si>
  <si>
    <t xml:space="preserve">Technical Regulation of the Customs Union on perfume and cosmetic products ;
http://www.tsouz.ru/db/techreglam/Documents/TR%20TS%20Parfum.pdf ;
The draft of amendments to the Technical Regulation of the Customs Union on perfume and cosmetic products ;
http://www.tsouz.ru/db/techreglam/Documents/IzmenParfum.doc ;
</t>
  </si>
  <si>
    <t>The draft of amendments to the Technical Regulation of the Customs Union on safety of light industry products (1 page, in Russian).</t>
  </si>
  <si>
    <t>The draft of Technical Regulation provides conformity assessment procedure for light industry products, which is used by producers as raw materials when producing finished light industry products.</t>
  </si>
  <si>
    <t>03.120.20 - Product and company certification. Conformity assessment</t>
  </si>
  <si>
    <t>Reducing trade barriers and facilitating trade (TBT)</t>
  </si>
  <si>
    <t xml:space="preserve">The draft of amendments to the Technical Regulation of the Customs Union on safety of light industry products ;
http://www.tsouz.ru/db/techreglam/Documents/2.jpg ;
Technical Regulation of the Customs Union on safety of light industry products ;
http://www.tsouz.ru/db/techreglam/Documents/TR%20TS%20ProduktLegProm.pdf ;
</t>
  </si>
  <si>
    <t>The draft of Technical Regulation of the Customs Union on safety of paint and varnish materials (23 pages, in Russian).</t>
  </si>
  <si>
    <t>The draft of Technical Regulation provides common requirements of the Custom Union topaint and varnish materials for ensuring free circulation of these products in the single market of the Custom Union.</t>
  </si>
  <si>
    <t>paint and varnish materials</t>
  </si>
  <si>
    <t>87.040 - Paints and varnishes</t>
  </si>
  <si>
    <t xml:space="preserve">The draft of Technical Regulation of the Customs Union on safety of paint and varnish materials ;
http://www.tsouz.ru/db/techreglam/Documents/TR%20Laki-kraski%20VGS%2014_12_11.pdf ;
</t>
  </si>
  <si>
    <t>The draft of Technical Regulation of the Customs Union on safety of fish and fish products (85 pages, in Russian).</t>
  </si>
  <si>
    <t>The draft of Technical Regulation provides common requirements of the Custom Union to fish and fish products for ensuring free circulation of these products in the single market of the Custom Union.</t>
  </si>
  <si>
    <t xml:space="preserve">The draft of Technical Regulation of the Customs Union on safety of fish and fish products ;
http://www.tsouz.ru/db/techreglam/Documents/TR%20TS%20Fish.pdf ;
</t>
  </si>
  <si>
    <t>The draft of the Technical Regulation of the Customs Union on safety of buildings and installations, construction materials and products (50 pages, in Russian).</t>
  </si>
  <si>
    <t>The draft of Technical Regulation provides common requirements of the Custom Union tobuildings and installations, construction materials and products.</t>
  </si>
  <si>
    <t>Buildings and installations, construction materials and products</t>
  </si>
  <si>
    <t>91.040 - Buildings; 91.100 - Construction materials</t>
  </si>
  <si>
    <t xml:space="preserve">The draft of Technical Regulation of the Customs Union on safety of buildings and installations, construction materials and products ;
http://www.tsouz.ru/db/techreglam/Documents/TR%20zdania%20VGS.pdf ;
</t>
  </si>
  <si>
    <t>Draft of the Eurasian Economic Commission Council Decision on Amendments to the Customs Union Commission Decision on Common System of Joint Inspection of Objects and Sampling Goods (Products) Subject to Veterinary Control (Supervision) No. 834 as of 18 October 2011</t>
  </si>
  <si>
    <t>The document introduces amendments to CU legislation specifically to the Chapters II, IV, X and XI of the Regulation on veterinary control at the Customs Border of the Customs Union and on the customs territory of the Customs Union. These amendments were designed to unify approaches while conducting monitoring analyses of the goods (products). This document also specifies the terms of listing establishments into the Register of establishments of third countries.</t>
  </si>
  <si>
    <t>HS Codes: 0201, 0202, 0203, 0204, 0205 00, 0206, 0207, 0208, 0209, 0210, 0301, 0302, 0303, 0304, 0305, 0306, 0307, 0308, 0401, 0402, 0403, 0404, 0405, 0406, 0407, 0408, 0504 00 000 0, 1601 00, 1602, 1604, 1605, from 2105 00, from 2106, from 3501, 3503 00</t>
  </si>
  <si>
    <t>0204 - Meat of sheep or goats, fresh, chilled or frozen; 0207 - Meat and edible offal of fowls of the species Gallus domesticus, ducks, geese, turkeys and guinea fowls, fresh, chilled or frozen; 0406 - Cheese and curd; 0504 - Guts, bladders and stomachs of animals (other than fish), whole and pieces thereof, fresh, chilled, frozen, salted, in brine, dried or smoked; 1604 - Prepared or preserved fish; caviar and caviar substitutes prepared from fish eggs;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2105 - Ice cream and other edible ice, whether or not containing cocoa; 0203 - Meat of swine, fresh, chilled or frozen; 0305 - Fish, fit for human consumption, dried, salted or in brine; smoked fish, fit for human consumption, whether or not cooked before or during the smoking process; flours, meals and pellets of fish, fit for human consumption; 0408 - Birds' eggs, not in shell, and egg yolks, fresh, dried, cooked by steaming or by boiling in water, moulded, frozen or otherwise preserved, whether or not containing added sugar or other sweetening matter; 2106 - Food preparations, n.e.s.; 0407 - Birds' eggs, in shell, fresh, preserved or cooked; 3503 - Gelatin, whether or not in square or rectangular sheets, whether or not surface-worked or coloured, and gelatin derivatives; isinglass; other glues of animal origin (excl. those packaged as glue for retail sale and weighing &lt;= 1 kg, and casein glues of heading 3501); 0210 - Meat and edible offal, salted, in brine, dried or smoked; edible flours and meals of meat or meat offal; 0301 - Live fish;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1602 - Prepared or preserved meat, offal or blood (excl. sausages and similar products, and meat extracts and juices); 1605 - Crustaceans, molluscs and other aquatic invertebrates, prepared or preserved; 3501 - Casein, caseinates and other casein derivatives; casein glues (excl. those packaged as glue for retail sale and weighing &lt;= 1 kg); 0201 - Meat of bovine animals, fresh or chilled; 0202 - Meat of bovine animals, frozen; 0209 - Pig fat, free of lean meat, and poultry fat, not rendered or otherwise extracted, fresh, chilled, frozen, salted, in brine, dried or smoked; 0403 - Buttermilk, curdled milk and cream, yogurt, képhir and other fermented or acidified milk and cream, whether or not concentrated or flavoured or containing added sugar or other sweetening matter, fruits, nuts or cocoa;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1601 - Sausages and similar products, of meat, offal or blood; food preparations based on these products</t>
  </si>
  <si>
    <t>Letter of the Federal Service for Veterinary and Phytosanitary Supervision No. FS-NF-7/1065 of 1 February 2013</t>
  </si>
  <si>
    <t>This letter introduces a temporary restriction on import of meat and milk finished products from Bavaria, Lower Saxony, North Rhine-Westphalia (Germany) due to violation of veterinary requirements of the Custom Union and Russian Federation.</t>
  </si>
  <si>
    <t>Meat and milk finished products</t>
  </si>
  <si>
    <t>02 - MEAT AND EDIBLE MEAT OFFAL; 04 - DAIRY PRODUCE; BIRDS' EGGS; NATURAL HONEY; EDIBLE PRODUCTS OF ANIMAL ORIGIN, NOT ELSEWHERE SPECIFIED OR INCLUDED</t>
  </si>
  <si>
    <t>Bavaria, Lower Saxony, North Rhine-Westphalia (Germany)</t>
  </si>
  <si>
    <d:r xmlns:d="http://schemas.openxmlformats.org/spreadsheetml/2006/main">
      <d:rPr>
        <d:sz val="11"/>
        <d:rFont val="Calibri"/>
      </d:rPr>
      <d:t xml:space="preserve">http://members.wto.org/crnattachments/2013/sps/RUS/13_0893_00_x.pdf</d:t>
    </d:r>
  </si>
  <si>
    <t>Draft of the Eurasian Economic Commission Collegium Decision on amendments to the Customs Union Commission Decision on Common forms of veterinary certificates for goods subject to veterinary control (supervision) from third countries No. 607 as of 7 April 2011</t>
  </si>
  <si>
    <t>The document introduces amendments to CU legislation specifically to the 18 Common forms of veterinary certificates for goods subject to veterinary control (supervision). These amendments - a footnote - apply for the preamble of the point 4 of the Common forms of veterinary certificates. It deals with the providing information in table format on pre-export certificates. This table should be fulfilled only by EU members States.</t>
  </si>
  <si>
    <t>HS Codes: 0201, 0202, 0203, 0204, 0205 00, 0206, 0207, 0208, 0210, 0302, 0303, 0304, 0305, 0306, 0307, 0308, 0401, 0402, 0403, 0404, 0405, 0406, 0407, 0408, 0409 00 000 0, 0410 00 000 0, 0502, 0504 00 000 0, 0505, 0506, 0507, from 1208, from 1211, from 1212 99 950 0, 1213 00 000 0, 1214, from 1301 90 000 0, 1516 20, 1518 00, 1601 00, 1602, 1604, 1605, from 2102 20, 2301, from 2302, from 2303, from 2304 00 000, from 2306, 2308 00, 2309, 4301</t>
  </si>
  <si>
    <t>0204 - Meat of sheep or goats, fresh, chilled or frozen; 0207 - Meat and edible offal of fowls of the species Gallus domesticus, ducks, geese, turkeys and guinea fowls, fresh, chilled or frozen; 0303 - Frozen fish (excl. fish fillets and other fish meat of heading 0304); 0306 - Crustaceans, fit for human consumption, whether in shell or not, live, fresh, chilled, frozen, dried, salted or in brine, incl. crustaceans in shell cooked beforehand by steaming or by boiling in water; flours, meals and pellets of crustaceans, fit for human consumption; 0210 - Meat and edible offal, salted, in brine, dried or smoked; edible flours and meals of meat or meat offal; 0208 - Meat and edible offal of rabbits, hares, pigeons and other animals, fresh, chilled or frozen (excl. of bovine animals, swine, sheep, goats, horses, asses, mules, hinnies, poultry "fowls of the species Gallus domesticus", ducks, geese, turkeys and guinea fowls); 0302 - Fish, fresh or chilled (excl. fish fillets and other fish meat of heading 0304); 0304 - Fish fillets and other fish meat, whether or not minced, fresh, chilled or frozen; 0401 - Milk and cream, not concentrated nor containing added sugar or other sweetening matter; 0402 - Milk and cream, concentrated or containing added sugar or other sweetening matter; 0203 - Meat of swine, fresh, chilled or frozen; 0305 - Fish, fit for human consumption, dried, salted or in brine; smoked fish, fit for human consumption, whether or not cooked before or during the smoking process; flours, meals and pellets of fish, fit for human consumption; 0205 - Meat of horses, asses, mules or hinnies, fresh, chilled or frozen; 0206 - Edible offal of bovine animals, swine, sheep, goats, horses, asses, mules or hinnies, fresh, chilled or frozen; 0307 - Molluscs, fit for human consumption, whether in shell or not, live, fresh, chilled, frozen, dried, salted or in brine, incl. aquatic invertebrates (other than crustaceans and molluscs); flours, meals and pellets of aquatic invertebrates other than crustaceans, fit for human consumption; 0201 - Meat of bovine animals, fresh or chilled; 0202 - Meat of bovine animals, frozen; 0403 - Buttermilk, curdled milk and cream, yogurt, képhir and other fermented or acidified milk and cream, whether or not concentrated or flavoured or containing added sugar or other sweetening matter, fruits, nuts or cocoa; 0406 - Cheese and curd; 0504 - Guts, bladders and stomachs of animals (other than fish), whole and pieces thereof, fresh, chilled, frozen, salted, in brine, dried or smoked; 0505 - Skins and other parts of birds, with their feathers or down, feathers and parts of feathers, whether or not with trimmed edges, and down, not further worked than cleaned, disinfected or treated for preservation; powder and waste of feathers or parts of feathers; 1214 - Swedes, mangolds, fodder roots, hay, alfalfa, clover, sainfoin, forage kale, lupines, vetches and similar forage products, whether or not in the form of pellets; 1604 - Prepared or preserved fish; caviar and caviar substitutes prepared from fish eggs; 2306 - Oil-cake and other solid residues, whether or not ground or in the form of pellets, resulting from the extraction of vegetable fats or oils (excl. from soya-bean oil and ground-nut oil); 2301 - Flours, meals and pellets, of meat or meat offal, of fish or of crustaceans, molluscs or other aquatic invertebrates, unfit for human consumption; greaves; 2304 - Oil-cake and other solid residues, whether or not ground or in the form of pellets, resulting from the extraction of soya-bean oil; 2308 - Acorns, horse-chestnuts, marc and other vegetable materials and vegetable waste, vegetable residues and by-products of a kind used in animal feeding, whether or not in the form of pellets, n.e.s.; 210220 - Inactive yeasts; other dead single-cell micro-organisms (excl. packaged as medicaments); 0408 - Birds' eggs, not in shell, and egg yolks, fresh, dried, cooked by steaming or by boiling in water, moulded, frozen or otherwise preserved, whether or not containing added sugar or other sweetening matter; 0409 - Natural honey; 0410 - Turtles' eggs, birds' nests and other edible products of animal origin, n.e.s.; 1213 - Cereal straw and husks, unprepared, whether or not chopped, ground, pressed or in the form of pellets; 0407 - Birds' eggs, in shell, fresh, preserved or cooked; 0506 - Bones and horn-cores and their powder and waste, unworked, defatted, simply prepared, treated with acid or degelatinised (excl. cut to shape); 4301 - Raw furskins, incl. heads, tails, paws and other pieces or cuttings suitable for use in furriery (excl. raw hides and skins of heading 4101, 4102 or 4103); 1301 - Lac; natural gums, resins, gum-resins, balsams and other natural oleoresins; 1516 - Animal or vegetable fats and oils and their fractions, partly or wholly hydrogenated, inter-esterified, re-esterified or elaidinized, whether or not refined, but not further prepared; 2309 - Preparations of a kind used in animal feeding; 1212 - 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 1518 - Animal or vegetable fats and oils and their fractions, boiled, oxidised, dehydrated, sulphurized, blown, polymerized by heat in vacuum or in inert gas or otherwise chemically modified, inedible mixtures or preparations of animal or vegetable fats or oils or of fractions of different fats or oils, n.e.s.; 2302 - Bran, sharps and other residues, whether or not in the form of pellets, derived from the sifting, milling or other working of cereals or of leguminous plants; 2303 - Residues of starch manufacture and similar residues, beet-pulp, bagasse and other waste of sugar manufacture, brewing or distilling dregs and waste, whether or not in the form of pellets; 0502 - Pigs', hogs' or boars' bristles and hair; badger hair and other brush making hair; waste of such bristles or hair; 0507 - Ivory, tortoise-shell, whalebone and whalebone hair, horns, antlers, hooves, nails, claws and beaks, unworked or simply prepared; powder and waste of these products (excl. cut to shape); 1211 - Plants and parts of plants, incl. seeds and fruits, of a kind used primarily in perfumery, medicaments or for insecticidal, fungicidal or similar purposes, fresh or dried, whether or not cut, crushed or powdered; 1602 - Prepared or preserved meat, offal or blood (excl. sausages and similar products, and meat extracts and juices); 1605 - Crustaceans, molluscs and other aquatic invertebrates, prepared or preserved; 0404 - Whey, whether or not concentrated or containing added sugar or other sweetening matter; products consisting of natural milk constituents, whether or not containing added sugar or other sweetening matter, n.e.s.; 0405 - Butter, incl. dehydrated butter and ghee, and other fats and oils derived from milk; dairy spreads; 1208 - Flours and meals of oil seeds or oleaginous fruits (excl. mustard); 1601 - Sausages and similar products, of meat, offal or blood; food preparations based on these products</t>
  </si>
  <si>
    <t>Animal health; Certification, control and inspection; Human health; Food safety</t>
  </si>
  <si>
    <d:r xmlns:d="http://schemas.openxmlformats.org/spreadsheetml/2006/main">
      <d:rPr>
        <d:sz val="11"/>
        <d:rFont val="Calibri"/>
      </d:rPr>
      <d:t xml:space="preserve">http://members.wto.org/crnattachments/2013/sps/RUS/13_0793_00_e.pdf
http://tsouz.ru/db/techregulation/Documents/ReshenieSertif%20EU.pdf</d:t>
    </d:r>
  </si>
  <si>
    <t>Letter of the Federal Service for Veterinary and Phytosanitary Surveillance No. FS-AS-3/1339 dated 7 February 2013</t>
  </si>
  <si>
    <t>This letter introduces a temporary restriction on import of rice, rice grits and groundnuts into the Russian Federation from the Republic of India and from third countries originating in the Republic of India, which are accompanied by phytosanitary certificates issued by the National Plant Protection Organizations of the third countries. This measure is introduced due to: the detection of repeated cases of the Capra beetle (Trogoderma granarium Ev.) - a pest of quarantine concern for the Russian Federation, which is absent in the territory of Russia; and due to the absence of emergency actions from the competent authorities in India.</t>
  </si>
  <si>
    <t>HS Codes: 1006, 1103, 1104, 1202</t>
  </si>
  <si>
    <t>1103 - Cereal groats, meal and pellets; 1202 - Ground-nuts, whether or not shelled or broken (excl. roasted or otherwise cooked); 1006 - Rice; 1104 - Cereal grains otherwise worked, e.g. hulled, rolled, flaked, pearled, sliced or kebbled; germ of cereals, whole, rolled, flaked or ground (excl. cereal flours, and husked and semi- or wholly milled rice and broken rice)</t>
  </si>
  <si>
    <t>Food safety; Pests; Plant health; Territory protection; Human health</t>
  </si>
  <si>
    <t>India</t>
  </si>
  <si>
    <t>The Eurasian Economic Commission Collegium Decisions on amendments to the Common veterinary (veterinary and sanitary) requirements and to the Common forms of certificates for goods subject to veterinary control (supervision) # 307 and 308 as of 25 December 2012</t>
  </si>
  <si>
    <t xml:space="preserve">These Decisions were developed in accordance with paragraph 890 of the WT/ACC/RUS/70._x000D_
The documents introduce amendments to CU legislation specifically to 23 Chapters of the Common veterinary (veterinary and sanitary) requirements and to 23 forms of the Common forms of certificates for goods subject to veterinary control (supervision) to ensure compatibility with international standards, recommendations and guidelines in particular OIE standards.</t>
  </si>
  <si>
    <t xml:space="preserve">Goods mentioned in Table 41 of WT/ACC/RUS/70, with the exception of HS Codes: 0101, 0105, 0201-0204, 0209 00, 0301, 0401-0406, 0510 00 000 0, 0511, 1001 10 000 0 (only feed grain), 1001 90 990 0 (only feed grain), 1002 00 000 0 (only feed grain), 1003 00 900 0 (only feed grain), 1004 00 000 0 (only feed grain), 1005 90 000 0 (only feed grain), 1201 00 900 0 (only feed grain), from 1208, from 1211, 1213 00 000 0, 1214, 1501 00-1521 90, 1902 20, 1904 20, from 20, from 2102 20, from 2104, from 2105, from 2106, 2301-2309, from group 29, from group 30, 3101 00 000 0, 3501, 3503 00, 3507, 3808, 3821 00 000 0, 3822 00 000 0._x000D_
Comment: According to the Customs Union (CU) Commission Decision #859 as of 9 December 2011, the following HS Codes should read:_x000D_
"0209 00" - "0209";_x000D_
"0407 00" - "0407";_x000D_
"0511 99 809 2" - "0511 99 859 2";_x000D_
"1001 10 000 0" - "1001 19 000 0";_x000D_
"1001 90 990 0" - "1001 99 000 0";_x000D_
"1002 00 000 0" - "1002 90 000 0";_x000D_
"1003 00 900 0" - "1003 90 000 0";_x000D_
"1004 00 000 0" - "1004 90 000 0"; and_x000D_
"1201 00 900 0" - "1201 90 000 0".</t>
  </si>
  <si>
    <d:r xmlns:d="http://schemas.openxmlformats.org/spreadsheetml/2006/main">
      <d:rPr>
        <d:sz val="11"/>
        <d:rFont val="Calibri"/>
      </d:rPr>
      <d:t xml:space="preserve">http://members.wto.org/crnattachments/2013/sps/RUS/13_0793_00_e.pdf
http://tsouz.ru/eek/RSEEK/RKEEK/38z/Pages/R_307.aspx
http://tsouz.ru/eek/RSEEK/RKEEK/38z/Pages/R_308.aspx</d:t>
    </d:r>
  </si>
  <si>
    <t>This letter introduces a temporary restriction on import of seed potatoes from European Union to Russian Federation. Meristem cells, mini tubers and stolons do not fall under this measure.</t>
  </si>
  <si>
    <t xml:space="preserve">HS Code(s):  0701.10</t>
  </si>
  <si>
    <t>Letter of the Federal Service for Veterinary and Phytosanitary Supervision No. FS-AS-7/523 of 22 January 2013</t>
  </si>
  <si>
    <t>This letter introduces a temporary restriction on import of chilled pork, beef and poultry from Germany due to violation of veterinary requirements of the Custom Union and Russia.</t>
  </si>
  <si>
    <t>Chilled pork, beef and poultry</t>
  </si>
  <si>
    <t>0207 - Meat and edible offal of fowls of the species Gallus domesticus, ducks, geese, turkeys and guinea fowls, fresh, chilled or frozen; 0203 - Meat of swine, fresh, chilled or frozen; 0201 - Meat of bovine animals, fresh or chilled</t>
  </si>
  <si>
    <t>Letter of the Federal Service for Veterinary and Phytosanitary Supervision #FS-AS-7/17069 as of 19 December 2012</t>
  </si>
  <si>
    <t xml:space="preserve">This letter introduces a temporary restriction due to the detection of seropositive animals of Schmallenberg virus in Sweden, which indicates the existence of this disease in the country.  This measure applies on transit through the territory of the Russian Federation of cattle and small cattle from Sweden and on import of cattle and small cattle and genetic materials of these animals from Sweden to Russia.</t>
  </si>
  <si>
    <t xml:space="preserve">HS Code(s):  0102, 0104</t>
  </si>
  <si>
    <t>Animal diseases; Pests; Territory protection; Seeds; Animal health; Pest- or Disease- free Regions / Regionalization; Plant health</t>
  </si>
  <si>
    <d:r xmlns:d="http://schemas.openxmlformats.org/spreadsheetml/2006/main">
      <d:rPr>
        <d:sz val="11"/>
        <d:rFont val="Calibri"/>
      </d:rPr>
      <d:t xml:space="preserve">http://www.fsvps.ru/fsvps/laws/3531.html</d:t>
    </d:r>
  </si>
  <si>
    <t xml:space="preserve">The Schmallenberg virus is insufficiently studied.  An international standard has not been developed yet.  The measure was provisionally adopted on the basis of available pertinent information as relevant scientific evidence is insufficient.</t>
  </si>
  <si>
    <t>The draft was developed in accordance with paragraph 932 of the WT/ACC/RUS/70.</t>
  </si>
  <si>
    <t>Meat, fish and fishery products, milk and milk products</t>
  </si>
  <si>
    <t>03 - FISH AND CRUSTACEANS, MOLLUSCS AND OTHER AQUATIC INVERTEBRATES; 04 - DAIRY PRODUCE; BIRDS' EGGS; NATURAL HONEY; EDIBLE PRODUCTS OF ANIMAL ORIGIN, NOT ELSEWHERE SPECIFIED OR INCLUDED; 02 - MEAT AND EDIBLE MEAT OFFAL</t>
  </si>
  <si>
    <t>Animal health; Human health; Food safety</t>
  </si>
  <si>
    <d:r xmlns:d="http://schemas.openxmlformats.org/spreadsheetml/2006/main">
      <d:rPr>
        <d:sz val="11"/>
        <d:rFont val="Calibri"/>
      </d:rPr>
      <d:t xml:space="preserve">http://www.tsouz.ru/db/techregulation/Documents/InspectionRules.doc</d:t>
    </d:r>
  </si>
  <si>
    <t>Draft technical regulation of the Customs Union on alcoholic products safety (82 pages, in Russian)</t>
  </si>
  <si>
    <t>The draft of technical regulation provides common requirements of the Custom Union to alcoholic products for ensuring free circulation of these products in the single market of the Custom Union.</t>
  </si>
  <si>
    <t>Alcoholic products</t>
  </si>
  <si>
    <t>67.160.10 - Alcoholic beverages</t>
  </si>
  <si>
    <t>-</t>
  </si>
  <si>
    <t>Letter of the Federal Service for Veterinary and Phytosanitary Supervision # FS-AS-7/16088 as of 4 December 2012</t>
  </si>
  <si>
    <t>This letter eliminates the temporary restriction on export of boneless beef, meat of small cattle to the Russian Federation due to the improvement of the epizootic situation on BSE on the territory of the United Kingdom.</t>
  </si>
  <si>
    <t>Boneless beef, meat of small cattle</t>
  </si>
  <si>
    <t>020130 - Fresh or chilled bovine meat, boneless</t>
  </si>
  <si>
    <t>Animal diseases; Food safety; Animal health; Human health; Pest- or Disease- free Regions / Regionalization; Bovine Spongiform Encephalopathy (BSE); Withdrawal of the measure; Transmissible Spongiform Encephalopathy (TSE); Zoonoses</t>
  </si>
  <si>
    <d:r xmlns:d="http://schemas.openxmlformats.org/spreadsheetml/2006/main">
      <d:rPr>
        <d:sz val="11"/>
        <d:rFont val="Calibri"/>
      </d:rPr>
      <d:t xml:space="preserve">http://www.fsvps.ru/fsvps/laws/3503.html</d:t>
    </d:r>
  </si>
  <si>
    <t>Amendments to the Technical Regulation of the Customs Union on Safety of Wheeled Vehicles (4 pages, in Russian).</t>
  </si>
  <si>
    <t>The draft of technical regulation provides requirements for wheeled vehicles when issued into circulation and being in operation on the territory of the Customs Union.</t>
  </si>
  <si>
    <t>Wheeled vehicles, chassis of vehicles, vehicle components that affect vehicle safety.</t>
  </si>
  <si>
    <t>43.040 - Road vehicle systems</t>
  </si>
  <si>
    <t xml:space="preserve">echnical regulation on safety of wheeled vehicles ;
http://www.tsouz.ru/KTS/KTS33/Pages/R_877.aspx ;
</t>
  </si>
  <si>
    <t>Letter of the Federal Service for Veterinary and Phytosanitary Supervision # FS-EN-7/15773 as of 27 November 2012</t>
  </si>
  <si>
    <t>This letter eliminates the temporary restriction on export of beef tongues to the Russian Federation due to the improvement of the epizootic situation on BSE on the territory of EU members.</t>
  </si>
  <si>
    <t>Beef tongues</t>
  </si>
  <si>
    <t>020621 - Frozen edible bovine tongues</t>
  </si>
  <si>
    <t>Animal diseases; Food safety; Animal health; Bovine Spongiform Encephalopathy (BSE); Withdrawal of the measure; Transmissible Spongiform Encephalopathy (TSE); Human health; Pest- or Disease- free Regions / Regionalization; Zoonoses</t>
  </si>
  <si>
    <t>Austria, Spain, Poland, France, Slovak Republic, Czech Republic</t>
  </si>
  <si>
    <d:r xmlns:d="http://schemas.openxmlformats.org/spreadsheetml/2006/main">
      <d:rPr>
        <d:sz val="11"/>
        <d:rFont val="Calibri"/>
      </d:rPr>
      <d:t xml:space="preserve">http://www.fsvps.ru/fsvps/laws/3460.html</d:t>
    </d:r>
  </si>
  <si>
    <t>Letter of the Federal Service for Veterinary and Phytosanitary Supervision #FS-EN-7/15784 as of 27 November 2012</t>
  </si>
  <si>
    <t>This letter introduces a temporary restriction due to the outbreak of classic swine fever in Latvia. This measure applies on import of live pigs, boar semen, pork and raw pork products and pork goods which were not heat treated (no less than 70ºC) from Latvia to Russia.</t>
  </si>
  <si>
    <t>Live pigs, boar semen, pork and raw pork products and pork goods</t>
  </si>
  <si>
    <t>0103 - Live swine; 0511 - Animal products n.e.s.; dead animals of all types, unfit for human consumption; 0203 - Meat of swine, fresh, chilled or frozen</t>
  </si>
  <si>
    <t>Animal diseases; Animal health; Pest- or Disease- free Regions / Regionalization; Classical Swine Fever; Bovine Spongiform Encephalopathy (BSE)</t>
  </si>
  <si>
    <d:r xmlns:d="http://schemas.openxmlformats.org/spreadsheetml/2006/main">
      <d:rPr>
        <d:sz val="11"/>
        <d:rFont val="Calibri"/>
      </d:rPr>
      <d:t xml:space="preserve">http://fsvps.ru/fsvps/laws/3464.html</d:t>
    </d:r>
  </si>
  <si>
    <t xml:space="preserve">This letter introduces a temporary restriction due to the detection of seropositive animals of Schmallenberg virus in Finland, which indicates the existence of this disease in the country.  This measure applies on transit through the territory of the Russian Federation of live and small cattle from Finland and on import of cattle and small cattle and genetic materials of these animals from Finland to Russia.</t>
  </si>
  <si>
    <t xml:space="preserve">This letter introduces a temporary restriction due to the detection of  seropositive animals of Schmallenberg virus in Austria, which indicates the existence of this disease in the country.  This measure applies on transit through the territory of the Russian Federation of cattle and small cattle from Austria and on import of cattle and small cattle and genetic materials of these animals from Austria to Russia.</t>
  </si>
  <si>
    <t>Article 15.2 (TBT)</t>
  </si>
</sst>
</file>

<file path=xl/styles.xml><?xml version="1.0" encoding="utf-8"?>
<styleSheet xmlns="http://schemas.openxmlformats.org/spreadsheetml/2006/main">
  <numFmts count="1">
    <numFmt numFmtId="164" formatCode="dd/MM/yyyy"/>
  </numFmts>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applyNumberFormat="1" fontId="1" applyFont="1" xfId="0" applyProtection="1" applyAlignment="1">
      <alignment horizontal="center" vertical="center"/>
    </xf>
    <xf numFmtId="0" applyNumberFormat="1" fontId="0" applyFont="1" xfId="0" applyProtection="1">
      <alignment wrapText="1"/>
    </xf>
    <xf numFmtId="0" applyNumberFormat="1" fontId="1" applyFont="1" xfId="0" applyProtection="1" applyAlignment="1">
      <alignment horizontal="center" vertical="center" wrapText="1"/>
    </xf>
    <xf numFmtId="164" applyNumberFormat="1" fontId="0" applyFont="1" xfId="0" applyProtection="1"/>
    <xf numFmtId="164" applyNumberFormat="1" fontId="1" applyFont="1" xfId="0" applyProtection="1" applyAlignment="1">
      <alignment horizontal="center" vertical="center"/>
    </xf>
    <xf numFmtId="0" applyNumberFormat="1" fontId="0" applyFont="1" xfId="0" applyProtection="1" applyAlignment="1">
      <alignment vertical="top"/>
    </xf>
    <xf numFmtId="164" applyNumberFormat="1" fontId="0" applyFont="1" xfId="0" applyProtection="1" applyAlignment="1">
      <alignment vertical="top"/>
    </xf>
    <xf numFmtId="0" applyNumberFormat="1" fontId="0" applyFont="1" xfId="0" applyProtection="1" applyAlignment="1">
      <alignment vertical="top" wrapText="1"/>
    </xf>
    <xf numFmtId="0"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E630"/>
  <sheetViews>
    <sheetView workbookViewId="0"/>
  </sheetViews>
  <sheetFormatPr defaultRowHeight="15"/>
  <cols>
    <col min="1" max="1" width="30" customWidth="1"/>
    <col min="2" max="2" width="20" customWidth="1" style="4"/>
    <col min="3" max="3" width="50" customWidth="1"/>
    <col min="4" max="4" width="100" customWidth="1" style="2"/>
    <col min="5" max="5" width="100" customWidth="1" style="2"/>
    <col min="6" max="6" width="100" customWidth="1" style="2"/>
    <col min="7" max="7" width="100" customWidth="1" style="2"/>
    <col min="8" max="8" width="100" customWidth="1" style="2"/>
    <col min="9" max="9" width="100" customWidth="1" style="2"/>
    <col min="10" max="10" width="100" customWidth="1" style="2"/>
    <col min="11" max="11" width="100" customWidth="1"/>
    <col min="12" max="12" width="30" customWidth="1" style="4"/>
    <col min="13" max="13" width="100" customWidth="1"/>
    <col min="14" max="14" width="100" customWidth="1"/>
    <col min="15" max="15" width="100" customWidth="1"/>
    <col min="16" max="16" width="100" customWidth="1"/>
    <col min="17" max="17" width="100" customWidth="1"/>
    <col min="18" max="18" width="100" customWidth="1"/>
    <col min="19" max="19" width="100" customWidth="1"/>
    <col min="20" max="20" width="100" customWidth="1"/>
    <col min="21" max="21" width="100" customWidth="1"/>
    <col min="22" max="22" width="100" customWidth="1"/>
    <col min="23" max="23" width="100" customWidth="1"/>
    <col min="24" max="24" width="100" customWidth="1"/>
    <col min="25" max="25" width="100" customWidth="1" style="2"/>
    <col min="26" max="26" width="100" customWidth="1"/>
    <col min="27" max="27" width="100" customWidth="1"/>
    <col min="28" max="28" width="100" customWidth="1"/>
    <col min="29" max="29" width="100" customWidth="1"/>
    <col min="30" max="30" width="100" customWidth="1"/>
    <col min="31" max="31" width="100" customWidth="1" style="2"/>
  </cols>
  <sheetData>
    <row r="1" ht="30" customHeight="1">
      <c r="A1" s="1" t="s">
        <v>0</v>
      </c>
      <c r="B1" s="5" t="s">
        <v>1</v>
      </c>
      <c r="C1" s="1" t="s">
        <v>2</v>
      </c>
      <c r="D1" s="3" t="s">
        <v>3</v>
      </c>
      <c r="E1" s="3" t="s">
        <v>4</v>
      </c>
      <c r="F1" s="3" t="s">
        <v>5</v>
      </c>
      <c r="G1" s="3" t="s">
        <v>6</v>
      </c>
      <c r="H1" s="3" t="s">
        <v>7</v>
      </c>
      <c r="I1" s="3" t="s">
        <v>8</v>
      </c>
      <c r="J1" s="3" t="s">
        <v>9</v>
      </c>
      <c r="K1" s="1" t="s">
        <v>10</v>
      </c>
      <c r="L1" s="5" t="s">
        <v>11</v>
      </c>
      <c r="M1" s="1" t="s">
        <v>12</v>
      </c>
      <c r="N1" s="1" t="s">
        <v>13</v>
      </c>
      <c r="O1" s="1" t="s">
        <v>14</v>
      </c>
      <c r="P1" s="1" t="s">
        <v>15</v>
      </c>
      <c r="Q1" s="1" t="s">
        <v>16</v>
      </c>
      <c r="R1" s="1" t="s">
        <v>17</v>
      </c>
      <c r="S1" s="1" t="s">
        <v>18</v>
      </c>
      <c r="T1" s="1" t="s">
        <v>19</v>
      </c>
      <c r="U1" s="1" t="s">
        <v>20</v>
      </c>
      <c r="V1" s="1" t="s">
        <v>21</v>
      </c>
      <c r="W1" s="1" t="s">
        <v>22</v>
      </c>
      <c r="X1" s="1" t="s">
        <v>23</v>
      </c>
      <c r="Y1" s="3" t="s">
        <v>24</v>
      </c>
      <c r="Z1" s="1" t="s">
        <v>25</v>
      </c>
      <c r="AA1" s="1" t="s">
        <v>26</v>
      </c>
      <c r="AB1" s="1" t="s">
        <v>27</v>
      </c>
      <c r="AC1" s="1" t="s">
        <v>28</v>
      </c>
      <c r="AD1" s="1" t="s">
        <v>29</v>
      </c>
      <c r="AE1" s="3" t="s">
        <v>30</v>
      </c>
    </row>
    <row r="2">
      <c r="A2" s="6" t="s">
        <v>31</v>
      </c>
      <c r="B2" s="7">
        <v>46000</v>
      </c>
      <c r="C2" s="9">
        <f>HYPERLINK("https://www.epingalert.org/en/Search?viewData= G/SPS/N/RUS/342"," G/SPS/N/RUS/342")</f>
      </c>
      <c r="D2" s="8" t="s">
        <v>32</v>
      </c>
      <c r="E2" s="8" t="s">
        <v>33</v>
      </c>
      <c r="F2" s="8" t="s">
        <v>34</v>
      </c>
      <c r="G2" s="8" t="s">
        <v>35</v>
      </c>
      <c r="H2" s="8" t="s">
        <v>36</v>
      </c>
      <c r="I2" s="8" t="s">
        <v>37</v>
      </c>
      <c r="J2" s="8" t="s">
        <v>38</v>
      </c>
      <c r="K2" s="6" t="s">
        <v>39</v>
      </c>
      <c r="L2" s="7" t="s">
        <v>36</v>
      </c>
      <c r="M2" s="6" t="s">
        <v>40</v>
      </c>
      <c r="N2" s="8" t="s">
        <v>41</v>
      </c>
      <c r="O2" s="6">
        <f>HYPERLINK("https://docs.wto.org/imrd/directdoc.asp?DDFDocuments/t/G/SPS/NRUS342", "https://docs.wto.org/imrd/directdoc.asp?DDFDocuments/t/G/SPS/NRUS342")</f>
      </c>
      <c r="P2" s="6"/>
      <c r="Q2" s="6"/>
      <c r="R2" s="0" t="s">
        <v>36</v>
      </c>
      <c r="S2" s="0" t="s">
        <v>36</v>
      </c>
      <c r="T2" s="0" t="s">
        <v>36</v>
      </c>
      <c r="U2" s="0" t="s">
        <v>36</v>
      </c>
      <c r="V2" s="0" t="s">
        <v>36</v>
      </c>
      <c r="W2" s="0" t="s">
        <v>36</v>
      </c>
      <c r="X2" s="0" t="s">
        <v>36</v>
      </c>
      <c r="Y2" s="2" t="s">
        <v>36</v>
      </c>
      <c r="Z2" s="0" t="s">
        <v>42</v>
      </c>
      <c r="AA2" s="0" t="s">
        <v>43</v>
      </c>
      <c r="AB2" s="0" t="s">
        <v>42</v>
      </c>
      <c r="AC2" s="0" t="s">
        <v>42</v>
      </c>
      <c r="AD2" s="0" t="s">
        <v>43</v>
      </c>
      <c r="AE2" s="2" t="s">
        <v>36</v>
      </c>
    </row>
    <row r="3">
      <c r="A3" s="6" t="s">
        <v>31</v>
      </c>
      <c r="B3" s="7">
        <v>45999</v>
      </c>
      <c r="C3" s="9">
        <f>HYPERLINK("https://www.epingalert.org/en/Search?viewData= G/TBT/N/RUS/179"," G/TBT/N/RUS/179")</f>
      </c>
      <c r="D3" s="8" t="s">
        <v>44</v>
      </c>
      <c r="E3" s="8" t="s">
        <v>45</v>
      </c>
      <c r="F3" s="8" t="s">
        <v>46</v>
      </c>
      <c r="G3" s="8" t="s">
        <v>47</v>
      </c>
      <c r="H3" s="8" t="s">
        <v>48</v>
      </c>
      <c r="I3" s="8" t="s">
        <v>49</v>
      </c>
      <c r="J3" s="8" t="s">
        <v>50</v>
      </c>
      <c r="K3" s="6"/>
      <c r="L3" s="7">
        <v>46087</v>
      </c>
      <c r="M3" s="6" t="s">
        <v>51</v>
      </c>
      <c r="N3" s="6"/>
      <c r="O3" s="6">
        <f>HYPERLINK("https://docs.wto.org/imrd/directdoc.asp?DDFDocuments/t/G/TBTN25/RUS179", "https://docs.wto.org/imrd/directdoc.asp?DDFDocuments/t/G/TBTN25/RUS179")</f>
      </c>
      <c r="P3" s="6"/>
      <c r="Q3" s="6"/>
      <c r="R3" s="0" t="s">
        <v>43</v>
      </c>
      <c r="S3" s="0" t="s">
        <v>42</v>
      </c>
      <c r="T3" s="0" t="s">
        <v>42</v>
      </c>
      <c r="U3" s="0" t="s">
        <v>42</v>
      </c>
      <c r="V3" s="0" t="s">
        <v>42</v>
      </c>
      <c r="W3" s="0" t="s">
        <v>42</v>
      </c>
      <c r="X3" s="0" t="s">
        <v>42</v>
      </c>
      <c r="Y3" s="2" t="s">
        <v>52</v>
      </c>
      <c r="Z3" s="0" t="s">
        <v>36</v>
      </c>
      <c r="AA3" s="0" t="s">
        <v>36</v>
      </c>
      <c r="AB3" s="0" t="s">
        <v>36</v>
      </c>
      <c r="AC3" s="0" t="s">
        <v>36</v>
      </c>
      <c r="AD3" s="0" t="s">
        <v>36</v>
      </c>
      <c r="AE3" s="2" t="s">
        <v>36</v>
      </c>
    </row>
    <row r="4">
      <c r="A4" s="6" t="s">
        <v>31</v>
      </c>
      <c r="B4" s="7">
        <v>45993</v>
      </c>
      <c r="C4" s="9">
        <f>HYPERLINK("https://www.epingalert.org/en/Search?viewData= G/TBT/N/RUS/178"," G/TBT/N/RUS/178")</f>
      </c>
      <c r="D4" s="8" t="s">
        <v>53</v>
      </c>
      <c r="E4" s="8" t="s">
        <v>54</v>
      </c>
      <c r="F4" s="8" t="s">
        <v>55</v>
      </c>
      <c r="G4" s="8" t="s">
        <v>56</v>
      </c>
      <c r="H4" s="8" t="s">
        <v>36</v>
      </c>
      <c r="I4" s="8" t="s">
        <v>57</v>
      </c>
      <c r="J4" s="8" t="s">
        <v>58</v>
      </c>
      <c r="K4" s="6"/>
      <c r="L4" s="7">
        <v>45998</v>
      </c>
      <c r="M4" s="6" t="s">
        <v>51</v>
      </c>
      <c r="N4" s="8" t="s">
        <v>59</v>
      </c>
      <c r="O4" s="6">
        <f>HYPERLINK("https://docs.wto.org/imrd/directdoc.asp?DDFDocuments/t/G/TBTN25/RUS178", "https://docs.wto.org/imrd/directdoc.asp?DDFDocuments/t/G/TBTN25/RUS178")</f>
      </c>
      <c r="P4" s="6">
        <f>HYPERLINK("https://docs.wto.org/imrd/directdoc.asp?DDFDocuments/u/G/TBTN25/RUS178", "https://docs.wto.org/imrd/directdoc.asp?DDFDocuments/u/G/TBTN25/RUS178")</f>
      </c>
      <c r="Q4" s="6">
        <f>HYPERLINK("https://docs.wto.org/imrd/directdoc.asp?DDFDocuments/v/G/TBTN25/RUS178", "https://docs.wto.org/imrd/directdoc.asp?DDFDocuments/v/G/TBTN25/RUS178")</f>
      </c>
      <c r="R4" s="0" t="s">
        <v>43</v>
      </c>
      <c r="S4" s="0" t="s">
        <v>42</v>
      </c>
      <c r="T4" s="0" t="s">
        <v>42</v>
      </c>
      <c r="U4" s="0" t="s">
        <v>42</v>
      </c>
      <c r="V4" s="0" t="s">
        <v>42</v>
      </c>
      <c r="W4" s="0" t="s">
        <v>42</v>
      </c>
      <c r="X4" s="0" t="s">
        <v>42</v>
      </c>
      <c r="Y4" s="2" t="s">
        <v>60</v>
      </c>
      <c r="Z4" s="0" t="s">
        <v>36</v>
      </c>
      <c r="AA4" s="0" t="s">
        <v>36</v>
      </c>
      <c r="AB4" s="0" t="s">
        <v>36</v>
      </c>
      <c r="AC4" s="0" t="s">
        <v>36</v>
      </c>
      <c r="AD4" s="0" t="s">
        <v>36</v>
      </c>
      <c r="AE4" s="2" t="s">
        <v>36</v>
      </c>
    </row>
    <row r="5">
      <c r="A5" s="6" t="s">
        <v>31</v>
      </c>
      <c r="B5" s="7">
        <v>45981</v>
      </c>
      <c r="C5" s="9">
        <f>HYPERLINK("https://www.epingalert.org/en/Search?viewData= G/SPS/N/RUS/341"," G/SPS/N/RUS/341")</f>
      </c>
      <c r="D5" s="8" t="s">
        <v>61</v>
      </c>
      <c r="E5" s="8" t="s">
        <v>62</v>
      </c>
      <c r="F5" s="8" t="s">
        <v>63</v>
      </c>
      <c r="G5" s="8" t="s">
        <v>64</v>
      </c>
      <c r="H5" s="8" t="s">
        <v>36</v>
      </c>
      <c r="I5" s="8" t="s">
        <v>65</v>
      </c>
      <c r="J5" s="8" t="s">
        <v>66</v>
      </c>
      <c r="K5" s="6" t="s">
        <v>36</v>
      </c>
      <c r="L5" s="7">
        <v>46042</v>
      </c>
      <c r="M5" s="6" t="s">
        <v>51</v>
      </c>
      <c r="N5" s="8" t="s">
        <v>67</v>
      </c>
      <c r="O5" s="6">
        <f>HYPERLINK("https://docs.wto.org/imrd/directdoc.asp?DDFDocuments/t/G/SPS/NRUS341", "https://docs.wto.org/imrd/directdoc.asp?DDFDocuments/t/G/SPS/NRUS341")</f>
      </c>
      <c r="P5" s="6">
        <f>HYPERLINK("https://docs.wto.org/imrd/directdoc.asp?DDFDocuments/u/G/SPS/NRUS341", "https://docs.wto.org/imrd/directdoc.asp?DDFDocuments/u/G/SPS/NRUS341")</f>
      </c>
      <c r="Q5" s="6">
        <f>HYPERLINK("https://docs.wto.org/imrd/directdoc.asp?DDFDocuments/v/G/SPS/NRUS341", "https://docs.wto.org/imrd/directdoc.asp?DDFDocuments/v/G/SPS/NRUS341")</f>
      </c>
      <c r="R5" s="0" t="s">
        <v>36</v>
      </c>
      <c r="S5" s="0" t="s">
        <v>36</v>
      </c>
      <c r="T5" s="0" t="s">
        <v>36</v>
      </c>
      <c r="U5" s="0" t="s">
        <v>36</v>
      </c>
      <c r="V5" s="0" t="s">
        <v>36</v>
      </c>
      <c r="W5" s="0" t="s">
        <v>36</v>
      </c>
      <c r="X5" s="0" t="s">
        <v>36</v>
      </c>
      <c r="Y5" s="2" t="s">
        <v>36</v>
      </c>
      <c r="Z5" s="0" t="s">
        <v>42</v>
      </c>
      <c r="AA5" s="0" t="s">
        <v>42</v>
      </c>
      <c r="AB5" s="0" t="s">
        <v>43</v>
      </c>
      <c r="AC5" s="0" t="s">
        <v>42</v>
      </c>
      <c r="AD5" s="0" t="s">
        <v>43</v>
      </c>
      <c r="AE5" s="2" t="s">
        <v>36</v>
      </c>
    </row>
    <row r="6">
      <c r="A6" s="6" t="s">
        <v>31</v>
      </c>
      <c r="B6" s="7">
        <v>45981</v>
      </c>
      <c r="C6" s="9">
        <f>HYPERLINK("https://www.epingalert.org/en/Search?viewData= G/SPS/N/RUS/340"," G/SPS/N/RUS/340")</f>
      </c>
      <c r="D6" s="8" t="s">
        <v>68</v>
      </c>
      <c r="E6" s="8" t="s">
        <v>69</v>
      </c>
      <c r="F6" s="8" t="s">
        <v>70</v>
      </c>
      <c r="G6" s="8" t="s">
        <v>71</v>
      </c>
      <c r="H6" s="8" t="s">
        <v>36</v>
      </c>
      <c r="I6" s="8" t="s">
        <v>65</v>
      </c>
      <c r="J6" s="8" t="s">
        <v>72</v>
      </c>
      <c r="K6" s="6" t="s">
        <v>36</v>
      </c>
      <c r="L6" s="7">
        <v>46046</v>
      </c>
      <c r="M6" s="6" t="s">
        <v>51</v>
      </c>
      <c r="N6" s="8" t="s">
        <v>73</v>
      </c>
      <c r="O6" s="6">
        <f>HYPERLINK("https://docs.wto.org/imrd/directdoc.asp?DDFDocuments/t/G/SPS/NRUS340", "https://docs.wto.org/imrd/directdoc.asp?DDFDocuments/t/G/SPS/NRUS340")</f>
      </c>
      <c r="P6" s="6">
        <f>HYPERLINK("https://docs.wto.org/imrd/directdoc.asp?DDFDocuments/u/G/SPS/NRUS340", "https://docs.wto.org/imrd/directdoc.asp?DDFDocuments/u/G/SPS/NRUS340")</f>
      </c>
      <c r="Q6" s="6">
        <f>HYPERLINK("https://docs.wto.org/imrd/directdoc.asp?DDFDocuments/v/G/SPS/NRUS340", "https://docs.wto.org/imrd/directdoc.asp?DDFDocuments/v/G/SPS/NRUS340")</f>
      </c>
      <c r="R6" s="0" t="s">
        <v>36</v>
      </c>
      <c r="S6" s="0" t="s">
        <v>36</v>
      </c>
      <c r="T6" s="0" t="s">
        <v>36</v>
      </c>
      <c r="U6" s="0" t="s">
        <v>36</v>
      </c>
      <c r="V6" s="0" t="s">
        <v>36</v>
      </c>
      <c r="W6" s="0" t="s">
        <v>36</v>
      </c>
      <c r="X6" s="0" t="s">
        <v>36</v>
      </c>
      <c r="Y6" s="2" t="s">
        <v>36</v>
      </c>
      <c r="Z6" s="0" t="s">
        <v>42</v>
      </c>
      <c r="AA6" s="0" t="s">
        <v>42</v>
      </c>
      <c r="AB6" s="0" t="s">
        <v>43</v>
      </c>
      <c r="AC6" s="0" t="s">
        <v>42</v>
      </c>
      <c r="AD6" s="0" t="s">
        <v>43</v>
      </c>
      <c r="AE6" s="2" t="s">
        <v>36</v>
      </c>
    </row>
    <row r="7">
      <c r="A7" s="6" t="s">
        <v>31</v>
      </c>
      <c r="B7" s="7">
        <v>45978</v>
      </c>
      <c r="C7" s="9">
        <f>HYPERLINK("https://www.epingalert.org/en/Search?viewData= G/TBT/N/RUS/177"," G/TBT/N/RUS/177")</f>
      </c>
      <c r="D7" s="8" t="s">
        <v>74</v>
      </c>
      <c r="E7" s="8" t="s">
        <v>75</v>
      </c>
      <c r="F7" s="8" t="s">
        <v>76</v>
      </c>
      <c r="G7" s="8" t="s">
        <v>56</v>
      </c>
      <c r="H7" s="8" t="s">
        <v>77</v>
      </c>
      <c r="I7" s="8" t="s">
        <v>78</v>
      </c>
      <c r="J7" s="8" t="s">
        <v>58</v>
      </c>
      <c r="K7" s="6"/>
      <c r="L7" s="7">
        <v>46001</v>
      </c>
      <c r="M7" s="6" t="s">
        <v>51</v>
      </c>
      <c r="N7" s="6"/>
      <c r="O7" s="6">
        <f>HYPERLINK("https://docs.wto.org/imrd/directdoc.asp?DDFDocuments/t/G/TBTN25/RUS177", "https://docs.wto.org/imrd/directdoc.asp?DDFDocuments/t/G/TBTN25/RUS177")</f>
      </c>
      <c r="P7" s="6">
        <f>HYPERLINK("https://docs.wto.org/imrd/directdoc.asp?DDFDocuments/u/G/TBTN25/RUS177", "https://docs.wto.org/imrd/directdoc.asp?DDFDocuments/u/G/TBTN25/RUS177")</f>
      </c>
      <c r="Q7" s="6">
        <f>HYPERLINK("https://docs.wto.org/imrd/directdoc.asp?DDFDocuments/v/G/TBTN25/RUS177", "https://docs.wto.org/imrd/directdoc.asp?DDFDocuments/v/G/TBTN25/RUS177")</f>
      </c>
      <c r="R7" s="0" t="s">
        <v>43</v>
      </c>
      <c r="S7" s="0" t="s">
        <v>42</v>
      </c>
      <c r="T7" s="0" t="s">
        <v>42</v>
      </c>
      <c r="U7" s="0" t="s">
        <v>42</v>
      </c>
      <c r="V7" s="0" t="s">
        <v>42</v>
      </c>
      <c r="W7" s="0" t="s">
        <v>42</v>
      </c>
      <c r="X7" s="0" t="s">
        <v>42</v>
      </c>
      <c r="Y7" s="2" t="s">
        <v>79</v>
      </c>
      <c r="Z7" s="0" t="s">
        <v>36</v>
      </c>
      <c r="AA7" s="0" t="s">
        <v>36</v>
      </c>
      <c r="AB7" s="0" t="s">
        <v>36</v>
      </c>
      <c r="AC7" s="0" t="s">
        <v>36</v>
      </c>
      <c r="AD7" s="0" t="s">
        <v>36</v>
      </c>
      <c r="AE7" s="2" t="s">
        <v>36</v>
      </c>
    </row>
    <row r="8">
      <c r="A8" s="6" t="s">
        <v>31</v>
      </c>
      <c r="B8" s="7">
        <v>45975</v>
      </c>
      <c r="C8" s="9">
        <f>HYPERLINK("https://www.epingalert.org/en/Search?viewData= G/SPS/N/RUS/339"," G/SPS/N/RUS/339")</f>
      </c>
      <c r="D8" s="8" t="s">
        <v>80</v>
      </c>
      <c r="E8" s="8" t="s">
        <v>81</v>
      </c>
      <c r="F8" s="8" t="s">
        <v>82</v>
      </c>
      <c r="G8" s="8" t="s">
        <v>83</v>
      </c>
      <c r="H8" s="8" t="s">
        <v>36</v>
      </c>
      <c r="I8" s="8" t="s">
        <v>37</v>
      </c>
      <c r="J8" s="8" t="s">
        <v>84</v>
      </c>
      <c r="K8" s="6" t="s">
        <v>85</v>
      </c>
      <c r="L8" s="7" t="s">
        <v>36</v>
      </c>
      <c r="M8" s="6" t="s">
        <v>40</v>
      </c>
      <c r="N8" s="8" t="s">
        <v>86</v>
      </c>
      <c r="O8" s="6">
        <f>HYPERLINK("https://docs.wto.org/imrd/directdoc.asp?DDFDocuments/t/G/SPS/NRUS339", "https://docs.wto.org/imrd/directdoc.asp?DDFDocuments/t/G/SPS/NRUS339")</f>
      </c>
      <c r="P8" s="6">
        <f>HYPERLINK("https://docs.wto.org/imrd/directdoc.asp?DDFDocuments/u/G/SPS/NRUS339", "https://docs.wto.org/imrd/directdoc.asp?DDFDocuments/u/G/SPS/NRUS339")</f>
      </c>
      <c r="Q8" s="6">
        <f>HYPERLINK("https://docs.wto.org/imrd/directdoc.asp?DDFDocuments/v/G/SPS/NRUS339", "https://docs.wto.org/imrd/directdoc.asp?DDFDocuments/v/G/SPS/NRUS339")</f>
      </c>
      <c r="R8" s="0" t="s">
        <v>36</v>
      </c>
      <c r="S8" s="0" t="s">
        <v>36</v>
      </c>
      <c r="T8" s="0" t="s">
        <v>36</v>
      </c>
      <c r="U8" s="0" t="s">
        <v>36</v>
      </c>
      <c r="V8" s="0" t="s">
        <v>36</v>
      </c>
      <c r="W8" s="0" t="s">
        <v>36</v>
      </c>
      <c r="X8" s="0" t="s">
        <v>36</v>
      </c>
      <c r="Y8" s="2" t="s">
        <v>36</v>
      </c>
      <c r="Z8" s="0" t="s">
        <v>42</v>
      </c>
      <c r="AA8" s="0" t="s">
        <v>43</v>
      </c>
      <c r="AB8" s="0" t="s">
        <v>42</v>
      </c>
      <c r="AC8" s="0" t="s">
        <v>42</v>
      </c>
      <c r="AD8" s="0" t="s">
        <v>43</v>
      </c>
      <c r="AE8" s="2" t="s">
        <v>36</v>
      </c>
    </row>
    <row r="9">
      <c r="A9" s="6" t="s">
        <v>31</v>
      </c>
      <c r="B9" s="7">
        <v>45974</v>
      </c>
      <c r="C9" s="9">
        <f>HYPERLINK("https://www.epingalert.org/en/Search?viewData= G/SPS/N/RUS/338"," G/SPS/N/RUS/338")</f>
      </c>
      <c r="D9" s="8" t="s">
        <v>87</v>
      </c>
      <c r="E9" s="8" t="s">
        <v>88</v>
      </c>
      <c r="F9" s="8" t="s">
        <v>89</v>
      </c>
      <c r="G9" s="8" t="s">
        <v>90</v>
      </c>
      <c r="H9" s="8" t="s">
        <v>36</v>
      </c>
      <c r="I9" s="8" t="s">
        <v>37</v>
      </c>
      <c r="J9" s="8" t="s">
        <v>91</v>
      </c>
      <c r="K9" s="6" t="s">
        <v>92</v>
      </c>
      <c r="L9" s="7" t="s">
        <v>36</v>
      </c>
      <c r="M9" s="6" t="s">
        <v>40</v>
      </c>
      <c r="N9" s="8" t="s">
        <v>93</v>
      </c>
      <c r="O9" s="6">
        <f>HYPERLINK("https://docs.wto.org/imrd/directdoc.asp?DDFDocuments/t/G/SPS/NRUS338", "https://docs.wto.org/imrd/directdoc.asp?DDFDocuments/t/G/SPS/NRUS338")</f>
      </c>
      <c r="P9" s="6">
        <f>HYPERLINK("https://docs.wto.org/imrd/directdoc.asp?DDFDocuments/u/G/SPS/NRUS338", "https://docs.wto.org/imrd/directdoc.asp?DDFDocuments/u/G/SPS/NRUS338")</f>
      </c>
      <c r="Q9" s="6">
        <f>HYPERLINK("https://docs.wto.org/imrd/directdoc.asp?DDFDocuments/v/G/SPS/NRUS338", "https://docs.wto.org/imrd/directdoc.asp?DDFDocuments/v/G/SPS/NRUS338")</f>
      </c>
      <c r="R9" s="0" t="s">
        <v>36</v>
      </c>
      <c r="S9" s="0" t="s">
        <v>36</v>
      </c>
      <c r="T9" s="0" t="s">
        <v>36</v>
      </c>
      <c r="U9" s="0" t="s">
        <v>36</v>
      </c>
      <c r="V9" s="0" t="s">
        <v>36</v>
      </c>
      <c r="W9" s="0" t="s">
        <v>36</v>
      </c>
      <c r="X9" s="0" t="s">
        <v>36</v>
      </c>
      <c r="Y9" s="2" t="s">
        <v>36</v>
      </c>
      <c r="Z9" s="0" t="s">
        <v>42</v>
      </c>
      <c r="AA9" s="0" t="s">
        <v>43</v>
      </c>
      <c r="AB9" s="0" t="s">
        <v>42</v>
      </c>
      <c r="AC9" s="0" t="s">
        <v>42</v>
      </c>
      <c r="AD9" s="0" t="s">
        <v>43</v>
      </c>
      <c r="AE9" s="2" t="s">
        <v>36</v>
      </c>
    </row>
    <row r="10">
      <c r="A10" s="6" t="s">
        <v>31</v>
      </c>
      <c r="B10" s="7">
        <v>45968</v>
      </c>
      <c r="C10" s="9">
        <f>HYPERLINK("https://www.epingalert.org/en/Search?viewData= G/SPS/N/RUS/337"," G/SPS/N/RUS/337")</f>
      </c>
      <c r="D10" s="8" t="s">
        <v>94</v>
      </c>
      <c r="E10" s="8" t="s">
        <v>95</v>
      </c>
      <c r="F10" s="8" t="s">
        <v>96</v>
      </c>
      <c r="G10" s="8" t="s">
        <v>36</v>
      </c>
      <c r="H10" s="8" t="s">
        <v>36</v>
      </c>
      <c r="I10" s="8" t="s">
        <v>97</v>
      </c>
      <c r="J10" s="8" t="s">
        <v>98</v>
      </c>
      <c r="K10" s="6" t="s">
        <v>99</v>
      </c>
      <c r="L10" s="7" t="s">
        <v>36</v>
      </c>
      <c r="M10" s="6" t="s">
        <v>51</v>
      </c>
      <c r="N10" s="8" t="s">
        <v>100</v>
      </c>
      <c r="O10" s="6">
        <f>HYPERLINK("https://docs.wto.org/imrd/directdoc.asp?DDFDocuments/t/G/SPS/NRUS337", "https://docs.wto.org/imrd/directdoc.asp?DDFDocuments/t/G/SPS/NRUS337")</f>
      </c>
      <c r="P10" s="6">
        <f>HYPERLINK("https://docs.wto.org/imrd/directdoc.asp?DDFDocuments/u/G/SPS/NRUS337", "https://docs.wto.org/imrd/directdoc.asp?DDFDocuments/u/G/SPS/NRUS337")</f>
      </c>
      <c r="Q10" s="6">
        <f>HYPERLINK("https://docs.wto.org/imrd/directdoc.asp?DDFDocuments/v/G/SPS/NRUS337", "https://docs.wto.org/imrd/directdoc.asp?DDFDocuments/v/G/SPS/NRUS337")</f>
      </c>
      <c r="R10" s="0" t="s">
        <v>36</v>
      </c>
      <c r="S10" s="0" t="s">
        <v>36</v>
      </c>
      <c r="T10" s="0" t="s">
        <v>36</v>
      </c>
      <c r="U10" s="0" t="s">
        <v>36</v>
      </c>
      <c r="V10" s="0" t="s">
        <v>36</v>
      </c>
      <c r="W10" s="0" t="s">
        <v>36</v>
      </c>
      <c r="X10" s="0" t="s">
        <v>36</v>
      </c>
      <c r="Y10" s="2" t="s">
        <v>36</v>
      </c>
      <c r="Z10" s="0" t="s">
        <v>43</v>
      </c>
      <c r="AA10" s="0" t="s">
        <v>42</v>
      </c>
      <c r="AB10" s="0" t="s">
        <v>42</v>
      </c>
      <c r="AC10" s="0" t="s">
        <v>42</v>
      </c>
      <c r="AD10" s="0" t="s">
        <v>43</v>
      </c>
      <c r="AE10" s="2" t="s">
        <v>36</v>
      </c>
    </row>
    <row r="11">
      <c r="A11" s="6" t="s">
        <v>31</v>
      </c>
      <c r="B11" s="7">
        <v>45953</v>
      </c>
      <c r="C11" s="9">
        <f>HYPERLINK("https://www.epingalert.org/en/Search?viewData= G/SPS/N/RUS/336"," G/SPS/N/RUS/336")</f>
      </c>
      <c r="D11" s="8" t="s">
        <v>101</v>
      </c>
      <c r="E11" s="8" t="s">
        <v>102</v>
      </c>
      <c r="F11" s="8" t="s">
        <v>103</v>
      </c>
      <c r="G11" s="8" t="s">
        <v>104</v>
      </c>
      <c r="H11" s="8" t="s">
        <v>36</v>
      </c>
      <c r="I11" s="8" t="s">
        <v>97</v>
      </c>
      <c r="J11" s="8" t="s">
        <v>105</v>
      </c>
      <c r="K11" s="6" t="s">
        <v>36</v>
      </c>
      <c r="L11" s="7">
        <v>46007</v>
      </c>
      <c r="M11" s="6" t="s">
        <v>51</v>
      </c>
      <c r="N11" s="8" t="s">
        <v>106</v>
      </c>
      <c r="O11" s="6">
        <f>HYPERLINK("https://docs.wto.org/imrd/directdoc.asp?DDFDocuments/t/G/SPS/NRUS336.DOCX", "https://docs.wto.org/imrd/directdoc.asp?DDFDocuments/t/G/SPS/NRUS336.DOCX")</f>
      </c>
      <c r="P11" s="6">
        <f>HYPERLINK("https://docs.wto.org/imrd/directdoc.asp?DDFDocuments/u/G/SPS/NRUS336.DOCX", "https://docs.wto.org/imrd/directdoc.asp?DDFDocuments/u/G/SPS/NRUS336.DOCX")</f>
      </c>
      <c r="Q11" s="6">
        <f>HYPERLINK("https://docs.wto.org/imrd/directdoc.asp?DDFDocuments/v/G/SPS/NRUS336.DOCX", "https://docs.wto.org/imrd/directdoc.asp?DDFDocuments/v/G/SPS/NRUS336.DOCX")</f>
      </c>
      <c r="R11" s="0" t="s">
        <v>36</v>
      </c>
      <c r="S11" s="0" t="s">
        <v>36</v>
      </c>
      <c r="T11" s="0" t="s">
        <v>36</v>
      </c>
      <c r="U11" s="0" t="s">
        <v>36</v>
      </c>
      <c r="V11" s="0" t="s">
        <v>36</v>
      </c>
      <c r="W11" s="0" t="s">
        <v>36</v>
      </c>
      <c r="X11" s="0" t="s">
        <v>36</v>
      </c>
      <c r="Y11" s="2" t="s">
        <v>36</v>
      </c>
      <c r="Z11" s="0" t="s">
        <v>42</v>
      </c>
      <c r="AA11" s="0" t="s">
        <v>42</v>
      </c>
      <c r="AB11" s="0" t="s">
        <v>42</v>
      </c>
      <c r="AC11" s="0" t="s">
        <v>43</v>
      </c>
      <c r="AD11" s="0" t="s">
        <v>107</v>
      </c>
      <c r="AE11" s="2" t="s">
        <v>36</v>
      </c>
    </row>
    <row r="12">
      <c r="A12" s="6" t="s">
        <v>31</v>
      </c>
      <c r="B12" s="7">
        <v>45947</v>
      </c>
      <c r="C12" s="9">
        <f>HYPERLINK("https://www.epingalert.org/en/Search?viewData= G/SPS/N/RUS/335"," G/SPS/N/RUS/335")</f>
      </c>
      <c r="D12" s="8" t="s">
        <v>108</v>
      </c>
      <c r="E12" s="8" t="s">
        <v>109</v>
      </c>
      <c r="F12" s="8" t="s">
        <v>110</v>
      </c>
      <c r="G12" s="8" t="s">
        <v>111</v>
      </c>
      <c r="H12" s="8" t="s">
        <v>36</v>
      </c>
      <c r="I12" s="8" t="s">
        <v>37</v>
      </c>
      <c r="J12" s="8" t="s">
        <v>112</v>
      </c>
      <c r="K12" s="6" t="s">
        <v>113</v>
      </c>
      <c r="L12" s="7" t="s">
        <v>36</v>
      </c>
      <c r="M12" s="6" t="s">
        <v>40</v>
      </c>
      <c r="N12" s="8" t="s">
        <v>114</v>
      </c>
      <c r="O12" s="6">
        <f>HYPERLINK("https://docs.wto.org/imrd/directdoc.asp?DDFDocuments/t/G/SPS/NRUS335.DOCX", "https://docs.wto.org/imrd/directdoc.asp?DDFDocuments/t/G/SPS/NRUS335.DOCX")</f>
      </c>
      <c r="P12" s="6">
        <f>HYPERLINK("https://docs.wto.org/imrd/directdoc.asp?DDFDocuments/u/G/SPS/NRUS335.DOCX", "https://docs.wto.org/imrd/directdoc.asp?DDFDocuments/u/G/SPS/NRUS335.DOCX")</f>
      </c>
      <c r="Q12" s="6">
        <f>HYPERLINK("https://docs.wto.org/imrd/directdoc.asp?DDFDocuments/v/G/SPS/NRUS335.DOCX", "https://docs.wto.org/imrd/directdoc.asp?DDFDocuments/v/G/SPS/NRUS335.DOCX")</f>
      </c>
      <c r="R12" s="0" t="s">
        <v>36</v>
      </c>
      <c r="S12" s="0" t="s">
        <v>36</v>
      </c>
      <c r="T12" s="0" t="s">
        <v>36</v>
      </c>
      <c r="U12" s="0" t="s">
        <v>36</v>
      </c>
      <c r="V12" s="0" t="s">
        <v>36</v>
      </c>
      <c r="W12" s="0" t="s">
        <v>36</v>
      </c>
      <c r="X12" s="0" t="s">
        <v>36</v>
      </c>
      <c r="Y12" s="2" t="s">
        <v>36</v>
      </c>
      <c r="Z12" s="0" t="s">
        <v>42</v>
      </c>
      <c r="AA12" s="0" t="s">
        <v>43</v>
      </c>
      <c r="AB12" s="0" t="s">
        <v>42</v>
      </c>
      <c r="AC12" s="0" t="s">
        <v>42</v>
      </c>
      <c r="AD12" s="0" t="s">
        <v>43</v>
      </c>
      <c r="AE12" s="2" t="s">
        <v>36</v>
      </c>
    </row>
    <row r="13">
      <c r="A13" s="6" t="s">
        <v>31</v>
      </c>
      <c r="B13" s="7">
        <v>45945</v>
      </c>
      <c r="C13" s="9">
        <f>HYPERLINK("https://www.epingalert.org/en/Search?viewData= G/TBT/N/RUS/176"," G/TBT/N/RUS/176")</f>
      </c>
      <c r="D13" s="8" t="s">
        <v>115</v>
      </c>
      <c r="E13" s="8" t="s">
        <v>116</v>
      </c>
      <c r="F13" s="8" t="s">
        <v>117</v>
      </c>
      <c r="G13" s="8" t="s">
        <v>118</v>
      </c>
      <c r="H13" s="8" t="s">
        <v>119</v>
      </c>
      <c r="I13" s="8" t="s">
        <v>57</v>
      </c>
      <c r="J13" s="8" t="s">
        <v>120</v>
      </c>
      <c r="K13" s="6"/>
      <c r="L13" s="7">
        <v>46038</v>
      </c>
      <c r="M13" s="6" t="s">
        <v>51</v>
      </c>
      <c r="N13" s="6"/>
      <c r="O13" s="6">
        <f>HYPERLINK("https://docs.wto.org/imrd/directdoc.asp?DDFDocuments/t/G/TBTN25/RUS176.DOCX", "https://docs.wto.org/imrd/directdoc.asp?DDFDocuments/t/G/TBTN25/RUS176.DOCX")</f>
      </c>
      <c r="P13" s="6">
        <f>HYPERLINK("https://docs.wto.org/imrd/directdoc.asp?DDFDocuments/u/G/TBTN25/RUS176.DOCX", "https://docs.wto.org/imrd/directdoc.asp?DDFDocuments/u/G/TBTN25/RUS176.DOCX")</f>
      </c>
      <c r="Q13" s="6">
        <f>HYPERLINK("https://docs.wto.org/imrd/directdoc.asp?DDFDocuments/v/G/TBTN25/RUS176.DOCX", "https://docs.wto.org/imrd/directdoc.asp?DDFDocuments/v/G/TBTN25/RUS176.DOCX")</f>
      </c>
      <c r="R13" s="0" t="s">
        <v>43</v>
      </c>
      <c r="S13" s="0" t="s">
        <v>42</v>
      </c>
      <c r="T13" s="0" t="s">
        <v>42</v>
      </c>
      <c r="U13" s="0" t="s">
        <v>42</v>
      </c>
      <c r="V13" s="0" t="s">
        <v>42</v>
      </c>
      <c r="W13" s="0" t="s">
        <v>42</v>
      </c>
      <c r="X13" s="0" t="s">
        <v>42</v>
      </c>
      <c r="Y13" s="2" t="s">
        <v>121</v>
      </c>
      <c r="Z13" s="0" t="s">
        <v>36</v>
      </c>
      <c r="AA13" s="0" t="s">
        <v>36</v>
      </c>
      <c r="AB13" s="0" t="s">
        <v>36</v>
      </c>
      <c r="AC13" s="0" t="s">
        <v>36</v>
      </c>
      <c r="AD13" s="0" t="s">
        <v>36</v>
      </c>
      <c r="AE13" s="2" t="s">
        <v>36</v>
      </c>
    </row>
    <row r="14">
      <c r="A14" s="6" t="s">
        <v>31</v>
      </c>
      <c r="B14" s="7">
        <v>45943</v>
      </c>
      <c r="C14" s="9">
        <f>HYPERLINK("https://www.epingalert.org/en/Search?viewData= G/SPS/N/RUS/334"," G/SPS/N/RUS/334")</f>
      </c>
      <c r="D14" s="8" t="s">
        <v>122</v>
      </c>
      <c r="E14" s="8" t="s">
        <v>123</v>
      </c>
      <c r="F14" s="8" t="s">
        <v>124</v>
      </c>
      <c r="G14" s="8" t="s">
        <v>125</v>
      </c>
      <c r="H14" s="8" t="s">
        <v>36</v>
      </c>
      <c r="I14" s="8" t="s">
        <v>37</v>
      </c>
      <c r="J14" s="8" t="s">
        <v>126</v>
      </c>
      <c r="K14" s="6" t="s">
        <v>127</v>
      </c>
      <c r="L14" s="7" t="s">
        <v>36</v>
      </c>
      <c r="M14" s="6" t="s">
        <v>40</v>
      </c>
      <c r="N14" s="8" t="s">
        <v>128</v>
      </c>
      <c r="O14" s="6">
        <f>HYPERLINK("https://docs.wto.org/imrd/directdoc.asp?DDFDocuments/t/G/SPS/NRUS334.DOCX", "https://docs.wto.org/imrd/directdoc.asp?DDFDocuments/t/G/SPS/NRUS334.DOCX")</f>
      </c>
      <c r="P14" s="6">
        <f>HYPERLINK("https://docs.wto.org/imrd/directdoc.asp?DDFDocuments/u/G/SPS/NRUS334.DOCX", "https://docs.wto.org/imrd/directdoc.asp?DDFDocuments/u/G/SPS/NRUS334.DOCX")</f>
      </c>
      <c r="Q14" s="6">
        <f>HYPERLINK("https://docs.wto.org/imrd/directdoc.asp?DDFDocuments/v/G/SPS/NRUS334.DOCX", "https://docs.wto.org/imrd/directdoc.asp?DDFDocuments/v/G/SPS/NRUS334.DOCX")</f>
      </c>
      <c r="R14" s="0" t="s">
        <v>36</v>
      </c>
      <c r="S14" s="0" t="s">
        <v>36</v>
      </c>
      <c r="T14" s="0" t="s">
        <v>36</v>
      </c>
      <c r="U14" s="0" t="s">
        <v>36</v>
      </c>
      <c r="V14" s="0" t="s">
        <v>36</v>
      </c>
      <c r="W14" s="0" t="s">
        <v>36</v>
      </c>
      <c r="X14" s="0" t="s">
        <v>36</v>
      </c>
      <c r="Y14" s="2" t="s">
        <v>36</v>
      </c>
      <c r="Z14" s="0" t="s">
        <v>42</v>
      </c>
      <c r="AA14" s="0" t="s">
        <v>43</v>
      </c>
      <c r="AB14" s="0" t="s">
        <v>42</v>
      </c>
      <c r="AC14" s="0" t="s">
        <v>42</v>
      </c>
      <c r="AD14" s="0" t="s">
        <v>43</v>
      </c>
      <c r="AE14" s="2" t="s">
        <v>36</v>
      </c>
    </row>
    <row r="15">
      <c r="A15" s="6" t="s">
        <v>31</v>
      </c>
      <c r="B15" s="7">
        <v>45924</v>
      </c>
      <c r="C15" s="9">
        <f>HYPERLINK("https://www.epingalert.org/en/Search?viewData= G/SPS/N/RUS/333"," G/SPS/N/RUS/333")</f>
      </c>
      <c r="D15" s="8" t="s">
        <v>129</v>
      </c>
      <c r="E15" s="8" t="s">
        <v>130</v>
      </c>
      <c r="F15" s="8" t="s">
        <v>82</v>
      </c>
      <c r="G15" s="8" t="s">
        <v>83</v>
      </c>
      <c r="H15" s="8" t="s">
        <v>36</v>
      </c>
      <c r="I15" s="8" t="s">
        <v>37</v>
      </c>
      <c r="J15" s="8" t="s">
        <v>84</v>
      </c>
      <c r="K15" s="6" t="s">
        <v>131</v>
      </c>
      <c r="L15" s="7" t="s">
        <v>36</v>
      </c>
      <c r="M15" s="6" t="s">
        <v>40</v>
      </c>
      <c r="N15" s="8" t="s">
        <v>132</v>
      </c>
      <c r="O15" s="6">
        <f>HYPERLINK("https://docs.wto.org/imrd/directdoc.asp?DDFDocuments/t/G/SPS/NRUS333.DOCX", "https://docs.wto.org/imrd/directdoc.asp?DDFDocuments/t/G/SPS/NRUS333.DOCX")</f>
      </c>
      <c r="P15" s="6">
        <f>HYPERLINK("https://docs.wto.org/imrd/directdoc.asp?DDFDocuments/u/G/SPS/NRUS333.DOCX", "https://docs.wto.org/imrd/directdoc.asp?DDFDocuments/u/G/SPS/NRUS333.DOCX")</f>
      </c>
      <c r="Q15" s="6">
        <f>HYPERLINK("https://docs.wto.org/imrd/directdoc.asp?DDFDocuments/v/G/SPS/NRUS333.DOCX", "https://docs.wto.org/imrd/directdoc.asp?DDFDocuments/v/G/SPS/NRUS333.DOCX")</f>
      </c>
      <c r="R15" s="0" t="s">
        <v>36</v>
      </c>
      <c r="S15" s="0" t="s">
        <v>36</v>
      </c>
      <c r="T15" s="0" t="s">
        <v>36</v>
      </c>
      <c r="U15" s="0" t="s">
        <v>36</v>
      </c>
      <c r="V15" s="0" t="s">
        <v>36</v>
      </c>
      <c r="W15" s="0" t="s">
        <v>36</v>
      </c>
      <c r="X15" s="0" t="s">
        <v>36</v>
      </c>
      <c r="Y15" s="2" t="s">
        <v>36</v>
      </c>
      <c r="Z15" s="0" t="s">
        <v>42</v>
      </c>
      <c r="AA15" s="0" t="s">
        <v>43</v>
      </c>
      <c r="AB15" s="0" t="s">
        <v>42</v>
      </c>
      <c r="AC15" s="0" t="s">
        <v>42</v>
      </c>
      <c r="AD15" s="0" t="s">
        <v>43</v>
      </c>
      <c r="AE15" s="2" t="s">
        <v>36</v>
      </c>
    </row>
    <row r="16">
      <c r="A16" s="6" t="s">
        <v>31</v>
      </c>
      <c r="B16" s="7">
        <v>45923</v>
      </c>
      <c r="C16" s="9">
        <f>HYPERLINK("https://www.epingalert.org/en/Search?viewData= G/SPS/N/RUS/332"," G/SPS/N/RUS/332")</f>
      </c>
      <c r="D16" s="8" t="s">
        <v>133</v>
      </c>
      <c r="E16" s="8" t="s">
        <v>134</v>
      </c>
      <c r="F16" s="8" t="s">
        <v>82</v>
      </c>
      <c r="G16" s="8" t="s">
        <v>83</v>
      </c>
      <c r="H16" s="8" t="s">
        <v>36</v>
      </c>
      <c r="I16" s="8" t="s">
        <v>37</v>
      </c>
      <c r="J16" s="8" t="s">
        <v>135</v>
      </c>
      <c r="K16" s="6" t="s">
        <v>136</v>
      </c>
      <c r="L16" s="7" t="s">
        <v>36</v>
      </c>
      <c r="M16" s="6" t="s">
        <v>40</v>
      </c>
      <c r="N16" s="8" t="s">
        <v>137</v>
      </c>
      <c r="O16" s="6">
        <f>HYPERLINK("https://docs.wto.org/imrd/directdoc.asp?DDFDocuments/t/G/SPS/NRUS332.DOCX", "https://docs.wto.org/imrd/directdoc.asp?DDFDocuments/t/G/SPS/NRUS332.DOCX")</f>
      </c>
      <c r="P16" s="6">
        <f>HYPERLINK("https://docs.wto.org/imrd/directdoc.asp?DDFDocuments/u/G/SPS/NRUS332.DOCX", "https://docs.wto.org/imrd/directdoc.asp?DDFDocuments/u/G/SPS/NRUS332.DOCX")</f>
      </c>
      <c r="Q16" s="6">
        <f>HYPERLINK("https://docs.wto.org/imrd/directdoc.asp?DDFDocuments/v/G/SPS/NRUS332.DOCX", "https://docs.wto.org/imrd/directdoc.asp?DDFDocuments/v/G/SPS/NRUS332.DOCX")</f>
      </c>
      <c r="R16" s="0" t="s">
        <v>36</v>
      </c>
      <c r="S16" s="0" t="s">
        <v>36</v>
      </c>
      <c r="T16" s="0" t="s">
        <v>36</v>
      </c>
      <c r="U16" s="0" t="s">
        <v>36</v>
      </c>
      <c r="V16" s="0" t="s">
        <v>36</v>
      </c>
      <c r="W16" s="0" t="s">
        <v>36</v>
      </c>
      <c r="X16" s="0" t="s">
        <v>36</v>
      </c>
      <c r="Y16" s="2" t="s">
        <v>36</v>
      </c>
      <c r="Z16" s="0" t="s">
        <v>42</v>
      </c>
      <c r="AA16" s="0" t="s">
        <v>43</v>
      </c>
      <c r="AB16" s="0" t="s">
        <v>42</v>
      </c>
      <c r="AC16" s="0" t="s">
        <v>42</v>
      </c>
      <c r="AD16" s="0" t="s">
        <v>43</v>
      </c>
      <c r="AE16" s="2" t="s">
        <v>36</v>
      </c>
    </row>
    <row r="17">
      <c r="A17" s="6" t="s">
        <v>31</v>
      </c>
      <c r="B17" s="7">
        <v>45901</v>
      </c>
      <c r="C17" s="9">
        <f>HYPERLINK("https://www.epingalert.org/en/Search?viewData= G/TBT/N/RUS/175"," G/TBT/N/RUS/175")</f>
      </c>
      <c r="D17" s="8" t="s">
        <v>138</v>
      </c>
      <c r="E17" s="8" t="s">
        <v>139</v>
      </c>
      <c r="F17" s="8" t="s">
        <v>140</v>
      </c>
      <c r="G17" s="8" t="s">
        <v>36</v>
      </c>
      <c r="H17" s="8" t="s">
        <v>141</v>
      </c>
      <c r="I17" s="8" t="s">
        <v>78</v>
      </c>
      <c r="J17" s="8" t="s">
        <v>36</v>
      </c>
      <c r="K17" s="6"/>
      <c r="L17" s="7">
        <v>45913</v>
      </c>
      <c r="M17" s="6" t="s">
        <v>51</v>
      </c>
      <c r="N17" s="8" t="s">
        <v>142</v>
      </c>
      <c r="O17" s="6">
        <f>HYPERLINK("https://docs.wto.org/imrd/directdoc.asp?DDFDocuments/t/G/TBTN25/RUS175.DOCX", "https://docs.wto.org/imrd/directdoc.asp?DDFDocuments/t/G/TBTN25/RUS175.DOCX")</f>
      </c>
      <c r="P17" s="6">
        <f>HYPERLINK("https://docs.wto.org/imrd/directdoc.asp?DDFDocuments/u/G/TBTN25/RUS175.DOCX", "https://docs.wto.org/imrd/directdoc.asp?DDFDocuments/u/G/TBTN25/RUS175.DOCX")</f>
      </c>
      <c r="Q17" s="6">
        <f>HYPERLINK("https://docs.wto.org/imrd/directdoc.asp?DDFDocuments/v/G/TBTN25/RUS175.DOCX", "https://docs.wto.org/imrd/directdoc.asp?DDFDocuments/v/G/TBTN25/RUS175.DOCX")</f>
      </c>
      <c r="R17" s="0" t="s">
        <v>43</v>
      </c>
      <c r="S17" s="0" t="s">
        <v>42</v>
      </c>
      <c r="T17" s="0" t="s">
        <v>42</v>
      </c>
      <c r="U17" s="0" t="s">
        <v>42</v>
      </c>
      <c r="V17" s="0" t="s">
        <v>42</v>
      </c>
      <c r="W17" s="0" t="s">
        <v>42</v>
      </c>
      <c r="X17" s="0" t="s">
        <v>42</v>
      </c>
      <c r="Y17" s="2" t="s">
        <v>143</v>
      </c>
      <c r="Z17" s="0" t="s">
        <v>36</v>
      </c>
      <c r="AA17" s="0" t="s">
        <v>36</v>
      </c>
      <c r="AB17" s="0" t="s">
        <v>36</v>
      </c>
      <c r="AC17" s="0" t="s">
        <v>36</v>
      </c>
      <c r="AD17" s="0" t="s">
        <v>36</v>
      </c>
      <c r="AE17" s="2" t="s">
        <v>36</v>
      </c>
    </row>
    <row r="18">
      <c r="A18" s="6" t="s">
        <v>31</v>
      </c>
      <c r="B18" s="7">
        <v>45898</v>
      </c>
      <c r="C18" s="9">
        <f>HYPERLINK("https://www.epingalert.org/en/Search?viewData= G/SPS/N/RUS/331"," G/SPS/N/RUS/331")</f>
      </c>
      <c r="D18" s="8" t="s">
        <v>144</v>
      </c>
      <c r="E18" s="8" t="s">
        <v>145</v>
      </c>
      <c r="F18" s="8" t="s">
        <v>82</v>
      </c>
      <c r="G18" s="8" t="s">
        <v>83</v>
      </c>
      <c r="H18" s="8" t="s">
        <v>36</v>
      </c>
      <c r="I18" s="8" t="s">
        <v>37</v>
      </c>
      <c r="J18" s="8" t="s">
        <v>38</v>
      </c>
      <c r="K18" s="6" t="s">
        <v>146</v>
      </c>
      <c r="L18" s="7" t="s">
        <v>36</v>
      </c>
      <c r="M18" s="6" t="s">
        <v>40</v>
      </c>
      <c r="N18" s="8" t="s">
        <v>147</v>
      </c>
      <c r="O18" s="6">
        <f>HYPERLINK("https://docs.wto.org/imrd/directdoc.asp?DDFDocuments/t/G/SPS/NRUS331.DOCX", "https://docs.wto.org/imrd/directdoc.asp?DDFDocuments/t/G/SPS/NRUS331.DOCX")</f>
      </c>
      <c r="P18" s="6">
        <f>HYPERLINK("https://docs.wto.org/imrd/directdoc.asp?DDFDocuments/u/G/SPS/NRUS331.DOCX", "https://docs.wto.org/imrd/directdoc.asp?DDFDocuments/u/G/SPS/NRUS331.DOCX")</f>
      </c>
      <c r="Q18" s="6">
        <f>HYPERLINK("https://docs.wto.org/imrd/directdoc.asp?DDFDocuments/v/G/SPS/NRUS331.DOCX", "https://docs.wto.org/imrd/directdoc.asp?DDFDocuments/v/G/SPS/NRUS331.DOCX")</f>
      </c>
      <c r="R18" s="0" t="s">
        <v>36</v>
      </c>
      <c r="S18" s="0" t="s">
        <v>36</v>
      </c>
      <c r="T18" s="0" t="s">
        <v>36</v>
      </c>
      <c r="U18" s="0" t="s">
        <v>36</v>
      </c>
      <c r="V18" s="0" t="s">
        <v>36</v>
      </c>
      <c r="W18" s="0" t="s">
        <v>36</v>
      </c>
      <c r="X18" s="0" t="s">
        <v>36</v>
      </c>
      <c r="Y18" s="2" t="s">
        <v>36</v>
      </c>
      <c r="Z18" s="0" t="s">
        <v>42</v>
      </c>
      <c r="AA18" s="0" t="s">
        <v>43</v>
      </c>
      <c r="AB18" s="0" t="s">
        <v>42</v>
      </c>
      <c r="AC18" s="0" t="s">
        <v>42</v>
      </c>
      <c r="AD18" s="0" t="s">
        <v>43</v>
      </c>
      <c r="AE18" s="2" t="s">
        <v>36</v>
      </c>
    </row>
    <row r="19">
      <c r="A19" s="6" t="s">
        <v>31</v>
      </c>
      <c r="B19" s="7">
        <v>45898</v>
      </c>
      <c r="C19" s="9">
        <f>HYPERLINK("https://www.epingalert.org/en/Search?viewData= G/SPS/N/RUS/330"," G/SPS/N/RUS/330")</f>
      </c>
      <c r="D19" s="8" t="s">
        <v>148</v>
      </c>
      <c r="E19" s="8" t="s">
        <v>149</v>
      </c>
      <c r="F19" s="8" t="s">
        <v>124</v>
      </c>
      <c r="G19" s="8" t="s">
        <v>125</v>
      </c>
      <c r="H19" s="8" t="s">
        <v>36</v>
      </c>
      <c r="I19" s="8" t="s">
        <v>37</v>
      </c>
      <c r="J19" s="8" t="s">
        <v>150</v>
      </c>
      <c r="K19" s="6" t="s">
        <v>151</v>
      </c>
      <c r="L19" s="7" t="s">
        <v>36</v>
      </c>
      <c r="M19" s="6" t="s">
        <v>40</v>
      </c>
      <c r="N19" s="8" t="s">
        <v>152</v>
      </c>
      <c r="O19" s="6">
        <f>HYPERLINK("https://docs.wto.org/imrd/directdoc.asp?DDFDocuments/t/G/SPS/NRUS330.DOCX", "https://docs.wto.org/imrd/directdoc.asp?DDFDocuments/t/G/SPS/NRUS330.DOCX")</f>
      </c>
      <c r="P19" s="6">
        <f>HYPERLINK("https://docs.wto.org/imrd/directdoc.asp?DDFDocuments/u/G/SPS/NRUS330.DOCX", "https://docs.wto.org/imrd/directdoc.asp?DDFDocuments/u/G/SPS/NRUS330.DOCX")</f>
      </c>
      <c r="Q19" s="6">
        <f>HYPERLINK("https://docs.wto.org/imrd/directdoc.asp?DDFDocuments/v/G/SPS/NRUS330.DOCX", "https://docs.wto.org/imrd/directdoc.asp?DDFDocuments/v/G/SPS/NRUS330.DOCX")</f>
      </c>
      <c r="R19" s="0" t="s">
        <v>36</v>
      </c>
      <c r="S19" s="0" t="s">
        <v>36</v>
      </c>
      <c r="T19" s="0" t="s">
        <v>36</v>
      </c>
      <c r="U19" s="0" t="s">
        <v>36</v>
      </c>
      <c r="V19" s="0" t="s">
        <v>36</v>
      </c>
      <c r="W19" s="0" t="s">
        <v>36</v>
      </c>
      <c r="X19" s="0" t="s">
        <v>36</v>
      </c>
      <c r="Y19" s="2" t="s">
        <v>36</v>
      </c>
      <c r="Z19" s="0" t="s">
        <v>42</v>
      </c>
      <c r="AA19" s="0" t="s">
        <v>43</v>
      </c>
      <c r="AB19" s="0" t="s">
        <v>42</v>
      </c>
      <c r="AC19" s="0" t="s">
        <v>42</v>
      </c>
      <c r="AD19" s="0" t="s">
        <v>43</v>
      </c>
      <c r="AE19" s="2" t="s">
        <v>36</v>
      </c>
    </row>
    <row r="20">
      <c r="A20" s="6" t="s">
        <v>31</v>
      </c>
      <c r="B20" s="7">
        <v>45898</v>
      </c>
      <c r="C20" s="9">
        <f>HYPERLINK("https://www.epingalert.org/en/Search?viewData= G/SPS/N/RUS/329"," G/SPS/N/RUS/329")</f>
      </c>
      <c r="D20" s="8" t="s">
        <v>153</v>
      </c>
      <c r="E20" s="8" t="s">
        <v>154</v>
      </c>
      <c r="F20" s="8" t="s">
        <v>155</v>
      </c>
      <c r="G20" s="8" t="s">
        <v>156</v>
      </c>
      <c r="H20" s="8" t="s">
        <v>36</v>
      </c>
      <c r="I20" s="8" t="s">
        <v>37</v>
      </c>
      <c r="J20" s="8" t="s">
        <v>157</v>
      </c>
      <c r="K20" s="6" t="s">
        <v>158</v>
      </c>
      <c r="L20" s="7" t="s">
        <v>36</v>
      </c>
      <c r="M20" s="6" t="s">
        <v>40</v>
      </c>
      <c r="N20" s="8" t="s">
        <v>159</v>
      </c>
      <c r="O20" s="6">
        <f>HYPERLINK("https://docs.wto.org/imrd/directdoc.asp?DDFDocuments/t/G/SPS/NRUS329.DOCX", "https://docs.wto.org/imrd/directdoc.asp?DDFDocuments/t/G/SPS/NRUS329.DOCX")</f>
      </c>
      <c r="P20" s="6">
        <f>HYPERLINK("https://docs.wto.org/imrd/directdoc.asp?DDFDocuments/u/G/SPS/NRUS329.DOCX", "https://docs.wto.org/imrd/directdoc.asp?DDFDocuments/u/G/SPS/NRUS329.DOCX")</f>
      </c>
      <c r="Q20" s="6">
        <f>HYPERLINK("https://docs.wto.org/imrd/directdoc.asp?DDFDocuments/v/G/SPS/NRUS329.DOCX", "https://docs.wto.org/imrd/directdoc.asp?DDFDocuments/v/G/SPS/NRUS329.DOCX")</f>
      </c>
      <c r="R20" s="0" t="s">
        <v>36</v>
      </c>
      <c r="S20" s="0" t="s">
        <v>36</v>
      </c>
      <c r="T20" s="0" t="s">
        <v>36</v>
      </c>
      <c r="U20" s="0" t="s">
        <v>36</v>
      </c>
      <c r="V20" s="0" t="s">
        <v>36</v>
      </c>
      <c r="W20" s="0" t="s">
        <v>36</v>
      </c>
      <c r="X20" s="0" t="s">
        <v>36</v>
      </c>
      <c r="Y20" s="2" t="s">
        <v>36</v>
      </c>
      <c r="Z20" s="0" t="s">
        <v>42</v>
      </c>
      <c r="AA20" s="0" t="s">
        <v>43</v>
      </c>
      <c r="AB20" s="0" t="s">
        <v>42</v>
      </c>
      <c r="AC20" s="0" t="s">
        <v>42</v>
      </c>
      <c r="AD20" s="0" t="s">
        <v>43</v>
      </c>
      <c r="AE20" s="2" t="s">
        <v>36</v>
      </c>
    </row>
    <row r="21">
      <c r="A21" s="6" t="s">
        <v>31</v>
      </c>
      <c r="B21" s="7">
        <v>45898</v>
      </c>
      <c r="C21" s="9">
        <f>HYPERLINK("https://www.epingalert.org/en/Search?viewData= G/TBT/N/RUS/174"," G/TBT/N/RUS/174")</f>
      </c>
      <c r="D21" s="8" t="s">
        <v>160</v>
      </c>
      <c r="E21" s="8" t="s">
        <v>161</v>
      </c>
      <c r="F21" s="8" t="s">
        <v>162</v>
      </c>
      <c r="G21" s="8" t="s">
        <v>36</v>
      </c>
      <c r="H21" s="8" t="s">
        <v>163</v>
      </c>
      <c r="I21" s="8" t="s">
        <v>164</v>
      </c>
      <c r="J21" s="8" t="s">
        <v>58</v>
      </c>
      <c r="K21" s="6"/>
      <c r="L21" s="7">
        <v>45958</v>
      </c>
      <c r="M21" s="6" t="s">
        <v>51</v>
      </c>
      <c r="N21" s="6"/>
      <c r="O21" s="6">
        <f>HYPERLINK("https://docs.wto.org/imrd/directdoc.asp?DDFDocuments/t/G/TBTN25/RUS174.DOCX", "https://docs.wto.org/imrd/directdoc.asp?DDFDocuments/t/G/TBTN25/RUS174.DOCX")</f>
      </c>
      <c r="P21" s="6">
        <f>HYPERLINK("https://docs.wto.org/imrd/directdoc.asp?DDFDocuments/u/G/TBTN25/RUS174.DOCX", "https://docs.wto.org/imrd/directdoc.asp?DDFDocuments/u/G/TBTN25/RUS174.DOCX")</f>
      </c>
      <c r="Q21" s="6">
        <f>HYPERLINK("https://docs.wto.org/imrd/directdoc.asp?DDFDocuments/v/G/TBTN25/RUS174.DOCX", "https://docs.wto.org/imrd/directdoc.asp?DDFDocuments/v/G/TBTN25/RUS174.DOCX")</f>
      </c>
      <c r="R21" s="0" t="s">
        <v>43</v>
      </c>
      <c r="S21" s="0" t="s">
        <v>42</v>
      </c>
      <c r="T21" s="0" t="s">
        <v>42</v>
      </c>
      <c r="U21" s="0" t="s">
        <v>42</v>
      </c>
      <c r="V21" s="0" t="s">
        <v>42</v>
      </c>
      <c r="W21" s="0" t="s">
        <v>42</v>
      </c>
      <c r="X21" s="0" t="s">
        <v>42</v>
      </c>
      <c r="Y21" s="2" t="s">
        <v>165</v>
      </c>
      <c r="Z21" s="0" t="s">
        <v>36</v>
      </c>
      <c r="AA21" s="0" t="s">
        <v>36</v>
      </c>
      <c r="AB21" s="0" t="s">
        <v>36</v>
      </c>
      <c r="AC21" s="0" t="s">
        <v>36</v>
      </c>
      <c r="AD21" s="0" t="s">
        <v>36</v>
      </c>
      <c r="AE21" s="2" t="s">
        <v>36</v>
      </c>
    </row>
    <row r="22">
      <c r="A22" s="6" t="s">
        <v>31</v>
      </c>
      <c r="B22" s="7">
        <v>45896</v>
      </c>
      <c r="C22" s="9">
        <f>HYPERLINK("https://www.epingalert.org/en/Search?viewData= G/SPS/N/RUS/328"," G/SPS/N/RUS/328")</f>
      </c>
      <c r="D22" s="8" t="s">
        <v>166</v>
      </c>
      <c r="E22" s="8" t="s">
        <v>167</v>
      </c>
      <c r="F22" s="8" t="s">
        <v>168</v>
      </c>
      <c r="G22" s="8" t="s">
        <v>156</v>
      </c>
      <c r="H22" s="8" t="s">
        <v>36</v>
      </c>
      <c r="I22" s="8" t="s">
        <v>37</v>
      </c>
      <c r="J22" s="8" t="s">
        <v>112</v>
      </c>
      <c r="K22" s="6" t="s">
        <v>169</v>
      </c>
      <c r="L22" s="7" t="s">
        <v>36</v>
      </c>
      <c r="M22" s="6" t="s">
        <v>40</v>
      </c>
      <c r="N22" s="8" t="s">
        <v>170</v>
      </c>
      <c r="O22" s="6">
        <f>HYPERLINK("https://docs.wto.org/imrd/directdoc.asp?DDFDocuments/t/G/SPS/NRUS328.DOCX", "https://docs.wto.org/imrd/directdoc.asp?DDFDocuments/t/G/SPS/NRUS328.DOCX")</f>
      </c>
      <c r="P22" s="6">
        <f>HYPERLINK("https://docs.wto.org/imrd/directdoc.asp?DDFDocuments/u/G/SPS/NRUS328.DOCX", "https://docs.wto.org/imrd/directdoc.asp?DDFDocuments/u/G/SPS/NRUS328.DOCX")</f>
      </c>
      <c r="Q22" s="6">
        <f>HYPERLINK("https://docs.wto.org/imrd/directdoc.asp?DDFDocuments/v/G/SPS/NRUS328.DOCX", "https://docs.wto.org/imrd/directdoc.asp?DDFDocuments/v/G/SPS/NRUS328.DOCX")</f>
      </c>
      <c r="R22" s="0" t="s">
        <v>36</v>
      </c>
      <c r="S22" s="0" t="s">
        <v>36</v>
      </c>
      <c r="T22" s="0" t="s">
        <v>36</v>
      </c>
      <c r="U22" s="0" t="s">
        <v>36</v>
      </c>
      <c r="V22" s="0" t="s">
        <v>36</v>
      </c>
      <c r="W22" s="0" t="s">
        <v>36</v>
      </c>
      <c r="X22" s="0" t="s">
        <v>36</v>
      </c>
      <c r="Y22" s="2" t="s">
        <v>36</v>
      </c>
      <c r="Z22" s="0" t="s">
        <v>42</v>
      </c>
      <c r="AA22" s="0" t="s">
        <v>43</v>
      </c>
      <c r="AB22" s="0" t="s">
        <v>42</v>
      </c>
      <c r="AC22" s="0" t="s">
        <v>42</v>
      </c>
      <c r="AD22" s="0" t="s">
        <v>43</v>
      </c>
      <c r="AE22" s="2" t="s">
        <v>36</v>
      </c>
    </row>
    <row r="23">
      <c r="A23" s="6" t="s">
        <v>31</v>
      </c>
      <c r="B23" s="7">
        <v>45896</v>
      </c>
      <c r="C23" s="9">
        <f>HYPERLINK("https://www.epingalert.org/en/Search?viewData= G/SPS/N/RUS/327"," G/SPS/N/RUS/327")</f>
      </c>
      <c r="D23" s="8" t="s">
        <v>171</v>
      </c>
      <c r="E23" s="8" t="s">
        <v>172</v>
      </c>
      <c r="F23" s="8" t="s">
        <v>168</v>
      </c>
      <c r="G23" s="8" t="s">
        <v>156</v>
      </c>
      <c r="H23" s="8" t="s">
        <v>36</v>
      </c>
      <c r="I23" s="8" t="s">
        <v>37</v>
      </c>
      <c r="J23" s="8" t="s">
        <v>112</v>
      </c>
      <c r="K23" s="6" t="s">
        <v>173</v>
      </c>
      <c r="L23" s="7" t="s">
        <v>36</v>
      </c>
      <c r="M23" s="6" t="s">
        <v>40</v>
      </c>
      <c r="N23" s="8" t="s">
        <v>174</v>
      </c>
      <c r="O23" s="6">
        <f>HYPERLINK("https://docs.wto.org/imrd/directdoc.asp?DDFDocuments/t/G/SPS/NRUS327.DOCX", "https://docs.wto.org/imrd/directdoc.asp?DDFDocuments/t/G/SPS/NRUS327.DOCX")</f>
      </c>
      <c r="P23" s="6">
        <f>HYPERLINK("https://docs.wto.org/imrd/directdoc.asp?DDFDocuments/u/G/SPS/NRUS327.DOCX", "https://docs.wto.org/imrd/directdoc.asp?DDFDocuments/u/G/SPS/NRUS327.DOCX")</f>
      </c>
      <c r="Q23" s="6">
        <f>HYPERLINK("https://docs.wto.org/imrd/directdoc.asp?DDFDocuments/v/G/SPS/NRUS327.DOCX", "https://docs.wto.org/imrd/directdoc.asp?DDFDocuments/v/G/SPS/NRUS327.DOCX")</f>
      </c>
      <c r="R23" s="0" t="s">
        <v>36</v>
      </c>
      <c r="S23" s="0" t="s">
        <v>36</v>
      </c>
      <c r="T23" s="0" t="s">
        <v>36</v>
      </c>
      <c r="U23" s="0" t="s">
        <v>36</v>
      </c>
      <c r="V23" s="0" t="s">
        <v>36</v>
      </c>
      <c r="W23" s="0" t="s">
        <v>36</v>
      </c>
      <c r="X23" s="0" t="s">
        <v>36</v>
      </c>
      <c r="Y23" s="2" t="s">
        <v>36</v>
      </c>
      <c r="Z23" s="0" t="s">
        <v>42</v>
      </c>
      <c r="AA23" s="0" t="s">
        <v>43</v>
      </c>
      <c r="AB23" s="0" t="s">
        <v>42</v>
      </c>
      <c r="AC23" s="0" t="s">
        <v>42</v>
      </c>
      <c r="AD23" s="0" t="s">
        <v>43</v>
      </c>
      <c r="AE23" s="2" t="s">
        <v>36</v>
      </c>
    </row>
    <row r="24">
      <c r="A24" s="6" t="s">
        <v>31</v>
      </c>
      <c r="B24" s="7">
        <v>45895</v>
      </c>
      <c r="C24" s="9">
        <f>HYPERLINK("https://www.epingalert.org/en/Search?viewData= G/SPS/N/RUS/303/Add.2"," G/SPS/N/RUS/303/Add.2")</f>
      </c>
      <c r="D24" s="8" t="s">
        <v>175</v>
      </c>
      <c r="E24" s="8" t="s">
        <v>176</v>
      </c>
      <c r="F24" s="8" t="s">
        <v>124</v>
      </c>
      <c r="G24" s="8" t="s">
        <v>177</v>
      </c>
      <c r="H24" s="8" t="s">
        <v>36</v>
      </c>
      <c r="I24" s="8" t="s">
        <v>37</v>
      </c>
      <c r="J24" s="8" t="s">
        <v>178</v>
      </c>
      <c r="K24" s="6"/>
      <c r="L24" s="7" t="s">
        <v>36</v>
      </c>
      <c r="M24" s="6" t="s">
        <v>179</v>
      </c>
      <c r="N24" s="8" t="s">
        <v>180</v>
      </c>
      <c r="O24" s="6">
        <f>HYPERLINK("https://docs.wto.org/imrd/directdoc.asp?DDFDocuments/t/G/SPS/NRUS303A2.DOCX", "https://docs.wto.org/imrd/directdoc.asp?DDFDocuments/t/G/SPS/NRUS303A2.DOCX")</f>
      </c>
      <c r="P24" s="6">
        <f>HYPERLINK("https://docs.wto.org/imrd/directdoc.asp?DDFDocuments/u/G/SPS/NRUS303A2.DOCX", "https://docs.wto.org/imrd/directdoc.asp?DDFDocuments/u/G/SPS/NRUS303A2.DOCX")</f>
      </c>
      <c r="Q24" s="6">
        <f>HYPERLINK("https://docs.wto.org/imrd/directdoc.asp?DDFDocuments/v/G/SPS/NRUS303A2.DOCX", "https://docs.wto.org/imrd/directdoc.asp?DDFDocuments/v/G/SPS/NRUS303A2.DOCX")</f>
      </c>
      <c r="R24" s="0" t="s">
        <v>36</v>
      </c>
      <c r="S24" s="0" t="s">
        <v>36</v>
      </c>
      <c r="T24" s="0" t="s">
        <v>36</v>
      </c>
      <c r="U24" s="0" t="s">
        <v>36</v>
      </c>
      <c r="V24" s="0" t="s">
        <v>36</v>
      </c>
      <c r="W24" s="0" t="s">
        <v>36</v>
      </c>
      <c r="X24" s="0" t="s">
        <v>36</v>
      </c>
      <c r="Y24" s="2" t="s">
        <v>36</v>
      </c>
      <c r="Z24" s="0" t="s">
        <v>36</v>
      </c>
      <c r="AA24" s="0" t="s">
        <v>36</v>
      </c>
      <c r="AB24" s="0" t="s">
        <v>36</v>
      </c>
      <c r="AC24" s="0" t="s">
        <v>36</v>
      </c>
      <c r="AD24" s="0" t="s">
        <v>36</v>
      </c>
      <c r="AE24" s="2" t="s">
        <v>36</v>
      </c>
    </row>
    <row r="25">
      <c r="A25" s="6" t="s">
        <v>31</v>
      </c>
      <c r="B25" s="7">
        <v>45895</v>
      </c>
      <c r="C25" s="9">
        <f>HYPERLINK("https://www.epingalert.org/en/Search?viewData= G/SPS/N/RUS/300/Add.1"," G/SPS/N/RUS/300/Add.1")</f>
      </c>
      <c r="D25" s="8" t="s">
        <v>181</v>
      </c>
      <c r="E25" s="8" t="s">
        <v>182</v>
      </c>
      <c r="F25" s="8" t="s">
        <v>183</v>
      </c>
      <c r="G25" s="8" t="s">
        <v>184</v>
      </c>
      <c r="H25" s="8" t="s">
        <v>36</v>
      </c>
      <c r="I25" s="8" t="s">
        <v>37</v>
      </c>
      <c r="J25" s="8" t="s">
        <v>185</v>
      </c>
      <c r="K25" s="6"/>
      <c r="L25" s="7" t="s">
        <v>36</v>
      </c>
      <c r="M25" s="6" t="s">
        <v>179</v>
      </c>
      <c r="N25" s="8" t="s">
        <v>186</v>
      </c>
      <c r="O25" s="6">
        <f>HYPERLINK("https://docs.wto.org/imrd/directdoc.asp?DDFDocuments/t/G/SPS/NRUS300A1.DOCX", "https://docs.wto.org/imrd/directdoc.asp?DDFDocuments/t/G/SPS/NRUS300A1.DOCX")</f>
      </c>
      <c r="P25" s="6">
        <f>HYPERLINK("https://docs.wto.org/imrd/directdoc.asp?DDFDocuments/u/G/SPS/NRUS300A1.DOCX", "https://docs.wto.org/imrd/directdoc.asp?DDFDocuments/u/G/SPS/NRUS300A1.DOCX")</f>
      </c>
      <c r="Q25" s="6">
        <f>HYPERLINK("https://docs.wto.org/imrd/directdoc.asp?DDFDocuments/v/G/SPS/NRUS300A1.DOCX", "https://docs.wto.org/imrd/directdoc.asp?DDFDocuments/v/G/SPS/NRUS300A1.DOCX")</f>
      </c>
      <c r="R25" s="0" t="s">
        <v>36</v>
      </c>
      <c r="S25" s="0" t="s">
        <v>36</v>
      </c>
      <c r="T25" s="0" t="s">
        <v>36</v>
      </c>
      <c r="U25" s="0" t="s">
        <v>36</v>
      </c>
      <c r="V25" s="0" t="s">
        <v>36</v>
      </c>
      <c r="W25" s="0" t="s">
        <v>36</v>
      </c>
      <c r="X25" s="0" t="s">
        <v>36</v>
      </c>
      <c r="Y25" s="2" t="s">
        <v>36</v>
      </c>
      <c r="Z25" s="0" t="s">
        <v>36</v>
      </c>
      <c r="AA25" s="0" t="s">
        <v>36</v>
      </c>
      <c r="AB25" s="0" t="s">
        <v>36</v>
      </c>
      <c r="AC25" s="0" t="s">
        <v>36</v>
      </c>
      <c r="AD25" s="0" t="s">
        <v>36</v>
      </c>
      <c r="AE25" s="2" t="s">
        <v>36</v>
      </c>
    </row>
    <row r="26">
      <c r="A26" s="6" t="s">
        <v>31</v>
      </c>
      <c r="B26" s="7">
        <v>45845</v>
      </c>
      <c r="C26" s="9">
        <f>HYPERLINK("https://www.epingalert.org/en/Search?viewData= G/TBT/N/RUS/172"," G/TBT/N/RUS/172")</f>
      </c>
      <c r="D26" s="8" t="s">
        <v>187</v>
      </c>
      <c r="E26" s="8" t="s">
        <v>188</v>
      </c>
      <c r="F26" s="8" t="s">
        <v>189</v>
      </c>
      <c r="G26" s="8" t="s">
        <v>36</v>
      </c>
      <c r="H26" s="8" t="s">
        <v>190</v>
      </c>
      <c r="I26" s="8" t="s">
        <v>57</v>
      </c>
      <c r="J26" s="8" t="s">
        <v>36</v>
      </c>
      <c r="K26" s="6"/>
      <c r="L26" s="7">
        <v>45879</v>
      </c>
      <c r="M26" s="6" t="s">
        <v>51</v>
      </c>
      <c r="N26" s="8" t="s">
        <v>191</v>
      </c>
      <c r="O26" s="6">
        <f>HYPERLINK("https://docs.wto.org/imrd/directdoc.asp?DDFDocuments/t/G/TBTN25/RUS172.DOCX", "https://docs.wto.org/imrd/directdoc.asp?DDFDocuments/t/G/TBTN25/RUS172.DOCX")</f>
      </c>
      <c r="P26" s="6">
        <f>HYPERLINK("https://docs.wto.org/imrd/directdoc.asp?DDFDocuments/u/G/TBTN25/RUS172.DOCX", "https://docs.wto.org/imrd/directdoc.asp?DDFDocuments/u/G/TBTN25/RUS172.DOCX")</f>
      </c>
      <c r="Q26" s="6">
        <f>HYPERLINK("https://docs.wto.org/imrd/directdoc.asp?DDFDocuments/v/G/TBTN25/RUS172.DOCX", "https://docs.wto.org/imrd/directdoc.asp?DDFDocuments/v/G/TBTN25/RUS172.DOCX")</f>
      </c>
      <c r="R26" s="0" t="s">
        <v>43</v>
      </c>
      <c r="S26" s="0" t="s">
        <v>42</v>
      </c>
      <c r="T26" s="0" t="s">
        <v>43</v>
      </c>
      <c r="U26" s="0" t="s">
        <v>42</v>
      </c>
      <c r="V26" s="0" t="s">
        <v>42</v>
      </c>
      <c r="W26" s="0" t="s">
        <v>42</v>
      </c>
      <c r="X26" s="0" t="s">
        <v>42</v>
      </c>
      <c r="Y26" s="2" t="s">
        <v>192</v>
      </c>
      <c r="Z26" s="0" t="s">
        <v>36</v>
      </c>
      <c r="AA26" s="0" t="s">
        <v>36</v>
      </c>
      <c r="AB26" s="0" t="s">
        <v>36</v>
      </c>
      <c r="AC26" s="0" t="s">
        <v>36</v>
      </c>
      <c r="AD26" s="0" t="s">
        <v>36</v>
      </c>
      <c r="AE26" s="2" t="s">
        <v>36</v>
      </c>
    </row>
    <row r="27">
      <c r="A27" s="6" t="s">
        <v>31</v>
      </c>
      <c r="B27" s="7">
        <v>45845</v>
      </c>
      <c r="C27" s="9">
        <f>HYPERLINK("https://www.epingalert.org/en/Search?viewData= G/SPS/N/RUS/326"," G/SPS/N/RUS/326")</f>
      </c>
      <c r="D27" s="8" t="s">
        <v>193</v>
      </c>
      <c r="E27" s="8" t="s">
        <v>194</v>
      </c>
      <c r="F27" s="8" t="s">
        <v>110</v>
      </c>
      <c r="G27" s="8" t="s">
        <v>111</v>
      </c>
      <c r="H27" s="8" t="s">
        <v>36</v>
      </c>
      <c r="I27" s="8" t="s">
        <v>37</v>
      </c>
      <c r="J27" s="8" t="s">
        <v>112</v>
      </c>
      <c r="K27" s="6" t="s">
        <v>195</v>
      </c>
      <c r="L27" s="7" t="s">
        <v>36</v>
      </c>
      <c r="M27" s="6" t="s">
        <v>40</v>
      </c>
      <c r="N27" s="8" t="s">
        <v>196</v>
      </c>
      <c r="O27" s="6">
        <f>HYPERLINK("https://docs.wto.org/imrd/directdoc.asp?DDFDocuments/t/G/SPS/NRUS326.DOCX", "https://docs.wto.org/imrd/directdoc.asp?DDFDocuments/t/G/SPS/NRUS326.DOCX")</f>
      </c>
      <c r="P27" s="6">
        <f>HYPERLINK("https://docs.wto.org/imrd/directdoc.asp?DDFDocuments/u/G/SPS/NRUS326.DOCX", "https://docs.wto.org/imrd/directdoc.asp?DDFDocuments/u/G/SPS/NRUS326.DOCX")</f>
      </c>
      <c r="Q27" s="6">
        <f>HYPERLINK("https://docs.wto.org/imrd/directdoc.asp?DDFDocuments/v/G/SPS/NRUS326.DOCX", "https://docs.wto.org/imrd/directdoc.asp?DDFDocuments/v/G/SPS/NRUS326.DOCX")</f>
      </c>
      <c r="R27" s="0" t="s">
        <v>36</v>
      </c>
      <c r="S27" s="0" t="s">
        <v>36</v>
      </c>
      <c r="T27" s="0" t="s">
        <v>36</v>
      </c>
      <c r="U27" s="0" t="s">
        <v>36</v>
      </c>
      <c r="V27" s="0" t="s">
        <v>36</v>
      </c>
      <c r="W27" s="0" t="s">
        <v>36</v>
      </c>
      <c r="X27" s="0" t="s">
        <v>36</v>
      </c>
      <c r="Y27" s="2" t="s">
        <v>36</v>
      </c>
      <c r="Z27" s="0" t="s">
        <v>42</v>
      </c>
      <c r="AA27" s="0" t="s">
        <v>43</v>
      </c>
      <c r="AB27" s="0" t="s">
        <v>42</v>
      </c>
      <c r="AC27" s="0" t="s">
        <v>42</v>
      </c>
      <c r="AD27" s="0" t="s">
        <v>43</v>
      </c>
      <c r="AE27" s="2" t="s">
        <v>36</v>
      </c>
    </row>
    <row r="28">
      <c r="A28" s="6" t="s">
        <v>31</v>
      </c>
      <c r="B28" s="7">
        <v>45845</v>
      </c>
      <c r="C28" s="9">
        <f>HYPERLINK("https://www.epingalert.org/en/Search?viewData= G/SPS/N/RUS/325"," G/SPS/N/RUS/325")</f>
      </c>
      <c r="D28" s="8" t="s">
        <v>197</v>
      </c>
      <c r="E28" s="8" t="s">
        <v>198</v>
      </c>
      <c r="F28" s="8" t="s">
        <v>110</v>
      </c>
      <c r="G28" s="8" t="s">
        <v>111</v>
      </c>
      <c r="H28" s="8" t="s">
        <v>36</v>
      </c>
      <c r="I28" s="8" t="s">
        <v>37</v>
      </c>
      <c r="J28" s="8" t="s">
        <v>199</v>
      </c>
      <c r="K28" s="6" t="s">
        <v>200</v>
      </c>
      <c r="L28" s="7" t="s">
        <v>36</v>
      </c>
      <c r="M28" s="6" t="s">
        <v>40</v>
      </c>
      <c r="N28" s="8" t="s">
        <v>201</v>
      </c>
      <c r="O28" s="6">
        <f>HYPERLINK("https://docs.wto.org/imrd/directdoc.asp?DDFDocuments/t/G/SPS/NRUS325.DOCX", "https://docs.wto.org/imrd/directdoc.asp?DDFDocuments/t/G/SPS/NRUS325.DOCX")</f>
      </c>
      <c r="P28" s="6">
        <f>HYPERLINK("https://docs.wto.org/imrd/directdoc.asp?DDFDocuments/u/G/SPS/NRUS325.DOCX", "https://docs.wto.org/imrd/directdoc.asp?DDFDocuments/u/G/SPS/NRUS325.DOCX")</f>
      </c>
      <c r="Q28" s="6">
        <f>HYPERLINK("https://docs.wto.org/imrd/directdoc.asp?DDFDocuments/v/G/SPS/NRUS325.DOCX", "https://docs.wto.org/imrd/directdoc.asp?DDFDocuments/v/G/SPS/NRUS325.DOCX")</f>
      </c>
      <c r="R28" s="0" t="s">
        <v>36</v>
      </c>
      <c r="S28" s="0" t="s">
        <v>36</v>
      </c>
      <c r="T28" s="0" t="s">
        <v>36</v>
      </c>
      <c r="U28" s="0" t="s">
        <v>36</v>
      </c>
      <c r="V28" s="0" t="s">
        <v>36</v>
      </c>
      <c r="W28" s="0" t="s">
        <v>36</v>
      </c>
      <c r="X28" s="0" t="s">
        <v>36</v>
      </c>
      <c r="Y28" s="2" t="s">
        <v>36</v>
      </c>
      <c r="Z28" s="0" t="s">
        <v>42</v>
      </c>
      <c r="AA28" s="0" t="s">
        <v>43</v>
      </c>
      <c r="AB28" s="0" t="s">
        <v>42</v>
      </c>
      <c r="AC28" s="0" t="s">
        <v>42</v>
      </c>
      <c r="AD28" s="0" t="s">
        <v>43</v>
      </c>
      <c r="AE28" s="2" t="s">
        <v>36</v>
      </c>
    </row>
    <row r="29">
      <c r="A29" s="6" t="s">
        <v>31</v>
      </c>
      <c r="B29" s="7">
        <v>45845</v>
      </c>
      <c r="C29" s="9">
        <f>HYPERLINK("https://www.epingalert.org/en/Search?viewData= G/TBT/N/RUS/173"," G/TBT/N/RUS/173")</f>
      </c>
      <c r="D29" s="8" t="s">
        <v>74</v>
      </c>
      <c r="E29" s="8" t="s">
        <v>202</v>
      </c>
      <c r="F29" s="8" t="s">
        <v>203</v>
      </c>
      <c r="G29" s="8" t="s">
        <v>56</v>
      </c>
      <c r="H29" s="8" t="s">
        <v>141</v>
      </c>
      <c r="I29" s="8" t="s">
        <v>57</v>
      </c>
      <c r="J29" s="8" t="s">
        <v>36</v>
      </c>
      <c r="K29" s="6"/>
      <c r="L29" s="7">
        <v>45861</v>
      </c>
      <c r="M29" s="6" t="s">
        <v>51</v>
      </c>
      <c r="N29" s="6"/>
      <c r="O29" s="6">
        <f>HYPERLINK("https://docs.wto.org/imrd/directdoc.asp?DDFDocuments/t/G/TBTN25/RUS173.DOCX", "https://docs.wto.org/imrd/directdoc.asp?DDFDocuments/t/G/TBTN25/RUS173.DOCX")</f>
      </c>
      <c r="P29" s="6">
        <f>HYPERLINK("https://docs.wto.org/imrd/directdoc.asp?DDFDocuments/u/G/TBTN25/RUS173.DOCX", "https://docs.wto.org/imrd/directdoc.asp?DDFDocuments/u/G/TBTN25/RUS173.DOCX")</f>
      </c>
      <c r="Q29" s="6">
        <f>HYPERLINK("https://docs.wto.org/imrd/directdoc.asp?DDFDocuments/v/G/TBTN25/RUS173.DOCX", "https://docs.wto.org/imrd/directdoc.asp?DDFDocuments/v/G/TBTN25/RUS173.DOCX")</f>
      </c>
      <c r="R29" s="0" t="s">
        <v>43</v>
      </c>
      <c r="S29" s="0" t="s">
        <v>42</v>
      </c>
      <c r="T29" s="0" t="s">
        <v>42</v>
      </c>
      <c r="U29" s="0" t="s">
        <v>42</v>
      </c>
      <c r="V29" s="0" t="s">
        <v>42</v>
      </c>
      <c r="W29" s="0" t="s">
        <v>42</v>
      </c>
      <c r="X29" s="0" t="s">
        <v>42</v>
      </c>
      <c r="Y29" s="2" t="s">
        <v>204</v>
      </c>
      <c r="Z29" s="0" t="s">
        <v>36</v>
      </c>
      <c r="AA29" s="0" t="s">
        <v>36</v>
      </c>
      <c r="AB29" s="0" t="s">
        <v>36</v>
      </c>
      <c r="AC29" s="0" t="s">
        <v>36</v>
      </c>
      <c r="AD29" s="0" t="s">
        <v>36</v>
      </c>
      <c r="AE29" s="2" t="s">
        <v>36</v>
      </c>
    </row>
    <row r="30">
      <c r="A30" s="6" t="s">
        <v>31</v>
      </c>
      <c r="B30" s="7">
        <v>45839</v>
      </c>
      <c r="C30" s="9">
        <f>HYPERLINK("https://www.epingalert.org/en/Search?viewData= G/SPS/N/RUS/321"," G/SPS/N/RUS/321")</f>
      </c>
      <c r="D30" s="8" t="s">
        <v>205</v>
      </c>
      <c r="E30" s="8" t="s">
        <v>206</v>
      </c>
      <c r="F30" s="8" t="s">
        <v>207</v>
      </c>
      <c r="G30" s="8" t="s">
        <v>208</v>
      </c>
      <c r="H30" s="8" t="s">
        <v>36</v>
      </c>
      <c r="I30" s="8" t="s">
        <v>65</v>
      </c>
      <c r="J30" s="8" t="s">
        <v>209</v>
      </c>
      <c r="K30" s="6" t="s">
        <v>210</v>
      </c>
      <c r="L30" s="7" t="s">
        <v>36</v>
      </c>
      <c r="M30" s="6" t="s">
        <v>40</v>
      </c>
      <c r="N30" s="8" t="s">
        <v>211</v>
      </c>
      <c r="O30" s="6">
        <f>HYPERLINK("https://docs.wto.org/imrd/directdoc.asp?DDFDocuments/t/G/SPS/NRUS321.DOCX", "https://docs.wto.org/imrd/directdoc.asp?DDFDocuments/t/G/SPS/NRUS321.DOCX")</f>
      </c>
      <c r="P30" s="6">
        <f>HYPERLINK("https://docs.wto.org/imrd/directdoc.asp?DDFDocuments/u/G/SPS/NRUS321.DOCX", "https://docs.wto.org/imrd/directdoc.asp?DDFDocuments/u/G/SPS/NRUS321.DOCX")</f>
      </c>
      <c r="Q30" s="6">
        <f>HYPERLINK("https://docs.wto.org/imrd/directdoc.asp?DDFDocuments/v/G/SPS/NRUS321.DOCX", "https://docs.wto.org/imrd/directdoc.asp?DDFDocuments/v/G/SPS/NRUS321.DOCX")</f>
      </c>
      <c r="R30" s="0" t="s">
        <v>36</v>
      </c>
      <c r="S30" s="0" t="s">
        <v>36</v>
      </c>
      <c r="T30" s="0" t="s">
        <v>36</v>
      </c>
      <c r="U30" s="0" t="s">
        <v>36</v>
      </c>
      <c r="V30" s="0" t="s">
        <v>36</v>
      </c>
      <c r="W30" s="0" t="s">
        <v>36</v>
      </c>
      <c r="X30" s="0" t="s">
        <v>36</v>
      </c>
      <c r="Y30" s="2" t="s">
        <v>36</v>
      </c>
      <c r="Z30" s="0" t="s">
        <v>42</v>
      </c>
      <c r="AA30" s="0" t="s">
        <v>42</v>
      </c>
      <c r="AB30" s="0" t="s">
        <v>43</v>
      </c>
      <c r="AC30" s="0" t="s">
        <v>42</v>
      </c>
      <c r="AD30" s="0" t="s">
        <v>43</v>
      </c>
      <c r="AE30" s="2" t="s">
        <v>36</v>
      </c>
    </row>
    <row r="31">
      <c r="A31" s="6" t="s">
        <v>31</v>
      </c>
      <c r="B31" s="7">
        <v>45839</v>
      </c>
      <c r="C31" s="9">
        <f>HYPERLINK("https://www.epingalert.org/en/Search?viewData= G/SPS/N/RUS/322"," G/SPS/N/RUS/322")</f>
      </c>
      <c r="D31" s="8" t="s">
        <v>212</v>
      </c>
      <c r="E31" s="8" t="s">
        <v>213</v>
      </c>
      <c r="F31" s="8" t="s">
        <v>214</v>
      </c>
      <c r="G31" s="8" t="s">
        <v>215</v>
      </c>
      <c r="H31" s="8" t="s">
        <v>36</v>
      </c>
      <c r="I31" s="8" t="s">
        <v>65</v>
      </c>
      <c r="J31" s="8" t="s">
        <v>72</v>
      </c>
      <c r="K31" s="6" t="s">
        <v>216</v>
      </c>
      <c r="L31" s="7" t="s">
        <v>36</v>
      </c>
      <c r="M31" s="6" t="s">
        <v>40</v>
      </c>
      <c r="N31" s="8" t="s">
        <v>217</v>
      </c>
      <c r="O31" s="6">
        <f>HYPERLINK("https://docs.wto.org/imrd/directdoc.asp?DDFDocuments/t/G/SPS/NRUS322.DOCX", "https://docs.wto.org/imrd/directdoc.asp?DDFDocuments/t/G/SPS/NRUS322.DOCX")</f>
      </c>
      <c r="P31" s="6">
        <f>HYPERLINK("https://docs.wto.org/imrd/directdoc.asp?DDFDocuments/u/G/SPS/NRUS322.DOCX", "https://docs.wto.org/imrd/directdoc.asp?DDFDocuments/u/G/SPS/NRUS322.DOCX")</f>
      </c>
      <c r="Q31" s="6">
        <f>HYPERLINK("https://docs.wto.org/imrd/directdoc.asp?DDFDocuments/v/G/SPS/NRUS322.DOCX", "https://docs.wto.org/imrd/directdoc.asp?DDFDocuments/v/G/SPS/NRUS322.DOCX")</f>
      </c>
      <c r="R31" s="0" t="s">
        <v>36</v>
      </c>
      <c r="S31" s="0" t="s">
        <v>36</v>
      </c>
      <c r="T31" s="0" t="s">
        <v>36</v>
      </c>
      <c r="U31" s="0" t="s">
        <v>36</v>
      </c>
      <c r="V31" s="0" t="s">
        <v>36</v>
      </c>
      <c r="W31" s="0" t="s">
        <v>36</v>
      </c>
      <c r="X31" s="0" t="s">
        <v>36</v>
      </c>
      <c r="Y31" s="2" t="s">
        <v>36</v>
      </c>
      <c r="Z31" s="0" t="s">
        <v>42</v>
      </c>
      <c r="AA31" s="0" t="s">
        <v>42</v>
      </c>
      <c r="AB31" s="0" t="s">
        <v>43</v>
      </c>
      <c r="AC31" s="0" t="s">
        <v>42</v>
      </c>
      <c r="AD31" s="0" t="s">
        <v>43</v>
      </c>
      <c r="AE31" s="2" t="s">
        <v>36</v>
      </c>
    </row>
    <row r="32">
      <c r="A32" s="6" t="s">
        <v>31</v>
      </c>
      <c r="B32" s="7">
        <v>45839</v>
      </c>
      <c r="C32" s="9">
        <f>HYPERLINK("https://www.epingalert.org/en/Search?viewData= G/SPS/N/RUS/323"," G/SPS/N/RUS/323")</f>
      </c>
      <c r="D32" s="8" t="s">
        <v>218</v>
      </c>
      <c r="E32" s="8" t="s">
        <v>219</v>
      </c>
      <c r="F32" s="8" t="s">
        <v>220</v>
      </c>
      <c r="G32" s="8" t="s">
        <v>36</v>
      </c>
      <c r="H32" s="8" t="s">
        <v>36</v>
      </c>
      <c r="I32" s="8" t="s">
        <v>37</v>
      </c>
      <c r="J32" s="8" t="s">
        <v>38</v>
      </c>
      <c r="K32" s="6" t="s">
        <v>36</v>
      </c>
      <c r="L32" s="7">
        <v>45898</v>
      </c>
      <c r="M32" s="6" t="s">
        <v>51</v>
      </c>
      <c r="N32" s="8" t="s">
        <v>221</v>
      </c>
      <c r="O32" s="6">
        <f>HYPERLINK("https://docs.wto.org/imrd/directdoc.asp?DDFDocuments/t/G/SPS/NRUS323.DOCX", "https://docs.wto.org/imrd/directdoc.asp?DDFDocuments/t/G/SPS/NRUS323.DOCX")</f>
      </c>
      <c r="P32" s="6">
        <f>HYPERLINK("https://docs.wto.org/imrd/directdoc.asp?DDFDocuments/u/G/SPS/NRUS323.DOCX", "https://docs.wto.org/imrd/directdoc.asp?DDFDocuments/u/G/SPS/NRUS323.DOCX")</f>
      </c>
      <c r="Q32" s="6">
        <f>HYPERLINK("https://docs.wto.org/imrd/directdoc.asp?DDFDocuments/v/G/SPS/NRUS323.DOCX", "https://docs.wto.org/imrd/directdoc.asp?DDFDocuments/v/G/SPS/NRUS323.DOCX")</f>
      </c>
      <c r="R32" s="0" t="s">
        <v>36</v>
      </c>
      <c r="S32" s="0" t="s">
        <v>36</v>
      </c>
      <c r="T32" s="0" t="s">
        <v>36</v>
      </c>
      <c r="U32" s="0" t="s">
        <v>36</v>
      </c>
      <c r="V32" s="0" t="s">
        <v>36</v>
      </c>
      <c r="W32" s="0" t="s">
        <v>36</v>
      </c>
      <c r="X32" s="0" t="s">
        <v>36</v>
      </c>
      <c r="Y32" s="2" t="s">
        <v>36</v>
      </c>
      <c r="Z32" s="0" t="s">
        <v>42</v>
      </c>
      <c r="AA32" s="0" t="s">
        <v>43</v>
      </c>
      <c r="AB32" s="0" t="s">
        <v>42</v>
      </c>
      <c r="AC32" s="0" t="s">
        <v>42</v>
      </c>
      <c r="AD32" s="0" t="s">
        <v>43</v>
      </c>
      <c r="AE32" s="2" t="s">
        <v>36</v>
      </c>
    </row>
    <row r="33">
      <c r="A33" s="6" t="s">
        <v>31</v>
      </c>
      <c r="B33" s="7">
        <v>45839</v>
      </c>
      <c r="C33" s="9">
        <f>HYPERLINK("https://www.epingalert.org/en/Search?viewData= G/SPS/N/RUS/324"," G/SPS/N/RUS/324")</f>
      </c>
      <c r="D33" s="8" t="s">
        <v>222</v>
      </c>
      <c r="E33" s="8" t="s">
        <v>223</v>
      </c>
      <c r="F33" s="8" t="s">
        <v>220</v>
      </c>
      <c r="G33" s="8" t="s">
        <v>36</v>
      </c>
      <c r="H33" s="8" t="s">
        <v>36</v>
      </c>
      <c r="I33" s="8" t="s">
        <v>37</v>
      </c>
      <c r="J33" s="8" t="s">
        <v>38</v>
      </c>
      <c r="K33" s="6" t="s">
        <v>36</v>
      </c>
      <c r="L33" s="7">
        <v>45898</v>
      </c>
      <c r="M33" s="6" t="s">
        <v>51</v>
      </c>
      <c r="N33" s="8" t="s">
        <v>224</v>
      </c>
      <c r="O33" s="6">
        <f>HYPERLINK("https://docs.wto.org/imrd/directdoc.asp?DDFDocuments/t/G/SPS/NRUS324.DOCX", "https://docs.wto.org/imrd/directdoc.asp?DDFDocuments/t/G/SPS/NRUS324.DOCX")</f>
      </c>
      <c r="P33" s="6">
        <f>HYPERLINK("https://docs.wto.org/imrd/directdoc.asp?DDFDocuments/u/G/SPS/NRUS324.DOCX", "https://docs.wto.org/imrd/directdoc.asp?DDFDocuments/u/G/SPS/NRUS324.DOCX")</f>
      </c>
      <c r="Q33" s="6">
        <f>HYPERLINK("https://docs.wto.org/imrd/directdoc.asp?DDFDocuments/v/G/SPS/NRUS324.DOCX", "https://docs.wto.org/imrd/directdoc.asp?DDFDocuments/v/G/SPS/NRUS324.DOCX")</f>
      </c>
      <c r="R33" s="0" t="s">
        <v>36</v>
      </c>
      <c r="S33" s="0" t="s">
        <v>36</v>
      </c>
      <c r="T33" s="0" t="s">
        <v>36</v>
      </c>
      <c r="U33" s="0" t="s">
        <v>36</v>
      </c>
      <c r="V33" s="0" t="s">
        <v>36</v>
      </c>
      <c r="W33" s="0" t="s">
        <v>36</v>
      </c>
      <c r="X33" s="0" t="s">
        <v>36</v>
      </c>
      <c r="Y33" s="2" t="s">
        <v>36</v>
      </c>
      <c r="Z33" s="0" t="s">
        <v>42</v>
      </c>
      <c r="AA33" s="0" t="s">
        <v>43</v>
      </c>
      <c r="AB33" s="0" t="s">
        <v>42</v>
      </c>
      <c r="AC33" s="0" t="s">
        <v>42</v>
      </c>
      <c r="AD33" s="0" t="s">
        <v>43</v>
      </c>
      <c r="AE33" s="2" t="s">
        <v>36</v>
      </c>
    </row>
    <row r="34">
      <c r="A34" s="6" t="s">
        <v>31</v>
      </c>
      <c r="B34" s="7">
        <v>45835</v>
      </c>
      <c r="C34" s="9">
        <f>HYPERLINK("https://www.epingalert.org/en/Search?viewData= G/SPS/N/RUS/320"," G/SPS/N/RUS/320")</f>
      </c>
      <c r="D34" s="8" t="s">
        <v>225</v>
      </c>
      <c r="E34" s="8" t="s">
        <v>226</v>
      </c>
      <c r="F34" s="8" t="s">
        <v>34</v>
      </c>
      <c r="G34" s="8" t="s">
        <v>227</v>
      </c>
      <c r="H34" s="8" t="s">
        <v>36</v>
      </c>
      <c r="I34" s="8" t="s">
        <v>37</v>
      </c>
      <c r="J34" s="8" t="s">
        <v>38</v>
      </c>
      <c r="K34" s="6" t="s">
        <v>228</v>
      </c>
      <c r="L34" s="7" t="s">
        <v>36</v>
      </c>
      <c r="M34" s="6" t="s">
        <v>40</v>
      </c>
      <c r="N34" s="8" t="s">
        <v>229</v>
      </c>
      <c r="O34" s="6">
        <f>HYPERLINK("https://docs.wto.org/imrd/directdoc.asp?DDFDocuments/t/G/SPS/NRUS320.DOCX", "https://docs.wto.org/imrd/directdoc.asp?DDFDocuments/t/G/SPS/NRUS320.DOCX")</f>
      </c>
      <c r="P34" s="6">
        <f>HYPERLINK("https://docs.wto.org/imrd/directdoc.asp?DDFDocuments/u/G/SPS/NRUS320.DOCX", "https://docs.wto.org/imrd/directdoc.asp?DDFDocuments/u/G/SPS/NRUS320.DOCX")</f>
      </c>
      <c r="Q34" s="6">
        <f>HYPERLINK("https://docs.wto.org/imrd/directdoc.asp?DDFDocuments/v/G/SPS/NRUS320.DOCX", "https://docs.wto.org/imrd/directdoc.asp?DDFDocuments/v/G/SPS/NRUS320.DOCX")</f>
      </c>
      <c r="R34" s="0" t="s">
        <v>36</v>
      </c>
      <c r="S34" s="0" t="s">
        <v>36</v>
      </c>
      <c r="T34" s="0" t="s">
        <v>36</v>
      </c>
      <c r="U34" s="0" t="s">
        <v>36</v>
      </c>
      <c r="V34" s="0" t="s">
        <v>36</v>
      </c>
      <c r="W34" s="0" t="s">
        <v>36</v>
      </c>
      <c r="X34" s="0" t="s">
        <v>36</v>
      </c>
      <c r="Y34" s="2" t="s">
        <v>36</v>
      </c>
      <c r="Z34" s="0" t="s">
        <v>42</v>
      </c>
      <c r="AA34" s="0" t="s">
        <v>43</v>
      </c>
      <c r="AB34" s="0" t="s">
        <v>42</v>
      </c>
      <c r="AC34" s="0" t="s">
        <v>42</v>
      </c>
      <c r="AD34" s="0" t="s">
        <v>43</v>
      </c>
      <c r="AE34" s="2" t="s">
        <v>36</v>
      </c>
    </row>
    <row r="35">
      <c r="A35" s="6" t="s">
        <v>31</v>
      </c>
      <c r="B35" s="7">
        <v>45818</v>
      </c>
      <c r="C35" s="9">
        <f>HYPERLINK("https://www.epingalert.org/en/Search?viewData= G/SPS/N/RUS/319"," G/SPS/N/RUS/319")</f>
      </c>
      <c r="D35" s="8" t="s">
        <v>230</v>
      </c>
      <c r="E35" s="8" t="s">
        <v>231</v>
      </c>
      <c r="F35" s="8" t="s">
        <v>124</v>
      </c>
      <c r="G35" s="8" t="s">
        <v>125</v>
      </c>
      <c r="H35" s="8" t="s">
        <v>36</v>
      </c>
      <c r="I35" s="8" t="s">
        <v>37</v>
      </c>
      <c r="J35" s="8" t="s">
        <v>232</v>
      </c>
      <c r="K35" s="6" t="s">
        <v>233</v>
      </c>
      <c r="L35" s="7" t="s">
        <v>36</v>
      </c>
      <c r="M35" s="6" t="s">
        <v>40</v>
      </c>
      <c r="N35" s="8" t="s">
        <v>234</v>
      </c>
      <c r="O35" s="6">
        <f>HYPERLINK("https://docs.wto.org/imrd/directdoc.asp?DDFDocuments/t/G/SPS/NRUS319.DOCX", "https://docs.wto.org/imrd/directdoc.asp?DDFDocuments/t/G/SPS/NRUS319.DOCX")</f>
      </c>
      <c r="P35" s="6">
        <f>HYPERLINK("https://docs.wto.org/imrd/directdoc.asp?DDFDocuments/u/G/SPS/NRUS319.DOCX", "https://docs.wto.org/imrd/directdoc.asp?DDFDocuments/u/G/SPS/NRUS319.DOCX")</f>
      </c>
      <c r="Q35" s="6">
        <f>HYPERLINK("https://docs.wto.org/imrd/directdoc.asp?DDFDocuments/v/G/SPS/NRUS319.DOCX", "https://docs.wto.org/imrd/directdoc.asp?DDFDocuments/v/G/SPS/NRUS319.DOCX")</f>
      </c>
      <c r="R35" s="0" t="s">
        <v>36</v>
      </c>
      <c r="S35" s="0" t="s">
        <v>36</v>
      </c>
      <c r="T35" s="0" t="s">
        <v>36</v>
      </c>
      <c r="U35" s="0" t="s">
        <v>36</v>
      </c>
      <c r="V35" s="0" t="s">
        <v>36</v>
      </c>
      <c r="W35" s="0" t="s">
        <v>36</v>
      </c>
      <c r="X35" s="0" t="s">
        <v>36</v>
      </c>
      <c r="Y35" s="2" t="s">
        <v>36</v>
      </c>
      <c r="Z35" s="0" t="s">
        <v>42</v>
      </c>
      <c r="AA35" s="0" t="s">
        <v>43</v>
      </c>
      <c r="AB35" s="0" t="s">
        <v>42</v>
      </c>
      <c r="AC35" s="0" t="s">
        <v>42</v>
      </c>
      <c r="AD35" s="0" t="s">
        <v>43</v>
      </c>
      <c r="AE35" s="2" t="s">
        <v>36</v>
      </c>
    </row>
    <row r="36">
      <c r="A36" s="6" t="s">
        <v>31</v>
      </c>
      <c r="B36" s="7">
        <v>45818</v>
      </c>
      <c r="C36" s="9">
        <f>HYPERLINK("https://www.epingalert.org/en/Search?viewData= G/SPS/N/RUS/303/Add.1"," G/SPS/N/RUS/303/Add.1")</f>
      </c>
      <c r="D36" s="8" t="s">
        <v>175</v>
      </c>
      <c r="E36" s="8" t="s">
        <v>235</v>
      </c>
      <c r="F36" s="8" t="s">
        <v>124</v>
      </c>
      <c r="G36" s="8" t="s">
        <v>236</v>
      </c>
      <c r="H36" s="8" t="s">
        <v>36</v>
      </c>
      <c r="I36" s="8" t="s">
        <v>37</v>
      </c>
      <c r="J36" s="8" t="s">
        <v>178</v>
      </c>
      <c r="K36" s="6"/>
      <c r="L36" s="7" t="s">
        <v>36</v>
      </c>
      <c r="M36" s="6" t="s">
        <v>179</v>
      </c>
      <c r="N36" s="8" t="s">
        <v>237</v>
      </c>
      <c r="O36" s="6">
        <f>HYPERLINK("https://docs.wto.org/imrd/directdoc.asp?DDFDocuments/t/G/SPS/NRUS303A1.DOCX", "https://docs.wto.org/imrd/directdoc.asp?DDFDocuments/t/G/SPS/NRUS303A1.DOCX")</f>
      </c>
      <c r="P36" s="6">
        <f>HYPERLINK("https://docs.wto.org/imrd/directdoc.asp?DDFDocuments/u/G/SPS/NRUS303A1.DOCX", "https://docs.wto.org/imrd/directdoc.asp?DDFDocuments/u/G/SPS/NRUS303A1.DOCX")</f>
      </c>
      <c r="Q36" s="6">
        <f>HYPERLINK("https://docs.wto.org/imrd/directdoc.asp?DDFDocuments/v/G/SPS/NRUS303A1.DOCX", "https://docs.wto.org/imrd/directdoc.asp?DDFDocuments/v/G/SPS/NRUS303A1.DOCX")</f>
      </c>
      <c r="R36" s="0" t="s">
        <v>36</v>
      </c>
      <c r="S36" s="0" t="s">
        <v>36</v>
      </c>
      <c r="T36" s="0" t="s">
        <v>36</v>
      </c>
      <c r="U36" s="0" t="s">
        <v>36</v>
      </c>
      <c r="V36" s="0" t="s">
        <v>36</v>
      </c>
      <c r="W36" s="0" t="s">
        <v>36</v>
      </c>
      <c r="X36" s="0" t="s">
        <v>36</v>
      </c>
      <c r="Y36" s="2" t="s">
        <v>36</v>
      </c>
      <c r="Z36" s="0" t="s">
        <v>36</v>
      </c>
      <c r="AA36" s="0" t="s">
        <v>36</v>
      </c>
      <c r="AB36" s="0" t="s">
        <v>36</v>
      </c>
      <c r="AC36" s="0" t="s">
        <v>36</v>
      </c>
      <c r="AD36" s="0" t="s">
        <v>36</v>
      </c>
      <c r="AE36" s="2" t="s">
        <v>36</v>
      </c>
    </row>
    <row r="37">
      <c r="A37" s="6" t="s">
        <v>31</v>
      </c>
      <c r="B37" s="7">
        <v>45811</v>
      </c>
      <c r="C37" s="9">
        <f>HYPERLINK("https://www.epingalert.org/en/Search?viewData= G/SPS/N/RUS/317"," G/SPS/N/RUS/317")</f>
      </c>
      <c r="D37" s="8" t="s">
        <v>238</v>
      </c>
      <c r="E37" s="8" t="s">
        <v>239</v>
      </c>
      <c r="F37" s="8" t="s">
        <v>240</v>
      </c>
      <c r="G37" s="8" t="s">
        <v>241</v>
      </c>
      <c r="H37" s="8" t="s">
        <v>36</v>
      </c>
      <c r="I37" s="8" t="s">
        <v>37</v>
      </c>
      <c r="J37" s="8" t="s">
        <v>242</v>
      </c>
      <c r="K37" s="6" t="s">
        <v>243</v>
      </c>
      <c r="L37" s="7" t="s">
        <v>36</v>
      </c>
      <c r="M37" s="6" t="s">
        <v>40</v>
      </c>
      <c r="N37" s="8" t="s">
        <v>244</v>
      </c>
      <c r="O37" s="6">
        <f>HYPERLINK("https://docs.wto.org/imrd/directdoc.asp?DDFDocuments/t/G/SPS/NRUS317.DOCX", "https://docs.wto.org/imrd/directdoc.asp?DDFDocuments/t/G/SPS/NRUS317.DOCX")</f>
      </c>
      <c r="P37" s="6">
        <f>HYPERLINK("https://docs.wto.org/imrd/directdoc.asp?DDFDocuments/u/G/SPS/NRUS317.DOCX", "https://docs.wto.org/imrd/directdoc.asp?DDFDocuments/u/G/SPS/NRUS317.DOCX")</f>
      </c>
      <c r="Q37" s="6">
        <f>HYPERLINK("https://docs.wto.org/imrd/directdoc.asp?DDFDocuments/v/G/SPS/NRUS317.DOCX", "https://docs.wto.org/imrd/directdoc.asp?DDFDocuments/v/G/SPS/NRUS317.DOCX")</f>
      </c>
      <c r="R37" s="0" t="s">
        <v>36</v>
      </c>
      <c r="S37" s="0" t="s">
        <v>36</v>
      </c>
      <c r="T37" s="0" t="s">
        <v>36</v>
      </c>
      <c r="U37" s="0" t="s">
        <v>36</v>
      </c>
      <c r="V37" s="0" t="s">
        <v>36</v>
      </c>
      <c r="W37" s="0" t="s">
        <v>36</v>
      </c>
      <c r="X37" s="0" t="s">
        <v>36</v>
      </c>
      <c r="Y37" s="2" t="s">
        <v>36</v>
      </c>
      <c r="Z37" s="0" t="s">
        <v>42</v>
      </c>
      <c r="AA37" s="0" t="s">
        <v>43</v>
      </c>
      <c r="AB37" s="0" t="s">
        <v>42</v>
      </c>
      <c r="AC37" s="0" t="s">
        <v>42</v>
      </c>
      <c r="AD37" s="0" t="s">
        <v>43</v>
      </c>
      <c r="AE37" s="2" t="s">
        <v>36</v>
      </c>
    </row>
    <row r="38">
      <c r="A38" s="6" t="s">
        <v>31</v>
      </c>
      <c r="B38" s="7">
        <v>45811</v>
      </c>
      <c r="C38" s="9">
        <f>HYPERLINK("https://www.epingalert.org/en/Search?viewData= G/SPS/N/RUS/318"," G/SPS/N/RUS/318")</f>
      </c>
      <c r="D38" s="8" t="s">
        <v>245</v>
      </c>
      <c r="E38" s="8" t="s">
        <v>246</v>
      </c>
      <c r="F38" s="8" t="s">
        <v>247</v>
      </c>
      <c r="G38" s="8" t="s">
        <v>248</v>
      </c>
      <c r="H38" s="8" t="s">
        <v>36</v>
      </c>
      <c r="I38" s="8" t="s">
        <v>37</v>
      </c>
      <c r="J38" s="8" t="s">
        <v>249</v>
      </c>
      <c r="K38" s="6" t="s">
        <v>250</v>
      </c>
      <c r="L38" s="7" t="s">
        <v>36</v>
      </c>
      <c r="M38" s="6" t="s">
        <v>40</v>
      </c>
      <c r="N38" s="8" t="s">
        <v>251</v>
      </c>
      <c r="O38" s="6">
        <f>HYPERLINK("https://docs.wto.org/imrd/directdoc.asp?DDFDocuments/t/G/SPS/NRUS318.DOCX", "https://docs.wto.org/imrd/directdoc.asp?DDFDocuments/t/G/SPS/NRUS318.DOCX")</f>
      </c>
      <c r="P38" s="6">
        <f>HYPERLINK("https://docs.wto.org/imrd/directdoc.asp?DDFDocuments/u/G/SPS/NRUS318.DOCX", "https://docs.wto.org/imrd/directdoc.asp?DDFDocuments/u/G/SPS/NRUS318.DOCX")</f>
      </c>
      <c r="Q38" s="6">
        <f>HYPERLINK("https://docs.wto.org/imrd/directdoc.asp?DDFDocuments/v/G/SPS/NRUS318.DOCX", "https://docs.wto.org/imrd/directdoc.asp?DDFDocuments/v/G/SPS/NRUS318.DOCX")</f>
      </c>
      <c r="R38" s="0" t="s">
        <v>36</v>
      </c>
      <c r="S38" s="0" t="s">
        <v>36</v>
      </c>
      <c r="T38" s="0" t="s">
        <v>36</v>
      </c>
      <c r="U38" s="0" t="s">
        <v>36</v>
      </c>
      <c r="V38" s="0" t="s">
        <v>36</v>
      </c>
      <c r="W38" s="0" t="s">
        <v>36</v>
      </c>
      <c r="X38" s="0" t="s">
        <v>36</v>
      </c>
      <c r="Y38" s="2" t="s">
        <v>36</v>
      </c>
      <c r="Z38" s="0" t="s">
        <v>42</v>
      </c>
      <c r="AA38" s="0" t="s">
        <v>43</v>
      </c>
      <c r="AB38" s="0" t="s">
        <v>42</v>
      </c>
      <c r="AC38" s="0" t="s">
        <v>42</v>
      </c>
      <c r="AD38" s="0" t="s">
        <v>43</v>
      </c>
      <c r="AE38" s="2" t="s">
        <v>36</v>
      </c>
    </row>
    <row r="39">
      <c r="A39" s="6" t="s">
        <v>31</v>
      </c>
      <c r="B39" s="7">
        <v>45805</v>
      </c>
      <c r="C39" s="9">
        <f>HYPERLINK("https://www.epingalert.org/en/Search?viewData= G/SPS/N/RUS/316"," G/SPS/N/RUS/316")</f>
      </c>
      <c r="D39" s="8" t="s">
        <v>252</v>
      </c>
      <c r="E39" s="8" t="s">
        <v>253</v>
      </c>
      <c r="F39" s="8" t="s">
        <v>247</v>
      </c>
      <c r="G39" s="8" t="s">
        <v>248</v>
      </c>
      <c r="H39" s="8" t="s">
        <v>36</v>
      </c>
      <c r="I39" s="8" t="s">
        <v>37</v>
      </c>
      <c r="J39" s="8" t="s">
        <v>254</v>
      </c>
      <c r="K39" s="6" t="s">
        <v>255</v>
      </c>
      <c r="L39" s="7" t="s">
        <v>36</v>
      </c>
      <c r="M39" s="6" t="s">
        <v>40</v>
      </c>
      <c r="N39" s="8" t="s">
        <v>256</v>
      </c>
      <c r="O39" s="6">
        <f>HYPERLINK("https://docs.wto.org/imrd/directdoc.asp?DDFDocuments/t/G/SPS/NRUS316.DOCX", "https://docs.wto.org/imrd/directdoc.asp?DDFDocuments/t/G/SPS/NRUS316.DOCX")</f>
      </c>
      <c r="P39" s="6">
        <f>HYPERLINK("https://docs.wto.org/imrd/directdoc.asp?DDFDocuments/u/G/SPS/NRUS316.DOCX", "https://docs.wto.org/imrd/directdoc.asp?DDFDocuments/u/G/SPS/NRUS316.DOCX")</f>
      </c>
      <c r="Q39" s="6">
        <f>HYPERLINK("https://docs.wto.org/imrd/directdoc.asp?DDFDocuments/v/G/SPS/NRUS316.DOCX", "https://docs.wto.org/imrd/directdoc.asp?DDFDocuments/v/G/SPS/NRUS316.DOCX")</f>
      </c>
      <c r="R39" s="0" t="s">
        <v>36</v>
      </c>
      <c r="S39" s="0" t="s">
        <v>36</v>
      </c>
      <c r="T39" s="0" t="s">
        <v>36</v>
      </c>
      <c r="U39" s="0" t="s">
        <v>36</v>
      </c>
      <c r="V39" s="0" t="s">
        <v>36</v>
      </c>
      <c r="W39" s="0" t="s">
        <v>36</v>
      </c>
      <c r="X39" s="0" t="s">
        <v>36</v>
      </c>
      <c r="Y39" s="2" t="s">
        <v>36</v>
      </c>
      <c r="Z39" s="0" t="s">
        <v>42</v>
      </c>
      <c r="AA39" s="0" t="s">
        <v>43</v>
      </c>
      <c r="AB39" s="0" t="s">
        <v>42</v>
      </c>
      <c r="AC39" s="0" t="s">
        <v>42</v>
      </c>
      <c r="AD39" s="0" t="s">
        <v>43</v>
      </c>
      <c r="AE39" s="2" t="s">
        <v>36</v>
      </c>
    </row>
    <row r="40">
      <c r="A40" s="6" t="s">
        <v>31</v>
      </c>
      <c r="B40" s="7">
        <v>45796</v>
      </c>
      <c r="C40" s="9">
        <f>HYPERLINK("https://www.epingalert.org/en/Search?viewData= G/SPS/N/RUS/315"," G/SPS/N/RUS/315")</f>
      </c>
      <c r="D40" s="8" t="s">
        <v>257</v>
      </c>
      <c r="E40" s="8" t="s">
        <v>258</v>
      </c>
      <c r="F40" s="8" t="s">
        <v>220</v>
      </c>
      <c r="G40" s="8" t="s">
        <v>259</v>
      </c>
      <c r="H40" s="8" t="s">
        <v>36</v>
      </c>
      <c r="I40" s="8" t="s">
        <v>37</v>
      </c>
      <c r="J40" s="8" t="s">
        <v>157</v>
      </c>
      <c r="K40" s="6" t="s">
        <v>36</v>
      </c>
      <c r="L40" s="7">
        <v>45852</v>
      </c>
      <c r="M40" s="6" t="s">
        <v>51</v>
      </c>
      <c r="N40" s="8" t="s">
        <v>260</v>
      </c>
      <c r="O40" s="6">
        <f>HYPERLINK("https://docs.wto.org/imrd/directdoc.asp?DDFDocuments/t/G/SPS/NRUS315.DOCX", "https://docs.wto.org/imrd/directdoc.asp?DDFDocuments/t/G/SPS/NRUS315.DOCX")</f>
      </c>
      <c r="P40" s="6">
        <f>HYPERLINK("https://docs.wto.org/imrd/directdoc.asp?DDFDocuments/u/G/SPS/NRUS315.DOCX", "https://docs.wto.org/imrd/directdoc.asp?DDFDocuments/u/G/SPS/NRUS315.DOCX")</f>
      </c>
      <c r="Q40" s="6">
        <f>HYPERLINK("https://docs.wto.org/imrd/directdoc.asp?DDFDocuments/v/G/SPS/NRUS315.DOCX", "https://docs.wto.org/imrd/directdoc.asp?DDFDocuments/v/G/SPS/NRUS315.DOCX")</f>
      </c>
      <c r="R40" s="0" t="s">
        <v>36</v>
      </c>
      <c r="S40" s="0" t="s">
        <v>36</v>
      </c>
      <c r="T40" s="0" t="s">
        <v>36</v>
      </c>
      <c r="U40" s="0" t="s">
        <v>36</v>
      </c>
      <c r="V40" s="0" t="s">
        <v>36</v>
      </c>
      <c r="W40" s="0" t="s">
        <v>36</v>
      </c>
      <c r="X40" s="0" t="s">
        <v>36</v>
      </c>
      <c r="Y40" s="2" t="s">
        <v>36</v>
      </c>
      <c r="Z40" s="0" t="s">
        <v>42</v>
      </c>
      <c r="AA40" s="0" t="s">
        <v>43</v>
      </c>
      <c r="AB40" s="0" t="s">
        <v>42</v>
      </c>
      <c r="AC40" s="0" t="s">
        <v>42</v>
      </c>
      <c r="AD40" s="0" t="s">
        <v>43</v>
      </c>
      <c r="AE40" s="2" t="s">
        <v>36</v>
      </c>
    </row>
    <row r="41">
      <c r="A41" s="6" t="s">
        <v>31</v>
      </c>
      <c r="B41" s="7">
        <v>45793</v>
      </c>
      <c r="C41" s="9">
        <f>HYPERLINK("https://www.epingalert.org/en/Search?viewData= G/TBT/N/RUS/171"," G/TBT/N/RUS/171")</f>
      </c>
      <c r="D41" s="8" t="s">
        <v>261</v>
      </c>
      <c r="E41" s="8" t="s">
        <v>262</v>
      </c>
      <c r="F41" s="8" t="s">
        <v>263</v>
      </c>
      <c r="G41" s="8" t="s">
        <v>36</v>
      </c>
      <c r="H41" s="8" t="s">
        <v>264</v>
      </c>
      <c r="I41" s="8" t="s">
        <v>265</v>
      </c>
      <c r="J41" s="8" t="s">
        <v>58</v>
      </c>
      <c r="K41" s="6"/>
      <c r="L41" s="7">
        <v>45853</v>
      </c>
      <c r="M41" s="6" t="s">
        <v>51</v>
      </c>
      <c r="N41" s="6"/>
      <c r="O41" s="6">
        <f>HYPERLINK("https://docs.wto.org/imrd/directdoc.asp?DDFDocuments/t/G/TBTN25/RUS171.DOCX", "https://docs.wto.org/imrd/directdoc.asp?DDFDocuments/t/G/TBTN25/RUS171.DOCX")</f>
      </c>
      <c r="P41" s="6">
        <f>HYPERLINK("https://docs.wto.org/imrd/directdoc.asp?DDFDocuments/u/G/TBTN25/RUS171.DOCX", "https://docs.wto.org/imrd/directdoc.asp?DDFDocuments/u/G/TBTN25/RUS171.DOCX")</f>
      </c>
      <c r="Q41" s="6">
        <f>HYPERLINK("https://docs.wto.org/imrd/directdoc.asp?DDFDocuments/v/G/TBTN25/RUS171.DOCX", "https://docs.wto.org/imrd/directdoc.asp?DDFDocuments/v/G/TBTN25/RUS171.DOCX")</f>
      </c>
      <c r="R41" s="0" t="s">
        <v>43</v>
      </c>
      <c r="S41" s="0" t="s">
        <v>42</v>
      </c>
      <c r="T41" s="0" t="s">
        <v>42</v>
      </c>
      <c r="U41" s="0" t="s">
        <v>42</v>
      </c>
      <c r="V41" s="0" t="s">
        <v>42</v>
      </c>
      <c r="W41" s="0" t="s">
        <v>42</v>
      </c>
      <c r="X41" s="0" t="s">
        <v>42</v>
      </c>
      <c r="Y41" s="2" t="s">
        <v>266</v>
      </c>
      <c r="Z41" s="0" t="s">
        <v>36</v>
      </c>
      <c r="AA41" s="0" t="s">
        <v>36</v>
      </c>
      <c r="AB41" s="0" t="s">
        <v>36</v>
      </c>
      <c r="AC41" s="0" t="s">
        <v>36</v>
      </c>
      <c r="AD41" s="0" t="s">
        <v>36</v>
      </c>
      <c r="AE41" s="2" t="s">
        <v>36</v>
      </c>
    </row>
    <row r="42">
      <c r="A42" s="6" t="s">
        <v>31</v>
      </c>
      <c r="B42" s="7">
        <v>45783</v>
      </c>
      <c r="C42" s="9">
        <f>HYPERLINK("https://www.epingalert.org/en/Search?viewData= G/TBT/N/RUS/170"," G/TBT/N/RUS/170")</f>
      </c>
      <c r="D42" s="8" t="s">
        <v>267</v>
      </c>
      <c r="E42" s="8" t="s">
        <v>268</v>
      </c>
      <c r="F42" s="8" t="s">
        <v>269</v>
      </c>
      <c r="G42" s="8" t="s">
        <v>36</v>
      </c>
      <c r="H42" s="8" t="s">
        <v>270</v>
      </c>
      <c r="I42" s="8" t="s">
        <v>265</v>
      </c>
      <c r="J42" s="8" t="s">
        <v>271</v>
      </c>
      <c r="K42" s="6"/>
      <c r="L42" s="7">
        <v>45843</v>
      </c>
      <c r="M42" s="6" t="s">
        <v>51</v>
      </c>
      <c r="N42" s="8" t="s">
        <v>272</v>
      </c>
      <c r="O42" s="6">
        <f>HYPERLINK("https://docs.wto.org/imrd/directdoc.asp?DDFDocuments/t/G/TBTN25/RUS170.DOCX", "https://docs.wto.org/imrd/directdoc.asp?DDFDocuments/t/G/TBTN25/RUS170.DOCX")</f>
      </c>
      <c r="P42" s="6">
        <f>HYPERLINK("https://docs.wto.org/imrd/directdoc.asp?DDFDocuments/u/G/TBTN25/RUS170.DOCX", "https://docs.wto.org/imrd/directdoc.asp?DDFDocuments/u/G/TBTN25/RUS170.DOCX")</f>
      </c>
      <c r="Q42" s="6">
        <f>HYPERLINK("https://docs.wto.org/imrd/directdoc.asp?DDFDocuments/v/G/TBTN25/RUS170.DOCX", "https://docs.wto.org/imrd/directdoc.asp?DDFDocuments/v/G/TBTN25/RUS170.DOCX")</f>
      </c>
      <c r="R42" s="0" t="s">
        <v>43</v>
      </c>
      <c r="S42" s="0" t="s">
        <v>42</v>
      </c>
      <c r="T42" s="0" t="s">
        <v>42</v>
      </c>
      <c r="U42" s="0" t="s">
        <v>42</v>
      </c>
      <c r="V42" s="0" t="s">
        <v>42</v>
      </c>
      <c r="W42" s="0" t="s">
        <v>42</v>
      </c>
      <c r="X42" s="0" t="s">
        <v>42</v>
      </c>
      <c r="Y42" s="2" t="s">
        <v>273</v>
      </c>
      <c r="Z42" s="0" t="s">
        <v>36</v>
      </c>
      <c r="AA42" s="0" t="s">
        <v>36</v>
      </c>
      <c r="AB42" s="0" t="s">
        <v>36</v>
      </c>
      <c r="AC42" s="0" t="s">
        <v>36</v>
      </c>
      <c r="AD42" s="0" t="s">
        <v>36</v>
      </c>
      <c r="AE42" s="2" t="s">
        <v>36</v>
      </c>
    </row>
    <row r="43">
      <c r="A43" s="6" t="s">
        <v>31</v>
      </c>
      <c r="B43" s="7">
        <v>45778</v>
      </c>
      <c r="C43" s="9">
        <f>HYPERLINK("https://www.epingalert.org/en/Search?viewData= G/SPS/N/RUS/314"," G/SPS/N/RUS/314")</f>
      </c>
      <c r="D43" s="8" t="s">
        <v>274</v>
      </c>
      <c r="E43" s="8" t="s">
        <v>275</v>
      </c>
      <c r="F43" s="8" t="s">
        <v>276</v>
      </c>
      <c r="G43" s="8" t="s">
        <v>277</v>
      </c>
      <c r="H43" s="8" t="s">
        <v>36</v>
      </c>
      <c r="I43" s="8" t="s">
        <v>37</v>
      </c>
      <c r="J43" s="8" t="s">
        <v>278</v>
      </c>
      <c r="K43" s="6" t="s">
        <v>279</v>
      </c>
      <c r="L43" s="7" t="s">
        <v>36</v>
      </c>
      <c r="M43" s="6" t="s">
        <v>40</v>
      </c>
      <c r="N43" s="8" t="s">
        <v>280</v>
      </c>
      <c r="O43" s="6">
        <f>HYPERLINK("https://docs.wto.org/imrd/directdoc.asp?DDFDocuments/t/G/SPS/NRUS314.DOCX", "https://docs.wto.org/imrd/directdoc.asp?DDFDocuments/t/G/SPS/NRUS314.DOCX")</f>
      </c>
      <c r="P43" s="6">
        <f>HYPERLINK("https://docs.wto.org/imrd/directdoc.asp?DDFDocuments/u/G/SPS/NRUS314.DOCX", "https://docs.wto.org/imrd/directdoc.asp?DDFDocuments/u/G/SPS/NRUS314.DOCX")</f>
      </c>
      <c r="Q43" s="6">
        <f>HYPERLINK("https://docs.wto.org/imrd/directdoc.asp?DDFDocuments/v/G/SPS/NRUS314.DOCX", "https://docs.wto.org/imrd/directdoc.asp?DDFDocuments/v/G/SPS/NRUS314.DOCX")</f>
      </c>
      <c r="R43" s="0" t="s">
        <v>36</v>
      </c>
      <c r="S43" s="0" t="s">
        <v>36</v>
      </c>
      <c r="T43" s="0" t="s">
        <v>36</v>
      </c>
      <c r="U43" s="0" t="s">
        <v>36</v>
      </c>
      <c r="V43" s="0" t="s">
        <v>36</v>
      </c>
      <c r="W43" s="0" t="s">
        <v>36</v>
      </c>
      <c r="X43" s="0" t="s">
        <v>36</v>
      </c>
      <c r="Y43" s="2" t="s">
        <v>36</v>
      </c>
      <c r="Z43" s="0" t="s">
        <v>42</v>
      </c>
      <c r="AA43" s="0" t="s">
        <v>43</v>
      </c>
      <c r="AB43" s="0" t="s">
        <v>42</v>
      </c>
      <c r="AC43" s="0" t="s">
        <v>42</v>
      </c>
      <c r="AD43" s="0" t="s">
        <v>43</v>
      </c>
      <c r="AE43" s="2" t="s">
        <v>36</v>
      </c>
    </row>
    <row r="44">
      <c r="A44" s="6" t="s">
        <v>31</v>
      </c>
      <c r="B44" s="7">
        <v>45762</v>
      </c>
      <c r="C44" s="9">
        <f>HYPERLINK("https://www.epingalert.org/en/Search?viewData= G/SPS/N/RUS/313"," G/SPS/N/RUS/313")</f>
      </c>
      <c r="D44" s="8" t="s">
        <v>281</v>
      </c>
      <c r="E44" s="8" t="s">
        <v>282</v>
      </c>
      <c r="F44" s="8" t="s">
        <v>283</v>
      </c>
      <c r="G44" s="8" t="s">
        <v>284</v>
      </c>
      <c r="H44" s="8" t="s">
        <v>36</v>
      </c>
      <c r="I44" s="8" t="s">
        <v>37</v>
      </c>
      <c r="J44" s="8" t="s">
        <v>285</v>
      </c>
      <c r="K44" s="6" t="s">
        <v>286</v>
      </c>
      <c r="L44" s="7" t="s">
        <v>36</v>
      </c>
      <c r="M44" s="6" t="s">
        <v>40</v>
      </c>
      <c r="N44" s="8" t="s">
        <v>287</v>
      </c>
      <c r="O44" s="6">
        <f>HYPERLINK("https://docs.wto.org/imrd/directdoc.asp?DDFDocuments/t/G/SPS/NRUS313.DOCX", "https://docs.wto.org/imrd/directdoc.asp?DDFDocuments/t/G/SPS/NRUS313.DOCX")</f>
      </c>
      <c r="P44" s="6">
        <f>HYPERLINK("https://docs.wto.org/imrd/directdoc.asp?DDFDocuments/u/G/SPS/NRUS313.DOCX", "https://docs.wto.org/imrd/directdoc.asp?DDFDocuments/u/G/SPS/NRUS313.DOCX")</f>
      </c>
      <c r="Q44" s="6">
        <f>HYPERLINK("https://docs.wto.org/imrd/directdoc.asp?DDFDocuments/v/G/SPS/NRUS313.DOCX", "https://docs.wto.org/imrd/directdoc.asp?DDFDocuments/v/G/SPS/NRUS313.DOCX")</f>
      </c>
      <c r="R44" s="0" t="s">
        <v>36</v>
      </c>
      <c r="S44" s="0" t="s">
        <v>36</v>
      </c>
      <c r="T44" s="0" t="s">
        <v>36</v>
      </c>
      <c r="U44" s="0" t="s">
        <v>36</v>
      </c>
      <c r="V44" s="0" t="s">
        <v>36</v>
      </c>
      <c r="W44" s="0" t="s">
        <v>36</v>
      </c>
      <c r="X44" s="0" t="s">
        <v>36</v>
      </c>
      <c r="Y44" s="2" t="s">
        <v>36</v>
      </c>
      <c r="Z44" s="0" t="s">
        <v>42</v>
      </c>
      <c r="AA44" s="0" t="s">
        <v>43</v>
      </c>
      <c r="AB44" s="0" t="s">
        <v>42</v>
      </c>
      <c r="AC44" s="0" t="s">
        <v>42</v>
      </c>
      <c r="AD44" s="0" t="s">
        <v>43</v>
      </c>
      <c r="AE44" s="2" t="s">
        <v>36</v>
      </c>
    </row>
    <row r="45">
      <c r="A45" s="6" t="s">
        <v>31</v>
      </c>
      <c r="B45" s="7">
        <v>45756</v>
      </c>
      <c r="C45" s="9">
        <f>HYPERLINK("https://www.epingalert.org/en/Search?viewData= G/SPS/N/RUS/312"," G/SPS/N/RUS/312")</f>
      </c>
      <c r="D45" s="8" t="s">
        <v>288</v>
      </c>
      <c r="E45" s="8" t="s">
        <v>289</v>
      </c>
      <c r="F45" s="8" t="s">
        <v>247</v>
      </c>
      <c r="G45" s="8" t="s">
        <v>248</v>
      </c>
      <c r="H45" s="8" t="s">
        <v>36</v>
      </c>
      <c r="I45" s="8" t="s">
        <v>37</v>
      </c>
      <c r="J45" s="8" t="s">
        <v>290</v>
      </c>
      <c r="K45" s="6" t="s">
        <v>291</v>
      </c>
      <c r="L45" s="7" t="s">
        <v>36</v>
      </c>
      <c r="M45" s="6" t="s">
        <v>40</v>
      </c>
      <c r="N45" s="8" t="s">
        <v>292</v>
      </c>
      <c r="O45" s="6">
        <f>HYPERLINK("https://docs.wto.org/imrd/directdoc.asp?DDFDocuments/t/G/SPS/NRUS312.DOCX", "https://docs.wto.org/imrd/directdoc.asp?DDFDocuments/t/G/SPS/NRUS312.DOCX")</f>
      </c>
      <c r="P45" s="6">
        <f>HYPERLINK("https://docs.wto.org/imrd/directdoc.asp?DDFDocuments/u/G/SPS/NRUS312.DOCX", "https://docs.wto.org/imrd/directdoc.asp?DDFDocuments/u/G/SPS/NRUS312.DOCX")</f>
      </c>
      <c r="Q45" s="6">
        <f>HYPERLINK("https://docs.wto.org/imrd/directdoc.asp?DDFDocuments/v/G/SPS/NRUS312.DOCX", "https://docs.wto.org/imrd/directdoc.asp?DDFDocuments/v/G/SPS/NRUS312.DOCX")</f>
      </c>
      <c r="R45" s="0" t="s">
        <v>36</v>
      </c>
      <c r="S45" s="0" t="s">
        <v>36</v>
      </c>
      <c r="T45" s="0" t="s">
        <v>36</v>
      </c>
      <c r="U45" s="0" t="s">
        <v>36</v>
      </c>
      <c r="V45" s="0" t="s">
        <v>36</v>
      </c>
      <c r="W45" s="0" t="s">
        <v>36</v>
      </c>
      <c r="X45" s="0" t="s">
        <v>36</v>
      </c>
      <c r="Y45" s="2" t="s">
        <v>36</v>
      </c>
      <c r="Z45" s="0" t="s">
        <v>42</v>
      </c>
      <c r="AA45" s="0" t="s">
        <v>43</v>
      </c>
      <c r="AB45" s="0" t="s">
        <v>42</v>
      </c>
      <c r="AC45" s="0" t="s">
        <v>42</v>
      </c>
      <c r="AD45" s="0" t="s">
        <v>43</v>
      </c>
      <c r="AE45" s="2" t="s">
        <v>36</v>
      </c>
    </row>
    <row r="46">
      <c r="A46" s="6" t="s">
        <v>31</v>
      </c>
      <c r="B46" s="7">
        <v>45743</v>
      </c>
      <c r="C46" s="9">
        <f>HYPERLINK("https://www.epingalert.org/en/Search?viewData= G/SPS/N/RUS/311"," G/SPS/N/RUS/311")</f>
      </c>
      <c r="D46" s="8" t="s">
        <v>293</v>
      </c>
      <c r="E46" s="8" t="s">
        <v>294</v>
      </c>
      <c r="F46" s="8" t="s">
        <v>124</v>
      </c>
      <c r="G46" s="8" t="s">
        <v>125</v>
      </c>
      <c r="H46" s="8" t="s">
        <v>36</v>
      </c>
      <c r="I46" s="8" t="s">
        <v>37</v>
      </c>
      <c r="J46" s="8" t="s">
        <v>126</v>
      </c>
      <c r="K46" s="6" t="s">
        <v>295</v>
      </c>
      <c r="L46" s="7" t="s">
        <v>36</v>
      </c>
      <c r="M46" s="6" t="s">
        <v>40</v>
      </c>
      <c r="N46" s="8" t="s">
        <v>296</v>
      </c>
      <c r="O46" s="6">
        <f>HYPERLINK("https://docs.wto.org/imrd/directdoc.asp?DDFDocuments/t/G/SPS/NRUS311.DOCX", "https://docs.wto.org/imrd/directdoc.asp?DDFDocuments/t/G/SPS/NRUS311.DOCX")</f>
      </c>
      <c r="P46" s="6">
        <f>HYPERLINK("https://docs.wto.org/imrd/directdoc.asp?DDFDocuments/u/G/SPS/NRUS311.DOCX", "https://docs.wto.org/imrd/directdoc.asp?DDFDocuments/u/G/SPS/NRUS311.DOCX")</f>
      </c>
      <c r="Q46" s="6">
        <f>HYPERLINK("https://docs.wto.org/imrd/directdoc.asp?DDFDocuments/v/G/SPS/NRUS311.DOCX", "https://docs.wto.org/imrd/directdoc.asp?DDFDocuments/v/G/SPS/NRUS311.DOCX")</f>
      </c>
      <c r="R46" s="0" t="s">
        <v>36</v>
      </c>
      <c r="S46" s="0" t="s">
        <v>36</v>
      </c>
      <c r="T46" s="0" t="s">
        <v>36</v>
      </c>
      <c r="U46" s="0" t="s">
        <v>36</v>
      </c>
      <c r="V46" s="0" t="s">
        <v>36</v>
      </c>
      <c r="W46" s="0" t="s">
        <v>36</v>
      </c>
      <c r="X46" s="0" t="s">
        <v>36</v>
      </c>
      <c r="Y46" s="2" t="s">
        <v>36</v>
      </c>
      <c r="Z46" s="0" t="s">
        <v>42</v>
      </c>
      <c r="AA46" s="0" t="s">
        <v>43</v>
      </c>
      <c r="AB46" s="0" t="s">
        <v>42</v>
      </c>
      <c r="AC46" s="0" t="s">
        <v>42</v>
      </c>
      <c r="AD46" s="0" t="s">
        <v>43</v>
      </c>
      <c r="AE46" s="2" t="s">
        <v>36</v>
      </c>
    </row>
    <row r="47">
      <c r="A47" s="6" t="s">
        <v>31</v>
      </c>
      <c r="B47" s="7">
        <v>45741</v>
      </c>
      <c r="C47" s="9">
        <f>HYPERLINK("https://www.epingalert.org/en/Search?viewData= G/TBT/N/RUS/169"," G/TBT/N/RUS/169")</f>
      </c>
      <c r="D47" s="8" t="s">
        <v>297</v>
      </c>
      <c r="E47" s="8" t="s">
        <v>298</v>
      </c>
      <c r="F47" s="8" t="s">
        <v>299</v>
      </c>
      <c r="G47" s="8" t="s">
        <v>36</v>
      </c>
      <c r="H47" s="8" t="s">
        <v>300</v>
      </c>
      <c r="I47" s="8" t="s">
        <v>164</v>
      </c>
      <c r="J47" s="8" t="s">
        <v>58</v>
      </c>
      <c r="K47" s="6"/>
      <c r="L47" s="7">
        <v>45801</v>
      </c>
      <c r="M47" s="6" t="s">
        <v>51</v>
      </c>
      <c r="N47" s="8" t="s">
        <v>301</v>
      </c>
      <c r="O47" s="6">
        <f>HYPERLINK("https://docs.wto.org/imrd/directdoc.asp?DDFDocuments/t/G/TBTN25/RUS169.DOCX", "https://docs.wto.org/imrd/directdoc.asp?DDFDocuments/t/G/TBTN25/RUS169.DOCX")</f>
      </c>
      <c r="P47" s="6">
        <f>HYPERLINK("https://docs.wto.org/imrd/directdoc.asp?DDFDocuments/u/G/TBTN25/RUS169.DOCX", "https://docs.wto.org/imrd/directdoc.asp?DDFDocuments/u/G/TBTN25/RUS169.DOCX")</f>
      </c>
      <c r="Q47" s="6">
        <f>HYPERLINK("https://docs.wto.org/imrd/directdoc.asp?DDFDocuments/v/G/TBTN25/RUS169.DOCX", "https://docs.wto.org/imrd/directdoc.asp?DDFDocuments/v/G/TBTN25/RUS169.DOCX")</f>
      </c>
      <c r="R47" s="0" t="s">
        <v>43</v>
      </c>
      <c r="S47" s="0" t="s">
        <v>42</v>
      </c>
      <c r="T47" s="0" t="s">
        <v>42</v>
      </c>
      <c r="U47" s="0" t="s">
        <v>42</v>
      </c>
      <c r="V47" s="0" t="s">
        <v>42</v>
      </c>
      <c r="W47" s="0" t="s">
        <v>42</v>
      </c>
      <c r="X47" s="0" t="s">
        <v>42</v>
      </c>
      <c r="Y47" s="2" t="s">
        <v>302</v>
      </c>
      <c r="Z47" s="0" t="s">
        <v>36</v>
      </c>
      <c r="AA47" s="0" t="s">
        <v>36</v>
      </c>
      <c r="AB47" s="0" t="s">
        <v>36</v>
      </c>
      <c r="AC47" s="0" t="s">
        <v>36</v>
      </c>
      <c r="AD47" s="0" t="s">
        <v>36</v>
      </c>
      <c r="AE47" s="2" t="s">
        <v>36</v>
      </c>
    </row>
    <row r="48">
      <c r="A48" s="6" t="s">
        <v>31</v>
      </c>
      <c r="B48" s="7">
        <v>45741</v>
      </c>
      <c r="C48" s="9">
        <f>HYPERLINK("https://www.epingalert.org/en/Search?viewData= G/SPS/N/RUS/310"," G/SPS/N/RUS/310")</f>
      </c>
      <c r="D48" s="8" t="s">
        <v>303</v>
      </c>
      <c r="E48" s="8" t="s">
        <v>304</v>
      </c>
      <c r="F48" s="8" t="s">
        <v>124</v>
      </c>
      <c r="G48" s="8" t="s">
        <v>125</v>
      </c>
      <c r="H48" s="8" t="s">
        <v>36</v>
      </c>
      <c r="I48" s="8" t="s">
        <v>37</v>
      </c>
      <c r="J48" s="8" t="s">
        <v>305</v>
      </c>
      <c r="K48" s="6" t="s">
        <v>306</v>
      </c>
      <c r="L48" s="7" t="s">
        <v>36</v>
      </c>
      <c r="M48" s="6" t="s">
        <v>40</v>
      </c>
      <c r="N48" s="8" t="s">
        <v>307</v>
      </c>
      <c r="O48" s="6">
        <f>HYPERLINK("https://docs.wto.org/imrd/directdoc.asp?DDFDocuments/t/G/SPS/NRUS310.DOCX", "https://docs.wto.org/imrd/directdoc.asp?DDFDocuments/t/G/SPS/NRUS310.DOCX")</f>
      </c>
      <c r="P48" s="6">
        <f>HYPERLINK("https://docs.wto.org/imrd/directdoc.asp?DDFDocuments/u/G/SPS/NRUS310.DOCX", "https://docs.wto.org/imrd/directdoc.asp?DDFDocuments/u/G/SPS/NRUS310.DOCX")</f>
      </c>
      <c r="Q48" s="6">
        <f>HYPERLINK("https://docs.wto.org/imrd/directdoc.asp?DDFDocuments/v/G/SPS/NRUS310.DOCX", "https://docs.wto.org/imrd/directdoc.asp?DDFDocuments/v/G/SPS/NRUS310.DOCX")</f>
      </c>
      <c r="R48" s="0" t="s">
        <v>36</v>
      </c>
      <c r="S48" s="0" t="s">
        <v>36</v>
      </c>
      <c r="T48" s="0" t="s">
        <v>36</v>
      </c>
      <c r="U48" s="0" t="s">
        <v>36</v>
      </c>
      <c r="V48" s="0" t="s">
        <v>36</v>
      </c>
      <c r="W48" s="0" t="s">
        <v>36</v>
      </c>
      <c r="X48" s="0" t="s">
        <v>36</v>
      </c>
      <c r="Y48" s="2" t="s">
        <v>36</v>
      </c>
      <c r="Z48" s="0" t="s">
        <v>42</v>
      </c>
      <c r="AA48" s="0" t="s">
        <v>43</v>
      </c>
      <c r="AB48" s="0" t="s">
        <v>42</v>
      </c>
      <c r="AC48" s="0" t="s">
        <v>42</v>
      </c>
      <c r="AD48" s="0" t="s">
        <v>43</v>
      </c>
      <c r="AE48" s="2" t="s">
        <v>36</v>
      </c>
    </row>
    <row r="49">
      <c r="A49" s="6" t="s">
        <v>31</v>
      </c>
      <c r="B49" s="7">
        <v>45729</v>
      </c>
      <c r="C49" s="9">
        <f>HYPERLINK("https://www.epingalert.org/en/Search?viewData= G/SPS/N/RUS/307"," G/SPS/N/RUS/307")</f>
      </c>
      <c r="D49" s="8" t="s">
        <v>308</v>
      </c>
      <c r="E49" s="8" t="s">
        <v>309</v>
      </c>
      <c r="F49" s="8" t="s">
        <v>310</v>
      </c>
      <c r="G49" s="8" t="s">
        <v>311</v>
      </c>
      <c r="H49" s="8" t="s">
        <v>36</v>
      </c>
      <c r="I49" s="8" t="s">
        <v>37</v>
      </c>
      <c r="J49" s="8" t="s">
        <v>157</v>
      </c>
      <c r="K49" s="6" t="s">
        <v>312</v>
      </c>
      <c r="L49" s="7" t="s">
        <v>36</v>
      </c>
      <c r="M49" s="6" t="s">
        <v>40</v>
      </c>
      <c r="N49" s="8" t="s">
        <v>313</v>
      </c>
      <c r="O49" s="6">
        <f>HYPERLINK("https://docs.wto.org/imrd/directdoc.asp?DDFDocuments/t/G/SPS/NRUS307.DOCX", "https://docs.wto.org/imrd/directdoc.asp?DDFDocuments/t/G/SPS/NRUS307.DOCX")</f>
      </c>
      <c r="P49" s="6">
        <f>HYPERLINK("https://docs.wto.org/imrd/directdoc.asp?DDFDocuments/u/G/SPS/NRUS307.DOCX", "https://docs.wto.org/imrd/directdoc.asp?DDFDocuments/u/G/SPS/NRUS307.DOCX")</f>
      </c>
      <c r="Q49" s="6">
        <f>HYPERLINK("https://docs.wto.org/imrd/directdoc.asp?DDFDocuments/v/G/SPS/NRUS307.DOCX", "https://docs.wto.org/imrd/directdoc.asp?DDFDocuments/v/G/SPS/NRUS307.DOCX")</f>
      </c>
      <c r="R49" s="0" t="s">
        <v>36</v>
      </c>
      <c r="S49" s="0" t="s">
        <v>36</v>
      </c>
      <c r="T49" s="0" t="s">
        <v>36</v>
      </c>
      <c r="U49" s="0" t="s">
        <v>36</v>
      </c>
      <c r="V49" s="0" t="s">
        <v>36</v>
      </c>
      <c r="W49" s="0" t="s">
        <v>36</v>
      </c>
      <c r="X49" s="0" t="s">
        <v>36</v>
      </c>
      <c r="Y49" s="2" t="s">
        <v>36</v>
      </c>
      <c r="Z49" s="0" t="s">
        <v>42</v>
      </c>
      <c r="AA49" s="0" t="s">
        <v>43</v>
      </c>
      <c r="AB49" s="0" t="s">
        <v>42</v>
      </c>
      <c r="AC49" s="0" t="s">
        <v>42</v>
      </c>
      <c r="AD49" s="0" t="s">
        <v>43</v>
      </c>
      <c r="AE49" s="2" t="s">
        <v>36</v>
      </c>
    </row>
    <row r="50">
      <c r="A50" s="6" t="s">
        <v>31</v>
      </c>
      <c r="B50" s="7">
        <v>45729</v>
      </c>
      <c r="C50" s="9">
        <f>HYPERLINK("https://www.epingalert.org/en/Search?viewData= G/SPS/N/RUS/309"," G/SPS/N/RUS/309")</f>
      </c>
      <c r="D50" s="8" t="s">
        <v>314</v>
      </c>
      <c r="E50" s="8" t="s">
        <v>315</v>
      </c>
      <c r="F50" s="8" t="s">
        <v>124</v>
      </c>
      <c r="G50" s="8" t="s">
        <v>125</v>
      </c>
      <c r="H50" s="8" t="s">
        <v>36</v>
      </c>
      <c r="I50" s="8" t="s">
        <v>37</v>
      </c>
      <c r="J50" s="8" t="s">
        <v>126</v>
      </c>
      <c r="K50" s="6" t="s">
        <v>136</v>
      </c>
      <c r="L50" s="7" t="s">
        <v>36</v>
      </c>
      <c r="M50" s="6" t="s">
        <v>40</v>
      </c>
      <c r="N50" s="8" t="s">
        <v>316</v>
      </c>
      <c r="O50" s="6">
        <f>HYPERLINK("https://docs.wto.org/imrd/directdoc.asp?DDFDocuments/t/G/SPS/NRUS309.DOCX", "https://docs.wto.org/imrd/directdoc.asp?DDFDocuments/t/G/SPS/NRUS309.DOCX")</f>
      </c>
      <c r="P50" s="6">
        <f>HYPERLINK("https://docs.wto.org/imrd/directdoc.asp?DDFDocuments/u/G/SPS/NRUS309.DOCX", "https://docs.wto.org/imrd/directdoc.asp?DDFDocuments/u/G/SPS/NRUS309.DOCX")</f>
      </c>
      <c r="Q50" s="6">
        <f>HYPERLINK("https://docs.wto.org/imrd/directdoc.asp?DDFDocuments/v/G/SPS/NRUS309.DOCX", "https://docs.wto.org/imrd/directdoc.asp?DDFDocuments/v/G/SPS/NRUS309.DOCX")</f>
      </c>
      <c r="R50" s="0" t="s">
        <v>36</v>
      </c>
      <c r="S50" s="0" t="s">
        <v>36</v>
      </c>
      <c r="T50" s="0" t="s">
        <v>36</v>
      </c>
      <c r="U50" s="0" t="s">
        <v>36</v>
      </c>
      <c r="V50" s="0" t="s">
        <v>36</v>
      </c>
      <c r="W50" s="0" t="s">
        <v>36</v>
      </c>
      <c r="X50" s="0" t="s">
        <v>36</v>
      </c>
      <c r="Y50" s="2" t="s">
        <v>36</v>
      </c>
      <c r="Z50" s="0" t="s">
        <v>42</v>
      </c>
      <c r="AA50" s="0" t="s">
        <v>43</v>
      </c>
      <c r="AB50" s="0" t="s">
        <v>42</v>
      </c>
      <c r="AC50" s="0" t="s">
        <v>42</v>
      </c>
      <c r="AD50" s="0" t="s">
        <v>43</v>
      </c>
      <c r="AE50" s="2" t="s">
        <v>36</v>
      </c>
    </row>
    <row r="51">
      <c r="A51" s="6" t="s">
        <v>31</v>
      </c>
      <c r="B51" s="7">
        <v>45729</v>
      </c>
      <c r="C51" s="9">
        <f>HYPERLINK("https://www.epingalert.org/en/Search?viewData= G/SPS/N/RUS/308"," G/SPS/N/RUS/308")</f>
      </c>
      <c r="D51" s="8" t="s">
        <v>317</v>
      </c>
      <c r="E51" s="8" t="s">
        <v>318</v>
      </c>
      <c r="F51" s="8" t="s">
        <v>319</v>
      </c>
      <c r="G51" s="8" t="s">
        <v>320</v>
      </c>
      <c r="H51" s="8" t="s">
        <v>36</v>
      </c>
      <c r="I51" s="8" t="s">
        <v>37</v>
      </c>
      <c r="J51" s="8" t="s">
        <v>150</v>
      </c>
      <c r="K51" s="6" t="s">
        <v>286</v>
      </c>
      <c r="L51" s="7" t="s">
        <v>36</v>
      </c>
      <c r="M51" s="6" t="s">
        <v>40</v>
      </c>
      <c r="N51" s="8" t="s">
        <v>321</v>
      </c>
      <c r="O51" s="6">
        <f>HYPERLINK("https://docs.wto.org/imrd/directdoc.asp?DDFDocuments/t/G/SPS/NRUS308.DOCX", "https://docs.wto.org/imrd/directdoc.asp?DDFDocuments/t/G/SPS/NRUS308.DOCX")</f>
      </c>
      <c r="P51" s="6">
        <f>HYPERLINK("https://docs.wto.org/imrd/directdoc.asp?DDFDocuments/u/G/SPS/NRUS308.DOCX", "https://docs.wto.org/imrd/directdoc.asp?DDFDocuments/u/G/SPS/NRUS308.DOCX")</f>
      </c>
      <c r="Q51" s="6">
        <f>HYPERLINK("https://docs.wto.org/imrd/directdoc.asp?DDFDocuments/v/G/SPS/NRUS308.DOCX", "https://docs.wto.org/imrd/directdoc.asp?DDFDocuments/v/G/SPS/NRUS308.DOCX")</f>
      </c>
      <c r="R51" s="0" t="s">
        <v>36</v>
      </c>
      <c r="S51" s="0" t="s">
        <v>36</v>
      </c>
      <c r="T51" s="0" t="s">
        <v>36</v>
      </c>
      <c r="U51" s="0" t="s">
        <v>36</v>
      </c>
      <c r="V51" s="0" t="s">
        <v>36</v>
      </c>
      <c r="W51" s="0" t="s">
        <v>36</v>
      </c>
      <c r="X51" s="0" t="s">
        <v>36</v>
      </c>
      <c r="Y51" s="2" t="s">
        <v>36</v>
      </c>
      <c r="Z51" s="0" t="s">
        <v>42</v>
      </c>
      <c r="AA51" s="0" t="s">
        <v>43</v>
      </c>
      <c r="AB51" s="0" t="s">
        <v>42</v>
      </c>
      <c r="AC51" s="0" t="s">
        <v>42</v>
      </c>
      <c r="AD51" s="0" t="s">
        <v>43</v>
      </c>
      <c r="AE51" s="2" t="s">
        <v>36</v>
      </c>
    </row>
    <row r="52">
      <c r="A52" s="6" t="s">
        <v>31</v>
      </c>
      <c r="B52" s="7">
        <v>45721</v>
      </c>
      <c r="C52" s="9">
        <f>HYPERLINK("https://www.epingalert.org/en/Search?viewData= G/SPS/N/RUS/214/Add.1"," G/SPS/N/RUS/214/Add.1")</f>
      </c>
      <c r="D52" s="8" t="s">
        <v>322</v>
      </c>
      <c r="E52" s="8" t="s">
        <v>323</v>
      </c>
      <c r="F52" s="8" t="s">
        <v>324</v>
      </c>
      <c r="G52" s="8" t="s">
        <v>325</v>
      </c>
      <c r="H52" s="8" t="s">
        <v>36</v>
      </c>
      <c r="I52" s="8" t="s">
        <v>37</v>
      </c>
      <c r="J52" s="8" t="s">
        <v>326</v>
      </c>
      <c r="K52" s="6"/>
      <c r="L52" s="7" t="s">
        <v>36</v>
      </c>
      <c r="M52" s="6" t="s">
        <v>179</v>
      </c>
      <c r="N52" s="8" t="s">
        <v>327</v>
      </c>
      <c r="O52" s="6">
        <f>HYPERLINK("https://docs.wto.org/imrd/directdoc.asp?DDFDocuments/t/G/SPS/NRUS214A1.DOCX", "https://docs.wto.org/imrd/directdoc.asp?DDFDocuments/t/G/SPS/NRUS214A1.DOCX")</f>
      </c>
      <c r="P52" s="6">
        <f>HYPERLINK("https://docs.wto.org/imrd/directdoc.asp?DDFDocuments/u/G/SPS/NRUS214A1.DOCX", "https://docs.wto.org/imrd/directdoc.asp?DDFDocuments/u/G/SPS/NRUS214A1.DOCX")</f>
      </c>
      <c r="Q52" s="6">
        <f>HYPERLINK("https://docs.wto.org/imrd/directdoc.asp?DDFDocuments/v/G/SPS/NRUS214A1.DOCX", "https://docs.wto.org/imrd/directdoc.asp?DDFDocuments/v/G/SPS/NRUS214A1.DOCX")</f>
      </c>
      <c r="R52" s="0" t="s">
        <v>36</v>
      </c>
      <c r="S52" s="0" t="s">
        <v>36</v>
      </c>
      <c r="T52" s="0" t="s">
        <v>36</v>
      </c>
      <c r="U52" s="0" t="s">
        <v>36</v>
      </c>
      <c r="V52" s="0" t="s">
        <v>36</v>
      </c>
      <c r="W52" s="0" t="s">
        <v>36</v>
      </c>
      <c r="X52" s="0" t="s">
        <v>36</v>
      </c>
      <c r="Y52" s="2" t="s">
        <v>36</v>
      </c>
      <c r="Z52" s="0" t="s">
        <v>36</v>
      </c>
      <c r="AA52" s="0" t="s">
        <v>36</v>
      </c>
      <c r="AB52" s="0" t="s">
        <v>36</v>
      </c>
      <c r="AC52" s="0" t="s">
        <v>36</v>
      </c>
      <c r="AD52" s="0" t="s">
        <v>36</v>
      </c>
      <c r="AE52" s="2" t="s">
        <v>36</v>
      </c>
    </row>
    <row r="53">
      <c r="A53" s="6" t="s">
        <v>31</v>
      </c>
      <c r="B53" s="7">
        <v>45721</v>
      </c>
      <c r="C53" s="9">
        <f>HYPERLINK("https://www.epingalert.org/en/Search?viewData= G/SPS/N/RUS/188/Add.5"," G/SPS/N/RUS/188/Add.5")</f>
      </c>
      <c r="D53" s="8" t="s">
        <v>328</v>
      </c>
      <c r="E53" s="8" t="s">
        <v>329</v>
      </c>
      <c r="F53" s="8" t="s">
        <v>330</v>
      </c>
      <c r="G53" s="8" t="s">
        <v>331</v>
      </c>
      <c r="H53" s="8" t="s">
        <v>36</v>
      </c>
      <c r="I53" s="8" t="s">
        <v>332</v>
      </c>
      <c r="J53" s="8" t="s">
        <v>333</v>
      </c>
      <c r="K53" s="6"/>
      <c r="L53" s="7" t="s">
        <v>36</v>
      </c>
      <c r="M53" s="6" t="s">
        <v>179</v>
      </c>
      <c r="N53" s="8" t="s">
        <v>334</v>
      </c>
      <c r="O53" s="6">
        <f>HYPERLINK("https://docs.wto.org/imrd/directdoc.asp?DDFDocuments/t/G/SPS/NRUS188A5.DOCX", "https://docs.wto.org/imrd/directdoc.asp?DDFDocuments/t/G/SPS/NRUS188A5.DOCX")</f>
      </c>
      <c r="P53" s="6">
        <f>HYPERLINK("https://docs.wto.org/imrd/directdoc.asp?DDFDocuments/u/G/SPS/NRUS188A5.DOCX", "https://docs.wto.org/imrd/directdoc.asp?DDFDocuments/u/G/SPS/NRUS188A5.DOCX")</f>
      </c>
      <c r="Q53" s="6">
        <f>HYPERLINK("https://docs.wto.org/imrd/directdoc.asp?DDFDocuments/v/G/SPS/NRUS188A5.DOCX", "https://docs.wto.org/imrd/directdoc.asp?DDFDocuments/v/G/SPS/NRUS188A5.DOCX")</f>
      </c>
      <c r="R53" s="0" t="s">
        <v>36</v>
      </c>
      <c r="S53" s="0" t="s">
        <v>36</v>
      </c>
      <c r="T53" s="0" t="s">
        <v>36</v>
      </c>
      <c r="U53" s="0" t="s">
        <v>36</v>
      </c>
      <c r="V53" s="0" t="s">
        <v>36</v>
      </c>
      <c r="W53" s="0" t="s">
        <v>36</v>
      </c>
      <c r="X53" s="0" t="s">
        <v>36</v>
      </c>
      <c r="Y53" s="2" t="s">
        <v>36</v>
      </c>
      <c r="Z53" s="0" t="s">
        <v>36</v>
      </c>
      <c r="AA53" s="0" t="s">
        <v>36</v>
      </c>
      <c r="AB53" s="0" t="s">
        <v>36</v>
      </c>
      <c r="AC53" s="0" t="s">
        <v>36</v>
      </c>
      <c r="AD53" s="0" t="s">
        <v>36</v>
      </c>
      <c r="AE53" s="2" t="s">
        <v>36</v>
      </c>
    </row>
    <row r="54">
      <c r="A54" s="6" t="s">
        <v>31</v>
      </c>
      <c r="B54" s="7">
        <v>45719</v>
      </c>
      <c r="C54" s="9">
        <f>HYPERLINK("https://www.epingalert.org/en/Search?viewData= G/TBT/N/RUS/168"," G/TBT/N/RUS/168")</f>
      </c>
      <c r="D54" s="8" t="s">
        <v>335</v>
      </c>
      <c r="E54" s="8" t="s">
        <v>336</v>
      </c>
      <c r="F54" s="8" t="s">
        <v>337</v>
      </c>
      <c r="G54" s="8" t="s">
        <v>36</v>
      </c>
      <c r="H54" s="8" t="s">
        <v>338</v>
      </c>
      <c r="I54" s="8" t="s">
        <v>78</v>
      </c>
      <c r="J54" s="8" t="s">
        <v>36</v>
      </c>
      <c r="K54" s="6"/>
      <c r="L54" s="7">
        <v>45787</v>
      </c>
      <c r="M54" s="6" t="s">
        <v>51</v>
      </c>
      <c r="N54" s="6"/>
      <c r="O54" s="6">
        <f>HYPERLINK("https://docs.wto.org/imrd/directdoc.asp?DDFDocuments/t/G/TBTN25/RUS168.DOCX", "https://docs.wto.org/imrd/directdoc.asp?DDFDocuments/t/G/TBTN25/RUS168.DOCX")</f>
      </c>
      <c r="P54" s="6">
        <f>HYPERLINK("https://docs.wto.org/imrd/directdoc.asp?DDFDocuments/u/G/TBTN25/RUS168.DOCX", "https://docs.wto.org/imrd/directdoc.asp?DDFDocuments/u/G/TBTN25/RUS168.DOCX")</f>
      </c>
      <c r="Q54" s="6">
        <f>HYPERLINK("https://docs.wto.org/imrd/directdoc.asp?DDFDocuments/v/G/TBTN25/RUS168.DOCX", "https://docs.wto.org/imrd/directdoc.asp?DDFDocuments/v/G/TBTN25/RUS168.DOCX")</f>
      </c>
      <c r="R54" s="0" t="s">
        <v>43</v>
      </c>
      <c r="S54" s="0" t="s">
        <v>42</v>
      </c>
      <c r="T54" s="0" t="s">
        <v>42</v>
      </c>
      <c r="U54" s="0" t="s">
        <v>42</v>
      </c>
      <c r="V54" s="0" t="s">
        <v>42</v>
      </c>
      <c r="W54" s="0" t="s">
        <v>42</v>
      </c>
      <c r="X54" s="0" t="s">
        <v>42</v>
      </c>
      <c r="Y54" s="2" t="s">
        <v>339</v>
      </c>
      <c r="Z54" s="0" t="s">
        <v>36</v>
      </c>
      <c r="AA54" s="0" t="s">
        <v>36</v>
      </c>
      <c r="AB54" s="0" t="s">
        <v>36</v>
      </c>
      <c r="AC54" s="0" t="s">
        <v>36</v>
      </c>
      <c r="AD54" s="0" t="s">
        <v>36</v>
      </c>
      <c r="AE54" s="2" t="s">
        <v>36</v>
      </c>
    </row>
    <row r="55">
      <c r="A55" s="6" t="s">
        <v>31</v>
      </c>
      <c r="B55" s="7">
        <v>45699</v>
      </c>
      <c r="C55" s="9">
        <f>HYPERLINK("https://www.epingalert.org/en/Search?viewData= G/SPS/N/RUS/306"," G/SPS/N/RUS/306")</f>
      </c>
      <c r="D55" s="8" t="s">
        <v>340</v>
      </c>
      <c r="E55" s="8" t="s">
        <v>341</v>
      </c>
      <c r="F55" s="8" t="s">
        <v>342</v>
      </c>
      <c r="G55" s="8" t="s">
        <v>343</v>
      </c>
      <c r="H55" s="8" t="s">
        <v>36</v>
      </c>
      <c r="I55" s="8" t="s">
        <v>37</v>
      </c>
      <c r="J55" s="8" t="s">
        <v>150</v>
      </c>
      <c r="K55" s="6" t="s">
        <v>36</v>
      </c>
      <c r="L55" s="7" t="s">
        <v>36</v>
      </c>
      <c r="M55" s="6" t="s">
        <v>40</v>
      </c>
      <c r="N55" s="8" t="s">
        <v>344</v>
      </c>
      <c r="O55" s="6">
        <f>HYPERLINK("https://docs.wto.org/imrd/directdoc.asp?DDFDocuments/t/G/SPS/NRUS306.DOCX", "https://docs.wto.org/imrd/directdoc.asp?DDFDocuments/t/G/SPS/NRUS306.DOCX")</f>
      </c>
      <c r="P55" s="6">
        <f>HYPERLINK("https://docs.wto.org/imrd/directdoc.asp?DDFDocuments/u/G/SPS/NRUS306.DOCX", "https://docs.wto.org/imrd/directdoc.asp?DDFDocuments/u/G/SPS/NRUS306.DOCX")</f>
      </c>
      <c r="Q55" s="6">
        <f>HYPERLINK("https://docs.wto.org/imrd/directdoc.asp?DDFDocuments/v/G/SPS/NRUS306.DOCX", "https://docs.wto.org/imrd/directdoc.asp?DDFDocuments/v/G/SPS/NRUS306.DOCX")</f>
      </c>
      <c r="R55" s="0" t="s">
        <v>36</v>
      </c>
      <c r="S55" s="0" t="s">
        <v>36</v>
      </c>
      <c r="T55" s="0" t="s">
        <v>36</v>
      </c>
      <c r="U55" s="0" t="s">
        <v>36</v>
      </c>
      <c r="V55" s="0" t="s">
        <v>36</v>
      </c>
      <c r="W55" s="0" t="s">
        <v>36</v>
      </c>
      <c r="X55" s="0" t="s">
        <v>36</v>
      </c>
      <c r="Y55" s="2" t="s">
        <v>36</v>
      </c>
      <c r="Z55" s="0" t="s">
        <v>42</v>
      </c>
      <c r="AA55" s="0" t="s">
        <v>43</v>
      </c>
      <c r="AB55" s="0" t="s">
        <v>42</v>
      </c>
      <c r="AC55" s="0" t="s">
        <v>42</v>
      </c>
      <c r="AD55" s="0" t="s">
        <v>43</v>
      </c>
      <c r="AE55" s="2" t="s">
        <v>36</v>
      </c>
    </row>
    <row r="56">
      <c r="A56" s="6" t="s">
        <v>31</v>
      </c>
      <c r="B56" s="7">
        <v>45698</v>
      </c>
      <c r="C56" s="9">
        <f>HYPERLINK("https://www.epingalert.org/en/Search?viewData= G/SPS/N/RUS/305"," G/SPS/N/RUS/305")</f>
      </c>
      <c r="D56" s="8" t="s">
        <v>345</v>
      </c>
      <c r="E56" s="8" t="s">
        <v>346</v>
      </c>
      <c r="F56" s="8" t="s">
        <v>283</v>
      </c>
      <c r="G56" s="8" t="s">
        <v>284</v>
      </c>
      <c r="H56" s="8" t="s">
        <v>36</v>
      </c>
      <c r="I56" s="8" t="s">
        <v>37</v>
      </c>
      <c r="J56" s="8" t="s">
        <v>199</v>
      </c>
      <c r="K56" s="6" t="s">
        <v>136</v>
      </c>
      <c r="L56" s="7" t="s">
        <v>36</v>
      </c>
      <c r="M56" s="6" t="s">
        <v>40</v>
      </c>
      <c r="N56" s="8" t="s">
        <v>347</v>
      </c>
      <c r="O56" s="6">
        <f>HYPERLINK("https://docs.wto.org/imrd/directdoc.asp?DDFDocuments/t/G/SPS/NRUS305.DOCX", "https://docs.wto.org/imrd/directdoc.asp?DDFDocuments/t/G/SPS/NRUS305.DOCX")</f>
      </c>
      <c r="P56" s="6">
        <f>HYPERLINK("https://docs.wto.org/imrd/directdoc.asp?DDFDocuments/u/G/SPS/NRUS305.DOCX", "https://docs.wto.org/imrd/directdoc.asp?DDFDocuments/u/G/SPS/NRUS305.DOCX")</f>
      </c>
      <c r="Q56" s="6">
        <f>HYPERLINK("https://docs.wto.org/imrd/directdoc.asp?DDFDocuments/v/G/SPS/NRUS305.DOCX", "https://docs.wto.org/imrd/directdoc.asp?DDFDocuments/v/G/SPS/NRUS305.DOCX")</f>
      </c>
      <c r="R56" s="0" t="s">
        <v>36</v>
      </c>
      <c r="S56" s="0" t="s">
        <v>36</v>
      </c>
      <c r="T56" s="0" t="s">
        <v>36</v>
      </c>
      <c r="U56" s="0" t="s">
        <v>36</v>
      </c>
      <c r="V56" s="0" t="s">
        <v>36</v>
      </c>
      <c r="W56" s="0" t="s">
        <v>36</v>
      </c>
      <c r="X56" s="0" t="s">
        <v>36</v>
      </c>
      <c r="Y56" s="2" t="s">
        <v>36</v>
      </c>
      <c r="Z56" s="0" t="s">
        <v>42</v>
      </c>
      <c r="AA56" s="0" t="s">
        <v>43</v>
      </c>
      <c r="AB56" s="0" t="s">
        <v>42</v>
      </c>
      <c r="AC56" s="0" t="s">
        <v>42</v>
      </c>
      <c r="AD56" s="0" t="s">
        <v>43</v>
      </c>
      <c r="AE56" s="2" t="s">
        <v>36</v>
      </c>
    </row>
    <row r="57">
      <c r="A57" s="6" t="s">
        <v>31</v>
      </c>
      <c r="B57" s="7">
        <v>45684</v>
      </c>
      <c r="C57" s="9">
        <f>HYPERLINK("https://www.epingalert.org/en/Search?viewData= G/SPS/N/RUS/304"," G/SPS/N/RUS/304")</f>
      </c>
      <c r="D57" s="8" t="s">
        <v>348</v>
      </c>
      <c r="E57" s="8" t="s">
        <v>349</v>
      </c>
      <c r="F57" s="8" t="s">
        <v>82</v>
      </c>
      <c r="G57" s="8" t="s">
        <v>83</v>
      </c>
      <c r="H57" s="8" t="s">
        <v>36</v>
      </c>
      <c r="I57" s="8" t="s">
        <v>37</v>
      </c>
      <c r="J57" s="8" t="s">
        <v>135</v>
      </c>
      <c r="K57" s="6" t="s">
        <v>350</v>
      </c>
      <c r="L57" s="7" t="s">
        <v>36</v>
      </c>
      <c r="M57" s="6" t="s">
        <v>40</v>
      </c>
      <c r="N57" s="8" t="s">
        <v>351</v>
      </c>
      <c r="O57" s="6">
        <f>HYPERLINK("https://docs.wto.org/imrd/directdoc.asp?DDFDocuments/t/G/SPS/NRUS304.DOCX", "https://docs.wto.org/imrd/directdoc.asp?DDFDocuments/t/G/SPS/NRUS304.DOCX")</f>
      </c>
      <c r="P57" s="6">
        <f>HYPERLINK("https://docs.wto.org/imrd/directdoc.asp?DDFDocuments/u/G/SPS/NRUS304.DOCX", "https://docs.wto.org/imrd/directdoc.asp?DDFDocuments/u/G/SPS/NRUS304.DOCX")</f>
      </c>
      <c r="Q57" s="6">
        <f>HYPERLINK("https://docs.wto.org/imrd/directdoc.asp?DDFDocuments/v/G/SPS/NRUS304.DOCX", "https://docs.wto.org/imrd/directdoc.asp?DDFDocuments/v/G/SPS/NRUS304.DOCX")</f>
      </c>
      <c r="R57" s="0" t="s">
        <v>36</v>
      </c>
      <c r="S57" s="0" t="s">
        <v>36</v>
      </c>
      <c r="T57" s="0" t="s">
        <v>36</v>
      </c>
      <c r="U57" s="0" t="s">
        <v>36</v>
      </c>
      <c r="V57" s="0" t="s">
        <v>36</v>
      </c>
      <c r="W57" s="0" t="s">
        <v>36</v>
      </c>
      <c r="X57" s="0" t="s">
        <v>36</v>
      </c>
      <c r="Y57" s="2" t="s">
        <v>36</v>
      </c>
      <c r="Z57" s="0" t="s">
        <v>42</v>
      </c>
      <c r="AA57" s="0" t="s">
        <v>43</v>
      </c>
      <c r="AB57" s="0" t="s">
        <v>42</v>
      </c>
      <c r="AC57" s="0" t="s">
        <v>42</v>
      </c>
      <c r="AD57" s="0" t="s">
        <v>43</v>
      </c>
      <c r="AE57" s="2" t="s">
        <v>36</v>
      </c>
    </row>
    <row r="58">
      <c r="A58" s="6" t="s">
        <v>31</v>
      </c>
      <c r="B58" s="7">
        <v>45684</v>
      </c>
      <c r="C58" s="9">
        <f>HYPERLINK("https://www.epingalert.org/en/Search?viewData= G/SPS/N/RUS/303"," G/SPS/N/RUS/303")</f>
      </c>
      <c r="D58" s="8" t="s">
        <v>175</v>
      </c>
      <c r="E58" s="8" t="s">
        <v>352</v>
      </c>
      <c r="F58" s="8" t="s">
        <v>124</v>
      </c>
      <c r="G58" s="8" t="s">
        <v>125</v>
      </c>
      <c r="H58" s="8" t="s">
        <v>36</v>
      </c>
      <c r="I58" s="8" t="s">
        <v>37</v>
      </c>
      <c r="J58" s="8" t="s">
        <v>126</v>
      </c>
      <c r="K58" s="6" t="s">
        <v>353</v>
      </c>
      <c r="L58" s="7" t="s">
        <v>36</v>
      </c>
      <c r="M58" s="6" t="s">
        <v>40</v>
      </c>
      <c r="N58" s="8" t="s">
        <v>354</v>
      </c>
      <c r="O58" s="6">
        <f>HYPERLINK("https://docs.wto.org/imrd/directdoc.asp?DDFDocuments/t/G/SPS/NRUS303.DOCX", "https://docs.wto.org/imrd/directdoc.asp?DDFDocuments/t/G/SPS/NRUS303.DOCX")</f>
      </c>
      <c r="P58" s="6">
        <f>HYPERLINK("https://docs.wto.org/imrd/directdoc.asp?DDFDocuments/u/G/SPS/NRUS303.DOCX", "https://docs.wto.org/imrd/directdoc.asp?DDFDocuments/u/G/SPS/NRUS303.DOCX")</f>
      </c>
      <c r="Q58" s="6"/>
      <c r="R58" s="0" t="s">
        <v>36</v>
      </c>
      <c r="S58" s="0" t="s">
        <v>36</v>
      </c>
      <c r="T58" s="0" t="s">
        <v>36</v>
      </c>
      <c r="U58" s="0" t="s">
        <v>36</v>
      </c>
      <c r="V58" s="0" t="s">
        <v>36</v>
      </c>
      <c r="W58" s="0" t="s">
        <v>36</v>
      </c>
      <c r="X58" s="0" t="s">
        <v>36</v>
      </c>
      <c r="Y58" s="2" t="s">
        <v>36</v>
      </c>
      <c r="Z58" s="0" t="s">
        <v>42</v>
      </c>
      <c r="AA58" s="0" t="s">
        <v>43</v>
      </c>
      <c r="AB58" s="0" t="s">
        <v>42</v>
      </c>
      <c r="AC58" s="0" t="s">
        <v>42</v>
      </c>
      <c r="AD58" s="0" t="s">
        <v>43</v>
      </c>
      <c r="AE58" s="2" t="s">
        <v>36</v>
      </c>
    </row>
    <row r="59">
      <c r="A59" s="6" t="s">
        <v>31</v>
      </c>
      <c r="B59" s="7">
        <v>45677</v>
      </c>
      <c r="C59" s="9">
        <f>HYPERLINK("https://www.epingalert.org/en/Search?viewData= G/SPS/N/RUS/302"," G/SPS/N/RUS/302")</f>
      </c>
      <c r="D59" s="8" t="s">
        <v>355</v>
      </c>
      <c r="E59" s="8" t="s">
        <v>356</v>
      </c>
      <c r="F59" s="8" t="s">
        <v>357</v>
      </c>
      <c r="G59" s="8" t="s">
        <v>358</v>
      </c>
      <c r="H59" s="8" t="s">
        <v>36</v>
      </c>
      <c r="I59" s="8" t="s">
        <v>37</v>
      </c>
      <c r="J59" s="8" t="s">
        <v>359</v>
      </c>
      <c r="K59" s="6" t="s">
        <v>360</v>
      </c>
      <c r="L59" s="7" t="s">
        <v>36</v>
      </c>
      <c r="M59" s="6" t="s">
        <v>40</v>
      </c>
      <c r="N59" s="8" t="s">
        <v>361</v>
      </c>
      <c r="O59" s="6">
        <f>HYPERLINK("https://docs.wto.org/imrd/directdoc.asp?DDFDocuments/t/G/SPS/NRUS302.DOCX", "https://docs.wto.org/imrd/directdoc.asp?DDFDocuments/t/G/SPS/NRUS302.DOCX")</f>
      </c>
      <c r="P59" s="6">
        <f>HYPERLINK("https://docs.wto.org/imrd/directdoc.asp?DDFDocuments/u/G/SPS/NRUS302.DOCX", "https://docs.wto.org/imrd/directdoc.asp?DDFDocuments/u/G/SPS/NRUS302.DOCX")</f>
      </c>
      <c r="Q59" s="6">
        <f>HYPERLINK("https://docs.wto.org/imrd/directdoc.asp?DDFDocuments/v/G/SPS/NRUS302.DOCX", "https://docs.wto.org/imrd/directdoc.asp?DDFDocuments/v/G/SPS/NRUS302.DOCX")</f>
      </c>
      <c r="R59" s="0" t="s">
        <v>36</v>
      </c>
      <c r="S59" s="0" t="s">
        <v>36</v>
      </c>
      <c r="T59" s="0" t="s">
        <v>36</v>
      </c>
      <c r="U59" s="0" t="s">
        <v>36</v>
      </c>
      <c r="V59" s="0" t="s">
        <v>36</v>
      </c>
      <c r="W59" s="0" t="s">
        <v>36</v>
      </c>
      <c r="X59" s="0" t="s">
        <v>36</v>
      </c>
      <c r="Y59" s="2" t="s">
        <v>36</v>
      </c>
      <c r="Z59" s="0" t="s">
        <v>42</v>
      </c>
      <c r="AA59" s="0" t="s">
        <v>43</v>
      </c>
      <c r="AB59" s="0" t="s">
        <v>42</v>
      </c>
      <c r="AC59" s="0" t="s">
        <v>42</v>
      </c>
      <c r="AD59" s="0" t="s">
        <v>43</v>
      </c>
      <c r="AE59" s="2" t="s">
        <v>36</v>
      </c>
    </row>
    <row r="60">
      <c r="A60" s="6" t="s">
        <v>31</v>
      </c>
      <c r="B60" s="7">
        <v>45677</v>
      </c>
      <c r="C60" s="9">
        <f>HYPERLINK("https://www.epingalert.org/en/Search?viewData= G/SPS/N/RUS/301"," G/SPS/N/RUS/301")</f>
      </c>
      <c r="D60" s="8" t="s">
        <v>362</v>
      </c>
      <c r="E60" s="8" t="s">
        <v>363</v>
      </c>
      <c r="F60" s="8" t="s">
        <v>364</v>
      </c>
      <c r="G60" s="8" t="s">
        <v>365</v>
      </c>
      <c r="H60" s="8" t="s">
        <v>36</v>
      </c>
      <c r="I60" s="8" t="s">
        <v>37</v>
      </c>
      <c r="J60" s="8" t="s">
        <v>366</v>
      </c>
      <c r="K60" s="6" t="s">
        <v>367</v>
      </c>
      <c r="L60" s="7" t="s">
        <v>36</v>
      </c>
      <c r="M60" s="6" t="s">
        <v>40</v>
      </c>
      <c r="N60" s="8" t="s">
        <v>368</v>
      </c>
      <c r="O60" s="6">
        <f>HYPERLINK("https://docs.wto.org/imrd/directdoc.asp?DDFDocuments/t/G/SPS/NRUS301.DOCX", "https://docs.wto.org/imrd/directdoc.asp?DDFDocuments/t/G/SPS/NRUS301.DOCX")</f>
      </c>
      <c r="P60" s="6">
        <f>HYPERLINK("https://docs.wto.org/imrd/directdoc.asp?DDFDocuments/u/G/SPS/NRUS301.DOCX", "https://docs.wto.org/imrd/directdoc.asp?DDFDocuments/u/G/SPS/NRUS301.DOCX")</f>
      </c>
      <c r="Q60" s="6">
        <f>HYPERLINK("https://docs.wto.org/imrd/directdoc.asp?DDFDocuments/v/G/SPS/NRUS301.DOCX", "https://docs.wto.org/imrd/directdoc.asp?DDFDocuments/v/G/SPS/NRUS301.DOCX")</f>
      </c>
      <c r="R60" s="0" t="s">
        <v>36</v>
      </c>
      <c r="S60" s="0" t="s">
        <v>36</v>
      </c>
      <c r="T60" s="0" t="s">
        <v>36</v>
      </c>
      <c r="U60" s="0" t="s">
        <v>36</v>
      </c>
      <c r="V60" s="0" t="s">
        <v>36</v>
      </c>
      <c r="W60" s="0" t="s">
        <v>36</v>
      </c>
      <c r="X60" s="0" t="s">
        <v>36</v>
      </c>
      <c r="Y60" s="2" t="s">
        <v>36</v>
      </c>
      <c r="Z60" s="0" t="s">
        <v>42</v>
      </c>
      <c r="AA60" s="0" t="s">
        <v>43</v>
      </c>
      <c r="AB60" s="0" t="s">
        <v>42</v>
      </c>
      <c r="AC60" s="0" t="s">
        <v>42</v>
      </c>
      <c r="AD60" s="0" t="s">
        <v>43</v>
      </c>
      <c r="AE60" s="2" t="s">
        <v>36</v>
      </c>
    </row>
    <row r="61">
      <c r="A61" s="6" t="s">
        <v>31</v>
      </c>
      <c r="B61" s="7">
        <v>45674</v>
      </c>
      <c r="C61" s="9">
        <f>HYPERLINK("https://www.epingalert.org/en/Search?viewData= G/SPS/N/RUS/300"," G/SPS/N/RUS/300")</f>
      </c>
      <c r="D61" s="8" t="s">
        <v>181</v>
      </c>
      <c r="E61" s="8" t="s">
        <v>369</v>
      </c>
      <c r="F61" s="8" t="s">
        <v>183</v>
      </c>
      <c r="G61" s="8" t="s">
        <v>370</v>
      </c>
      <c r="H61" s="8" t="s">
        <v>36</v>
      </c>
      <c r="I61" s="8" t="s">
        <v>37</v>
      </c>
      <c r="J61" s="8" t="s">
        <v>305</v>
      </c>
      <c r="K61" s="6" t="s">
        <v>371</v>
      </c>
      <c r="L61" s="7" t="s">
        <v>36</v>
      </c>
      <c r="M61" s="6" t="s">
        <v>40</v>
      </c>
      <c r="N61" s="8" t="s">
        <v>372</v>
      </c>
      <c r="O61" s="6">
        <f>HYPERLINK("https://docs.wto.org/imrd/directdoc.asp?DDFDocuments/t/G/SPS/NRUS300.DOCX", "https://docs.wto.org/imrd/directdoc.asp?DDFDocuments/t/G/SPS/NRUS300.DOCX")</f>
      </c>
      <c r="P61" s="6">
        <f>HYPERLINK("https://docs.wto.org/imrd/directdoc.asp?DDFDocuments/u/G/SPS/NRUS300.DOCX", "https://docs.wto.org/imrd/directdoc.asp?DDFDocuments/u/G/SPS/NRUS300.DOCX")</f>
      </c>
      <c r="Q61" s="6">
        <f>HYPERLINK("https://docs.wto.org/imrd/directdoc.asp?DDFDocuments/v/G/SPS/NRUS300.DOCX", "https://docs.wto.org/imrd/directdoc.asp?DDFDocuments/v/G/SPS/NRUS300.DOCX")</f>
      </c>
      <c r="R61" s="0" t="s">
        <v>36</v>
      </c>
      <c r="S61" s="0" t="s">
        <v>36</v>
      </c>
      <c r="T61" s="0" t="s">
        <v>36</v>
      </c>
      <c r="U61" s="0" t="s">
        <v>36</v>
      </c>
      <c r="V61" s="0" t="s">
        <v>36</v>
      </c>
      <c r="W61" s="0" t="s">
        <v>36</v>
      </c>
      <c r="X61" s="0" t="s">
        <v>36</v>
      </c>
      <c r="Y61" s="2" t="s">
        <v>36</v>
      </c>
      <c r="Z61" s="0" t="s">
        <v>42</v>
      </c>
      <c r="AA61" s="0" t="s">
        <v>43</v>
      </c>
      <c r="AB61" s="0" t="s">
        <v>42</v>
      </c>
      <c r="AC61" s="0" t="s">
        <v>42</v>
      </c>
      <c r="AD61" s="0" t="s">
        <v>43</v>
      </c>
      <c r="AE61" s="2" t="s">
        <v>36</v>
      </c>
    </row>
    <row r="62">
      <c r="A62" s="6" t="s">
        <v>31</v>
      </c>
      <c r="B62" s="7">
        <v>45628</v>
      </c>
      <c r="C62" s="9">
        <f>HYPERLINK("https://www.epingalert.org/en/Search?viewData= G/SPS/N/RUS/188/Add.4"," G/SPS/N/RUS/188/Add.4")</f>
      </c>
      <c r="D62" s="8" t="s">
        <v>373</v>
      </c>
      <c r="E62" s="8" t="s">
        <v>374</v>
      </c>
      <c r="F62" s="8" t="s">
        <v>330</v>
      </c>
      <c r="G62" s="8" t="s">
        <v>331</v>
      </c>
      <c r="H62" s="8" t="s">
        <v>36</v>
      </c>
      <c r="I62" s="8" t="s">
        <v>332</v>
      </c>
      <c r="J62" s="8" t="s">
        <v>375</v>
      </c>
      <c r="K62" s="6"/>
      <c r="L62" s="7" t="s">
        <v>36</v>
      </c>
      <c r="M62" s="6" t="s">
        <v>179</v>
      </c>
      <c r="N62" s="8" t="s">
        <v>376</v>
      </c>
      <c r="O62" s="6">
        <f>HYPERLINK("https://docs.wto.org/imrd/directdoc.asp?DDFDocuments/t/G/SPS/NRUS188A4.DOCX", "https://docs.wto.org/imrd/directdoc.asp?DDFDocuments/t/G/SPS/NRUS188A4.DOCX")</f>
      </c>
      <c r="P62" s="6">
        <f>HYPERLINK("https://docs.wto.org/imrd/directdoc.asp?DDFDocuments/u/G/SPS/NRUS188A4.DOCX", "https://docs.wto.org/imrd/directdoc.asp?DDFDocuments/u/G/SPS/NRUS188A4.DOCX")</f>
      </c>
      <c r="Q62" s="6">
        <f>HYPERLINK("https://docs.wto.org/imrd/directdoc.asp?DDFDocuments/v/G/SPS/NRUS188A4.DOCX", "https://docs.wto.org/imrd/directdoc.asp?DDFDocuments/v/G/SPS/NRUS188A4.DOCX")</f>
      </c>
      <c r="R62" s="0" t="s">
        <v>36</v>
      </c>
      <c r="S62" s="0" t="s">
        <v>36</v>
      </c>
      <c r="T62" s="0" t="s">
        <v>36</v>
      </c>
      <c r="U62" s="0" t="s">
        <v>36</v>
      </c>
      <c r="V62" s="0" t="s">
        <v>36</v>
      </c>
      <c r="W62" s="0" t="s">
        <v>36</v>
      </c>
      <c r="X62" s="0" t="s">
        <v>36</v>
      </c>
      <c r="Y62" s="2" t="s">
        <v>36</v>
      </c>
      <c r="Z62" s="0" t="s">
        <v>36</v>
      </c>
      <c r="AA62" s="0" t="s">
        <v>36</v>
      </c>
      <c r="AB62" s="0" t="s">
        <v>36</v>
      </c>
      <c r="AC62" s="0" t="s">
        <v>36</v>
      </c>
      <c r="AD62" s="0" t="s">
        <v>36</v>
      </c>
      <c r="AE62" s="2" t="s">
        <v>36</v>
      </c>
    </row>
    <row r="63">
      <c r="A63" s="6" t="s">
        <v>31</v>
      </c>
      <c r="B63" s="7">
        <v>45603</v>
      </c>
      <c r="C63" s="9">
        <f>HYPERLINK("https://www.epingalert.org/en/Search?viewData= G/SPS/N/RUS/225/Add.1"," G/SPS/N/RUS/225/Add.1")</f>
      </c>
      <c r="D63" s="8" t="s">
        <v>377</v>
      </c>
      <c r="E63" s="8" t="s">
        <v>378</v>
      </c>
      <c r="F63" s="8" t="s">
        <v>324</v>
      </c>
      <c r="G63" s="8" t="s">
        <v>379</v>
      </c>
      <c r="H63" s="8" t="s">
        <v>36</v>
      </c>
      <c r="I63" s="8" t="s">
        <v>37</v>
      </c>
      <c r="J63" s="8" t="s">
        <v>380</v>
      </c>
      <c r="K63" s="6"/>
      <c r="L63" s="7" t="s">
        <v>36</v>
      </c>
      <c r="M63" s="6" t="s">
        <v>179</v>
      </c>
      <c r="N63" s="8" t="s">
        <v>381</v>
      </c>
      <c r="O63" s="6">
        <f>HYPERLINK("https://docs.wto.org/imrd/directdoc.asp?DDFDocuments/t/G/SPS/NRUS225A1.DOCX", "https://docs.wto.org/imrd/directdoc.asp?DDFDocuments/t/G/SPS/NRUS225A1.DOCX")</f>
      </c>
      <c r="P63" s="6">
        <f>HYPERLINK("https://docs.wto.org/imrd/directdoc.asp?DDFDocuments/u/G/SPS/NRUS225A1.DOCX", "https://docs.wto.org/imrd/directdoc.asp?DDFDocuments/u/G/SPS/NRUS225A1.DOCX")</f>
      </c>
      <c r="Q63" s="6">
        <f>HYPERLINK("https://docs.wto.org/imrd/directdoc.asp?DDFDocuments/v/G/SPS/NRUS225A1.DOCX", "https://docs.wto.org/imrd/directdoc.asp?DDFDocuments/v/G/SPS/NRUS225A1.DOCX")</f>
      </c>
      <c r="R63" s="0" t="s">
        <v>36</v>
      </c>
      <c r="S63" s="0" t="s">
        <v>36</v>
      </c>
      <c r="T63" s="0" t="s">
        <v>36</v>
      </c>
      <c r="U63" s="0" t="s">
        <v>36</v>
      </c>
      <c r="V63" s="0" t="s">
        <v>36</v>
      </c>
      <c r="W63" s="0" t="s">
        <v>36</v>
      </c>
      <c r="X63" s="0" t="s">
        <v>36</v>
      </c>
      <c r="Y63" s="2" t="s">
        <v>36</v>
      </c>
      <c r="Z63" s="0" t="s">
        <v>36</v>
      </c>
      <c r="AA63" s="0" t="s">
        <v>36</v>
      </c>
      <c r="AB63" s="0" t="s">
        <v>36</v>
      </c>
      <c r="AC63" s="0" t="s">
        <v>36</v>
      </c>
      <c r="AD63" s="0" t="s">
        <v>36</v>
      </c>
      <c r="AE63" s="2" t="s">
        <v>36</v>
      </c>
    </row>
    <row r="64">
      <c r="A64" s="6" t="s">
        <v>31</v>
      </c>
      <c r="B64" s="7">
        <v>45602</v>
      </c>
      <c r="C64" s="9">
        <f>HYPERLINK("https://www.epingalert.org/en/Search?viewData= G/SPS/N/RUS/299"," G/SPS/N/RUS/299")</f>
      </c>
      <c r="D64" s="8" t="s">
        <v>382</v>
      </c>
      <c r="E64" s="8" t="s">
        <v>383</v>
      </c>
      <c r="F64" s="8" t="s">
        <v>82</v>
      </c>
      <c r="G64" s="8" t="s">
        <v>83</v>
      </c>
      <c r="H64" s="8" t="s">
        <v>36</v>
      </c>
      <c r="I64" s="8" t="s">
        <v>37</v>
      </c>
      <c r="J64" s="8" t="s">
        <v>84</v>
      </c>
      <c r="K64" s="6" t="s">
        <v>384</v>
      </c>
      <c r="L64" s="7" t="s">
        <v>36</v>
      </c>
      <c r="M64" s="6" t="s">
        <v>40</v>
      </c>
      <c r="N64" s="8" t="s">
        <v>385</v>
      </c>
      <c r="O64" s="6">
        <f>HYPERLINK("https://docs.wto.org/imrd/directdoc.asp?DDFDocuments/t/G/SPS/NRUS299.DOCX", "https://docs.wto.org/imrd/directdoc.asp?DDFDocuments/t/G/SPS/NRUS299.DOCX")</f>
      </c>
      <c r="P64" s="6">
        <f>HYPERLINK("https://docs.wto.org/imrd/directdoc.asp?DDFDocuments/u/G/SPS/NRUS299.DOCX", "https://docs.wto.org/imrd/directdoc.asp?DDFDocuments/u/G/SPS/NRUS299.DOCX")</f>
      </c>
      <c r="Q64" s="6">
        <f>HYPERLINK("https://docs.wto.org/imrd/directdoc.asp?DDFDocuments/v/G/SPS/NRUS299.DOCX", "https://docs.wto.org/imrd/directdoc.asp?DDFDocuments/v/G/SPS/NRUS299.DOCX")</f>
      </c>
      <c r="R64" s="0" t="s">
        <v>36</v>
      </c>
      <c r="S64" s="0" t="s">
        <v>36</v>
      </c>
      <c r="T64" s="0" t="s">
        <v>36</v>
      </c>
      <c r="U64" s="0" t="s">
        <v>36</v>
      </c>
      <c r="V64" s="0" t="s">
        <v>36</v>
      </c>
      <c r="W64" s="0" t="s">
        <v>36</v>
      </c>
      <c r="X64" s="0" t="s">
        <v>36</v>
      </c>
      <c r="Y64" s="2" t="s">
        <v>36</v>
      </c>
      <c r="Z64" s="0" t="s">
        <v>42</v>
      </c>
      <c r="AA64" s="0" t="s">
        <v>43</v>
      </c>
      <c r="AB64" s="0" t="s">
        <v>42</v>
      </c>
      <c r="AC64" s="0" t="s">
        <v>42</v>
      </c>
      <c r="AD64" s="0" t="s">
        <v>43</v>
      </c>
      <c r="AE64" s="2" t="s">
        <v>36</v>
      </c>
    </row>
    <row r="65">
      <c r="A65" s="6" t="s">
        <v>31</v>
      </c>
      <c r="B65" s="7">
        <v>45601</v>
      </c>
      <c r="C65" s="9">
        <f>HYPERLINK("https://www.epingalert.org/en/Search?viewData= G/SPS/N/RUS/298"," G/SPS/N/RUS/298")</f>
      </c>
      <c r="D65" s="8" t="s">
        <v>386</v>
      </c>
      <c r="E65" s="8" t="s">
        <v>387</v>
      </c>
      <c r="F65" s="8" t="s">
        <v>155</v>
      </c>
      <c r="G65" s="8" t="s">
        <v>156</v>
      </c>
      <c r="H65" s="8" t="s">
        <v>36</v>
      </c>
      <c r="I65" s="8" t="s">
        <v>37</v>
      </c>
      <c r="J65" s="8" t="s">
        <v>38</v>
      </c>
      <c r="K65" s="6" t="s">
        <v>388</v>
      </c>
      <c r="L65" s="7" t="s">
        <v>36</v>
      </c>
      <c r="M65" s="6" t="s">
        <v>40</v>
      </c>
      <c r="N65" s="8" t="s">
        <v>389</v>
      </c>
      <c r="O65" s="6">
        <f>HYPERLINK("https://docs.wto.org/imrd/directdoc.asp?DDFDocuments/t/G/SPS/NRUS298.DOCX", "https://docs.wto.org/imrd/directdoc.asp?DDFDocuments/t/G/SPS/NRUS298.DOCX")</f>
      </c>
      <c r="P65" s="6">
        <f>HYPERLINK("https://docs.wto.org/imrd/directdoc.asp?DDFDocuments/u/G/SPS/NRUS298.DOCX", "https://docs.wto.org/imrd/directdoc.asp?DDFDocuments/u/G/SPS/NRUS298.DOCX")</f>
      </c>
      <c r="Q65" s="6">
        <f>HYPERLINK("https://docs.wto.org/imrd/directdoc.asp?DDFDocuments/v/G/SPS/NRUS298.DOCX", "https://docs.wto.org/imrd/directdoc.asp?DDFDocuments/v/G/SPS/NRUS298.DOCX")</f>
      </c>
      <c r="R65" s="0" t="s">
        <v>36</v>
      </c>
      <c r="S65" s="0" t="s">
        <v>36</v>
      </c>
      <c r="T65" s="0" t="s">
        <v>36</v>
      </c>
      <c r="U65" s="0" t="s">
        <v>36</v>
      </c>
      <c r="V65" s="0" t="s">
        <v>36</v>
      </c>
      <c r="W65" s="0" t="s">
        <v>36</v>
      </c>
      <c r="X65" s="0" t="s">
        <v>36</v>
      </c>
      <c r="Y65" s="2" t="s">
        <v>36</v>
      </c>
      <c r="Z65" s="0" t="s">
        <v>42</v>
      </c>
      <c r="AA65" s="0" t="s">
        <v>43</v>
      </c>
      <c r="AB65" s="0" t="s">
        <v>42</v>
      </c>
      <c r="AC65" s="0" t="s">
        <v>42</v>
      </c>
      <c r="AD65" s="0" t="s">
        <v>43</v>
      </c>
      <c r="AE65" s="2" t="s">
        <v>36</v>
      </c>
    </row>
    <row r="66">
      <c r="A66" s="6" t="s">
        <v>31</v>
      </c>
      <c r="B66" s="7">
        <v>45582</v>
      </c>
      <c r="C66" s="9">
        <f>HYPERLINK("https://www.epingalert.org/en/Search?viewData= G/SPS/N/RUS/297"," G/SPS/N/RUS/297")</f>
      </c>
      <c r="D66" s="8" t="s">
        <v>390</v>
      </c>
      <c r="E66" s="8" t="s">
        <v>391</v>
      </c>
      <c r="F66" s="8" t="s">
        <v>110</v>
      </c>
      <c r="G66" s="8" t="s">
        <v>111</v>
      </c>
      <c r="H66" s="8" t="s">
        <v>36</v>
      </c>
      <c r="I66" s="8" t="s">
        <v>37</v>
      </c>
      <c r="J66" s="8" t="s">
        <v>38</v>
      </c>
      <c r="K66" s="6" t="s">
        <v>392</v>
      </c>
      <c r="L66" s="7" t="s">
        <v>36</v>
      </c>
      <c r="M66" s="6" t="s">
        <v>40</v>
      </c>
      <c r="N66" s="8" t="s">
        <v>393</v>
      </c>
      <c r="O66" s="6">
        <f>HYPERLINK("https://docs.wto.org/imrd/directdoc.asp?DDFDocuments/t/G/SPS/NRUS297.DOCX", "https://docs.wto.org/imrd/directdoc.asp?DDFDocuments/t/G/SPS/NRUS297.DOCX")</f>
      </c>
      <c r="P66" s="6">
        <f>HYPERLINK("https://docs.wto.org/imrd/directdoc.asp?DDFDocuments/u/G/SPS/NRUS297.DOCX", "https://docs.wto.org/imrd/directdoc.asp?DDFDocuments/u/G/SPS/NRUS297.DOCX")</f>
      </c>
      <c r="Q66" s="6">
        <f>HYPERLINK("https://docs.wto.org/imrd/directdoc.asp?DDFDocuments/v/G/SPS/NRUS297.DOCX", "https://docs.wto.org/imrd/directdoc.asp?DDFDocuments/v/G/SPS/NRUS297.DOCX")</f>
      </c>
      <c r="R66" s="0" t="s">
        <v>36</v>
      </c>
      <c r="S66" s="0" t="s">
        <v>36</v>
      </c>
      <c r="T66" s="0" t="s">
        <v>36</v>
      </c>
      <c r="U66" s="0" t="s">
        <v>36</v>
      </c>
      <c r="V66" s="0" t="s">
        <v>36</v>
      </c>
      <c r="W66" s="0" t="s">
        <v>36</v>
      </c>
      <c r="X66" s="0" t="s">
        <v>36</v>
      </c>
      <c r="Y66" s="2" t="s">
        <v>36</v>
      </c>
      <c r="Z66" s="0" t="s">
        <v>42</v>
      </c>
      <c r="AA66" s="0" t="s">
        <v>43</v>
      </c>
      <c r="AB66" s="0" t="s">
        <v>42</v>
      </c>
      <c r="AC66" s="0" t="s">
        <v>42</v>
      </c>
      <c r="AD66" s="0" t="s">
        <v>43</v>
      </c>
      <c r="AE66" s="2" t="s">
        <v>36</v>
      </c>
    </row>
    <row r="67">
      <c r="A67" s="6" t="s">
        <v>31</v>
      </c>
      <c r="B67" s="7">
        <v>45580</v>
      </c>
      <c r="C67" s="9">
        <f>HYPERLINK("https://www.epingalert.org/en/Search?viewData= G/TBT/N/RUS/167"," G/TBT/N/RUS/167")</f>
      </c>
      <c r="D67" s="8" t="s">
        <v>394</v>
      </c>
      <c r="E67" s="8" t="s">
        <v>395</v>
      </c>
      <c r="F67" s="8" t="s">
        <v>396</v>
      </c>
      <c r="G67" s="8" t="s">
        <v>36</v>
      </c>
      <c r="H67" s="8" t="s">
        <v>397</v>
      </c>
      <c r="I67" s="8" t="s">
        <v>164</v>
      </c>
      <c r="J67" s="8" t="s">
        <v>58</v>
      </c>
      <c r="K67" s="6"/>
      <c r="L67" s="7">
        <v>45640</v>
      </c>
      <c r="M67" s="6" t="s">
        <v>51</v>
      </c>
      <c r="N67" s="8" t="s">
        <v>398</v>
      </c>
      <c r="O67" s="6">
        <f>HYPERLINK("https://docs.wto.org/imrd/directdoc.asp?DDFDocuments/t/G/TBTN24/RUS167.DOCX", "https://docs.wto.org/imrd/directdoc.asp?DDFDocuments/t/G/TBTN24/RUS167.DOCX")</f>
      </c>
      <c r="P67" s="6">
        <f>HYPERLINK("https://docs.wto.org/imrd/directdoc.asp?DDFDocuments/u/G/TBTN24/RUS167.DOCX", "https://docs.wto.org/imrd/directdoc.asp?DDFDocuments/u/G/TBTN24/RUS167.DOCX")</f>
      </c>
      <c r="Q67" s="6">
        <f>HYPERLINK("https://docs.wto.org/imrd/directdoc.asp?DDFDocuments/v/G/TBTN24/RUS167.DOCX", "https://docs.wto.org/imrd/directdoc.asp?DDFDocuments/v/G/TBTN24/RUS167.DOCX")</f>
      </c>
      <c r="R67" s="0" t="s">
        <v>43</v>
      </c>
      <c r="S67" s="0" t="s">
        <v>42</v>
      </c>
      <c r="T67" s="0" t="s">
        <v>42</v>
      </c>
      <c r="U67" s="0" t="s">
        <v>42</v>
      </c>
      <c r="V67" s="0" t="s">
        <v>42</v>
      </c>
      <c r="W67" s="0" t="s">
        <v>42</v>
      </c>
      <c r="X67" s="0" t="s">
        <v>42</v>
      </c>
      <c r="Y67" s="2" t="s">
        <v>399</v>
      </c>
      <c r="Z67" s="0" t="s">
        <v>36</v>
      </c>
      <c r="AA67" s="0" t="s">
        <v>36</v>
      </c>
      <c r="AB67" s="0" t="s">
        <v>36</v>
      </c>
      <c r="AC67" s="0" t="s">
        <v>36</v>
      </c>
      <c r="AD67" s="0" t="s">
        <v>36</v>
      </c>
      <c r="AE67" s="2" t="s">
        <v>36</v>
      </c>
    </row>
    <row r="68">
      <c r="A68" s="6" t="s">
        <v>31</v>
      </c>
      <c r="B68" s="7">
        <v>45580</v>
      </c>
      <c r="C68" s="9">
        <f>HYPERLINK("https://www.epingalert.org/en/Search?viewData= G/SPS/N/RUS/296"," G/SPS/N/RUS/296")</f>
      </c>
      <c r="D68" s="8" t="s">
        <v>400</v>
      </c>
      <c r="E68" s="8" t="s">
        <v>401</v>
      </c>
      <c r="F68" s="8" t="s">
        <v>402</v>
      </c>
      <c r="G68" s="8" t="s">
        <v>83</v>
      </c>
      <c r="H68" s="8" t="s">
        <v>36</v>
      </c>
      <c r="I68" s="8" t="s">
        <v>37</v>
      </c>
      <c r="J68" s="8" t="s">
        <v>403</v>
      </c>
      <c r="K68" s="6" t="s">
        <v>404</v>
      </c>
      <c r="L68" s="7" t="s">
        <v>36</v>
      </c>
      <c r="M68" s="6" t="s">
        <v>40</v>
      </c>
      <c r="N68" s="8" t="s">
        <v>405</v>
      </c>
      <c r="O68" s="6">
        <f>HYPERLINK("https://docs.wto.org/imrd/directdoc.asp?DDFDocuments/t/G/SPS/NRUS296.DOCX", "https://docs.wto.org/imrd/directdoc.asp?DDFDocuments/t/G/SPS/NRUS296.DOCX")</f>
      </c>
      <c r="P68" s="6">
        <f>HYPERLINK("https://docs.wto.org/imrd/directdoc.asp?DDFDocuments/u/G/SPS/NRUS296.DOCX", "https://docs.wto.org/imrd/directdoc.asp?DDFDocuments/u/G/SPS/NRUS296.DOCX")</f>
      </c>
      <c r="Q68" s="6">
        <f>HYPERLINK("https://docs.wto.org/imrd/directdoc.asp?DDFDocuments/v/G/SPS/NRUS296.DOCX", "https://docs.wto.org/imrd/directdoc.asp?DDFDocuments/v/G/SPS/NRUS296.DOCX")</f>
      </c>
      <c r="R68" s="0" t="s">
        <v>36</v>
      </c>
      <c r="S68" s="0" t="s">
        <v>36</v>
      </c>
      <c r="T68" s="0" t="s">
        <v>36</v>
      </c>
      <c r="U68" s="0" t="s">
        <v>36</v>
      </c>
      <c r="V68" s="0" t="s">
        <v>36</v>
      </c>
      <c r="W68" s="0" t="s">
        <v>36</v>
      </c>
      <c r="X68" s="0" t="s">
        <v>36</v>
      </c>
      <c r="Y68" s="2" t="s">
        <v>36</v>
      </c>
      <c r="Z68" s="0" t="s">
        <v>42</v>
      </c>
      <c r="AA68" s="0" t="s">
        <v>43</v>
      </c>
      <c r="AB68" s="0" t="s">
        <v>42</v>
      </c>
      <c r="AC68" s="0" t="s">
        <v>42</v>
      </c>
      <c r="AD68" s="0" t="s">
        <v>43</v>
      </c>
      <c r="AE68" s="2" t="s">
        <v>36</v>
      </c>
    </row>
    <row r="69">
      <c r="A69" s="6" t="s">
        <v>31</v>
      </c>
      <c r="B69" s="7">
        <v>45579</v>
      </c>
      <c r="C69" s="9">
        <f>HYPERLINK("https://www.epingalert.org/en/Search?viewData= G/SPS/N/RUS/295"," G/SPS/N/RUS/295")</f>
      </c>
      <c r="D69" s="8" t="s">
        <v>406</v>
      </c>
      <c r="E69" s="8" t="s">
        <v>407</v>
      </c>
      <c r="F69" s="8" t="s">
        <v>408</v>
      </c>
      <c r="G69" s="8" t="s">
        <v>36</v>
      </c>
      <c r="H69" s="8" t="s">
        <v>36</v>
      </c>
      <c r="I69" s="8" t="s">
        <v>65</v>
      </c>
      <c r="J69" s="8" t="s">
        <v>409</v>
      </c>
      <c r="K69" s="6" t="s">
        <v>36</v>
      </c>
      <c r="L69" s="7">
        <v>45628</v>
      </c>
      <c r="M69" s="6" t="s">
        <v>51</v>
      </c>
      <c r="N69" s="8" t="s">
        <v>410</v>
      </c>
      <c r="O69" s="6">
        <f>HYPERLINK("https://docs.wto.org/imrd/directdoc.asp?DDFDocuments/t/G/SPS/NRUS295.DOCX", "https://docs.wto.org/imrd/directdoc.asp?DDFDocuments/t/G/SPS/NRUS295.DOCX")</f>
      </c>
      <c r="P69" s="6">
        <f>HYPERLINK("https://docs.wto.org/imrd/directdoc.asp?DDFDocuments/u/G/SPS/NRUS295.DOCX", "https://docs.wto.org/imrd/directdoc.asp?DDFDocuments/u/G/SPS/NRUS295.DOCX")</f>
      </c>
      <c r="Q69" s="6">
        <f>HYPERLINK("https://docs.wto.org/imrd/directdoc.asp?DDFDocuments/v/G/SPS/NRUS295.DOCX", "https://docs.wto.org/imrd/directdoc.asp?DDFDocuments/v/G/SPS/NRUS295.DOCX")</f>
      </c>
      <c r="R69" s="0" t="s">
        <v>36</v>
      </c>
      <c r="S69" s="0" t="s">
        <v>36</v>
      </c>
      <c r="T69" s="0" t="s">
        <v>36</v>
      </c>
      <c r="U69" s="0" t="s">
        <v>36</v>
      </c>
      <c r="V69" s="0" t="s">
        <v>36</v>
      </c>
      <c r="W69" s="0" t="s">
        <v>36</v>
      </c>
      <c r="X69" s="0" t="s">
        <v>36</v>
      </c>
      <c r="Y69" s="2" t="s">
        <v>36</v>
      </c>
      <c r="Z69" s="0" t="s">
        <v>42</v>
      </c>
      <c r="AA69" s="0" t="s">
        <v>42</v>
      </c>
      <c r="AB69" s="0" t="s">
        <v>43</v>
      </c>
      <c r="AC69" s="0" t="s">
        <v>42</v>
      </c>
      <c r="AD69" s="0" t="s">
        <v>43</v>
      </c>
      <c r="AE69" s="2" t="s">
        <v>36</v>
      </c>
    </row>
    <row r="70">
      <c r="A70" s="6" t="s">
        <v>31</v>
      </c>
      <c r="B70" s="7">
        <v>45569</v>
      </c>
      <c r="C70" s="9">
        <f>HYPERLINK("https://www.epingalert.org/en/Search?viewData= G/TBT/N/RUS/166"," G/TBT/N/RUS/166")</f>
      </c>
      <c r="D70" s="8" t="s">
        <v>411</v>
      </c>
      <c r="E70" s="8" t="s">
        <v>412</v>
      </c>
      <c r="F70" s="8" t="s">
        <v>413</v>
      </c>
      <c r="G70" s="8" t="s">
        <v>36</v>
      </c>
      <c r="H70" s="8" t="s">
        <v>414</v>
      </c>
      <c r="I70" s="8" t="s">
        <v>164</v>
      </c>
      <c r="J70" s="8" t="s">
        <v>58</v>
      </c>
      <c r="K70" s="6"/>
      <c r="L70" s="7">
        <v>45629</v>
      </c>
      <c r="M70" s="6" t="s">
        <v>51</v>
      </c>
      <c r="N70" s="6"/>
      <c r="O70" s="6">
        <f>HYPERLINK("https://docs.wto.org/imrd/directdoc.asp?DDFDocuments/t/G/TBTN24/RUS166.DOCX", "https://docs.wto.org/imrd/directdoc.asp?DDFDocuments/t/G/TBTN24/RUS166.DOCX")</f>
      </c>
      <c r="P70" s="6">
        <f>HYPERLINK("https://docs.wto.org/imrd/directdoc.asp?DDFDocuments/u/G/TBTN24/RUS166.DOCX", "https://docs.wto.org/imrd/directdoc.asp?DDFDocuments/u/G/TBTN24/RUS166.DOCX")</f>
      </c>
      <c r="Q70" s="6">
        <f>HYPERLINK("https://docs.wto.org/imrd/directdoc.asp?DDFDocuments/v/G/TBTN24/RUS166.DOCX", "https://docs.wto.org/imrd/directdoc.asp?DDFDocuments/v/G/TBTN24/RUS166.DOCX")</f>
      </c>
      <c r="R70" s="0" t="s">
        <v>43</v>
      </c>
      <c r="S70" s="0" t="s">
        <v>42</v>
      </c>
      <c r="T70" s="0" t="s">
        <v>42</v>
      </c>
      <c r="U70" s="0" t="s">
        <v>42</v>
      </c>
      <c r="V70" s="0" t="s">
        <v>42</v>
      </c>
      <c r="W70" s="0" t="s">
        <v>42</v>
      </c>
      <c r="X70" s="0" t="s">
        <v>42</v>
      </c>
      <c r="Y70" s="2" t="s">
        <v>415</v>
      </c>
      <c r="Z70" s="0" t="s">
        <v>36</v>
      </c>
      <c r="AA70" s="0" t="s">
        <v>36</v>
      </c>
      <c r="AB70" s="0" t="s">
        <v>36</v>
      </c>
      <c r="AC70" s="0" t="s">
        <v>36</v>
      </c>
      <c r="AD70" s="0" t="s">
        <v>36</v>
      </c>
      <c r="AE70" s="2" t="s">
        <v>36</v>
      </c>
    </row>
    <row r="71">
      <c r="A71" s="6" t="s">
        <v>31</v>
      </c>
      <c r="B71" s="7">
        <v>45560</v>
      </c>
      <c r="C71" s="9">
        <f>HYPERLINK("https://www.epingalert.org/en/Search?viewData= G/SPS/N/RUS/294"," G/SPS/N/RUS/294")</f>
      </c>
      <c r="D71" s="8" t="s">
        <v>416</v>
      </c>
      <c r="E71" s="8" t="s">
        <v>417</v>
      </c>
      <c r="F71" s="8" t="s">
        <v>364</v>
      </c>
      <c r="G71" s="8" t="s">
        <v>365</v>
      </c>
      <c r="H71" s="8" t="s">
        <v>36</v>
      </c>
      <c r="I71" s="8" t="s">
        <v>37</v>
      </c>
      <c r="J71" s="8" t="s">
        <v>112</v>
      </c>
      <c r="K71" s="6" t="s">
        <v>418</v>
      </c>
      <c r="L71" s="7" t="s">
        <v>36</v>
      </c>
      <c r="M71" s="6" t="s">
        <v>40</v>
      </c>
      <c r="N71" s="8" t="s">
        <v>419</v>
      </c>
      <c r="O71" s="6">
        <f>HYPERLINK("https://docs.wto.org/imrd/directdoc.asp?DDFDocuments/t/G/SPS/NRUS294.DOCX", "https://docs.wto.org/imrd/directdoc.asp?DDFDocuments/t/G/SPS/NRUS294.DOCX")</f>
      </c>
      <c r="P71" s="6">
        <f>HYPERLINK("https://docs.wto.org/imrd/directdoc.asp?DDFDocuments/u/G/SPS/NRUS294.DOCX", "https://docs.wto.org/imrd/directdoc.asp?DDFDocuments/u/G/SPS/NRUS294.DOCX")</f>
      </c>
      <c r="Q71" s="6">
        <f>HYPERLINK("https://docs.wto.org/imrd/directdoc.asp?DDFDocuments/v/G/SPS/NRUS294.DOCX", "https://docs.wto.org/imrd/directdoc.asp?DDFDocuments/v/G/SPS/NRUS294.DOCX")</f>
      </c>
      <c r="R71" s="0" t="s">
        <v>36</v>
      </c>
      <c r="S71" s="0" t="s">
        <v>36</v>
      </c>
      <c r="T71" s="0" t="s">
        <v>36</v>
      </c>
      <c r="U71" s="0" t="s">
        <v>36</v>
      </c>
      <c r="V71" s="0" t="s">
        <v>36</v>
      </c>
      <c r="W71" s="0" t="s">
        <v>36</v>
      </c>
      <c r="X71" s="0" t="s">
        <v>36</v>
      </c>
      <c r="Y71" s="2" t="s">
        <v>36</v>
      </c>
      <c r="Z71" s="0" t="s">
        <v>42</v>
      </c>
      <c r="AA71" s="0" t="s">
        <v>43</v>
      </c>
      <c r="AB71" s="0" t="s">
        <v>42</v>
      </c>
      <c r="AC71" s="0" t="s">
        <v>42</v>
      </c>
      <c r="AD71" s="0" t="s">
        <v>43</v>
      </c>
      <c r="AE71" s="2" t="s">
        <v>36</v>
      </c>
    </row>
    <row r="72">
      <c r="A72" s="6" t="s">
        <v>31</v>
      </c>
      <c r="B72" s="7">
        <v>45559</v>
      </c>
      <c r="C72" s="9">
        <f>HYPERLINK("https://www.epingalert.org/en/Search?viewData= G/SPS/N/RUS/292"," G/SPS/N/RUS/292")</f>
      </c>
      <c r="D72" s="8" t="s">
        <v>420</v>
      </c>
      <c r="E72" s="8" t="s">
        <v>421</v>
      </c>
      <c r="F72" s="8" t="s">
        <v>402</v>
      </c>
      <c r="G72" s="8" t="s">
        <v>83</v>
      </c>
      <c r="H72" s="8" t="s">
        <v>36</v>
      </c>
      <c r="I72" s="8" t="s">
        <v>37</v>
      </c>
      <c r="J72" s="8" t="s">
        <v>135</v>
      </c>
      <c r="K72" s="6" t="s">
        <v>388</v>
      </c>
      <c r="L72" s="7" t="s">
        <v>36</v>
      </c>
      <c r="M72" s="6" t="s">
        <v>40</v>
      </c>
      <c r="N72" s="8" t="s">
        <v>422</v>
      </c>
      <c r="O72" s="6">
        <f>HYPERLINK("https://docs.wto.org/imrd/directdoc.asp?DDFDocuments/t/G/SPS/NRUS292.DOCX", "https://docs.wto.org/imrd/directdoc.asp?DDFDocuments/t/G/SPS/NRUS292.DOCX")</f>
      </c>
      <c r="P72" s="6">
        <f>HYPERLINK("https://docs.wto.org/imrd/directdoc.asp?DDFDocuments/u/G/SPS/NRUS292.DOCX", "https://docs.wto.org/imrd/directdoc.asp?DDFDocuments/u/G/SPS/NRUS292.DOCX")</f>
      </c>
      <c r="Q72" s="6">
        <f>HYPERLINK("https://docs.wto.org/imrd/directdoc.asp?DDFDocuments/v/G/SPS/NRUS292.DOCX", "https://docs.wto.org/imrd/directdoc.asp?DDFDocuments/v/G/SPS/NRUS292.DOCX")</f>
      </c>
      <c r="R72" s="0" t="s">
        <v>36</v>
      </c>
      <c r="S72" s="0" t="s">
        <v>36</v>
      </c>
      <c r="T72" s="0" t="s">
        <v>36</v>
      </c>
      <c r="U72" s="0" t="s">
        <v>36</v>
      </c>
      <c r="V72" s="0" t="s">
        <v>36</v>
      </c>
      <c r="W72" s="0" t="s">
        <v>36</v>
      </c>
      <c r="X72" s="0" t="s">
        <v>36</v>
      </c>
      <c r="Y72" s="2" t="s">
        <v>36</v>
      </c>
      <c r="Z72" s="0" t="s">
        <v>42</v>
      </c>
      <c r="AA72" s="0" t="s">
        <v>43</v>
      </c>
      <c r="AB72" s="0" t="s">
        <v>42</v>
      </c>
      <c r="AC72" s="0" t="s">
        <v>42</v>
      </c>
      <c r="AD72" s="0" t="s">
        <v>43</v>
      </c>
      <c r="AE72" s="2" t="s">
        <v>36</v>
      </c>
    </row>
    <row r="73">
      <c r="A73" s="6" t="s">
        <v>31</v>
      </c>
      <c r="B73" s="7">
        <v>45559</v>
      </c>
      <c r="C73" s="9">
        <f>HYPERLINK("https://www.epingalert.org/en/Search?viewData= G/SPS/N/RUS/293"," G/SPS/N/RUS/293")</f>
      </c>
      <c r="D73" s="8" t="s">
        <v>423</v>
      </c>
      <c r="E73" s="8" t="s">
        <v>424</v>
      </c>
      <c r="F73" s="8" t="s">
        <v>402</v>
      </c>
      <c r="G73" s="8" t="s">
        <v>83</v>
      </c>
      <c r="H73" s="8" t="s">
        <v>36</v>
      </c>
      <c r="I73" s="8" t="s">
        <v>37</v>
      </c>
      <c r="J73" s="8" t="s">
        <v>425</v>
      </c>
      <c r="K73" s="6" t="s">
        <v>426</v>
      </c>
      <c r="L73" s="7" t="s">
        <v>36</v>
      </c>
      <c r="M73" s="6" t="s">
        <v>40</v>
      </c>
      <c r="N73" s="8" t="s">
        <v>427</v>
      </c>
      <c r="O73" s="6">
        <f>HYPERLINK("https://docs.wto.org/imrd/directdoc.asp?DDFDocuments/t/G/SPS/NRUS293.DOCX", "https://docs.wto.org/imrd/directdoc.asp?DDFDocuments/t/G/SPS/NRUS293.DOCX")</f>
      </c>
      <c r="P73" s="6">
        <f>HYPERLINK("https://docs.wto.org/imrd/directdoc.asp?DDFDocuments/u/G/SPS/NRUS293.DOCX", "https://docs.wto.org/imrd/directdoc.asp?DDFDocuments/u/G/SPS/NRUS293.DOCX")</f>
      </c>
      <c r="Q73" s="6">
        <f>HYPERLINK("https://docs.wto.org/imrd/directdoc.asp?DDFDocuments/v/G/SPS/NRUS293.DOCX", "https://docs.wto.org/imrd/directdoc.asp?DDFDocuments/v/G/SPS/NRUS293.DOCX")</f>
      </c>
      <c r="R73" s="0" t="s">
        <v>36</v>
      </c>
      <c r="S73" s="0" t="s">
        <v>36</v>
      </c>
      <c r="T73" s="0" t="s">
        <v>36</v>
      </c>
      <c r="U73" s="0" t="s">
        <v>36</v>
      </c>
      <c r="V73" s="0" t="s">
        <v>36</v>
      </c>
      <c r="W73" s="0" t="s">
        <v>36</v>
      </c>
      <c r="X73" s="0" t="s">
        <v>36</v>
      </c>
      <c r="Y73" s="2" t="s">
        <v>36</v>
      </c>
      <c r="Z73" s="0" t="s">
        <v>42</v>
      </c>
      <c r="AA73" s="0" t="s">
        <v>43</v>
      </c>
      <c r="AB73" s="0" t="s">
        <v>42</v>
      </c>
      <c r="AC73" s="0" t="s">
        <v>42</v>
      </c>
      <c r="AD73" s="0" t="s">
        <v>43</v>
      </c>
      <c r="AE73" s="2" t="s">
        <v>36</v>
      </c>
    </row>
    <row r="74">
      <c r="A74" s="6" t="s">
        <v>31</v>
      </c>
      <c r="B74" s="7">
        <v>45546</v>
      </c>
      <c r="C74" s="9">
        <f>HYPERLINK("https://www.epingalert.org/en/Search?viewData= G/SPS/N/RUS/291"," G/SPS/N/RUS/291")</f>
      </c>
      <c r="D74" s="8" t="s">
        <v>428</v>
      </c>
      <c r="E74" s="8" t="s">
        <v>429</v>
      </c>
      <c r="F74" s="8" t="s">
        <v>402</v>
      </c>
      <c r="G74" s="8" t="s">
        <v>83</v>
      </c>
      <c r="H74" s="8" t="s">
        <v>36</v>
      </c>
      <c r="I74" s="8" t="s">
        <v>37</v>
      </c>
      <c r="J74" s="8" t="s">
        <v>84</v>
      </c>
      <c r="K74" s="6" t="s">
        <v>430</v>
      </c>
      <c r="L74" s="7" t="s">
        <v>36</v>
      </c>
      <c r="M74" s="6" t="s">
        <v>40</v>
      </c>
      <c r="N74" s="8" t="s">
        <v>431</v>
      </c>
      <c r="O74" s="6">
        <f>HYPERLINK("https://docs.wto.org/imrd/directdoc.asp?DDFDocuments/t/G/SPS/NRUS291.DOCX", "https://docs.wto.org/imrd/directdoc.asp?DDFDocuments/t/G/SPS/NRUS291.DOCX")</f>
      </c>
      <c r="P74" s="6">
        <f>HYPERLINK("https://docs.wto.org/imrd/directdoc.asp?DDFDocuments/u/G/SPS/NRUS291.DOCX", "https://docs.wto.org/imrd/directdoc.asp?DDFDocuments/u/G/SPS/NRUS291.DOCX")</f>
      </c>
      <c r="Q74" s="6">
        <f>HYPERLINK("https://docs.wto.org/imrd/directdoc.asp?DDFDocuments/v/G/SPS/NRUS291.DOCX", "https://docs.wto.org/imrd/directdoc.asp?DDFDocuments/v/G/SPS/NRUS291.DOCX")</f>
      </c>
      <c r="R74" s="0" t="s">
        <v>36</v>
      </c>
      <c r="S74" s="0" t="s">
        <v>36</v>
      </c>
      <c r="T74" s="0" t="s">
        <v>36</v>
      </c>
      <c r="U74" s="0" t="s">
        <v>36</v>
      </c>
      <c r="V74" s="0" t="s">
        <v>36</v>
      </c>
      <c r="W74" s="0" t="s">
        <v>36</v>
      </c>
      <c r="X74" s="0" t="s">
        <v>36</v>
      </c>
      <c r="Y74" s="2" t="s">
        <v>36</v>
      </c>
      <c r="Z74" s="0" t="s">
        <v>42</v>
      </c>
      <c r="AA74" s="0" t="s">
        <v>43</v>
      </c>
      <c r="AB74" s="0" t="s">
        <v>42</v>
      </c>
      <c r="AC74" s="0" t="s">
        <v>42</v>
      </c>
      <c r="AD74" s="0" t="s">
        <v>43</v>
      </c>
      <c r="AE74" s="2" t="s">
        <v>36</v>
      </c>
    </row>
    <row r="75">
      <c r="A75" s="6" t="s">
        <v>31</v>
      </c>
      <c r="B75" s="7">
        <v>45545</v>
      </c>
      <c r="C75" s="9">
        <f>HYPERLINK("https://www.epingalert.org/en/Search?viewData= G/SPS/N/RUS/290"," G/SPS/N/RUS/290")</f>
      </c>
      <c r="D75" s="8" t="s">
        <v>432</v>
      </c>
      <c r="E75" s="8" t="s">
        <v>433</v>
      </c>
      <c r="F75" s="8" t="s">
        <v>434</v>
      </c>
      <c r="G75" s="8" t="s">
        <v>284</v>
      </c>
      <c r="H75" s="8" t="s">
        <v>36</v>
      </c>
      <c r="I75" s="8" t="s">
        <v>37</v>
      </c>
      <c r="J75" s="8" t="s">
        <v>435</v>
      </c>
      <c r="K75" s="6" t="s">
        <v>436</v>
      </c>
      <c r="L75" s="7" t="s">
        <v>36</v>
      </c>
      <c r="M75" s="6" t="s">
        <v>40</v>
      </c>
      <c r="N75" s="8" t="s">
        <v>437</v>
      </c>
      <c r="O75" s="6">
        <f>HYPERLINK("https://docs.wto.org/imrd/directdoc.asp?DDFDocuments/t/G/SPS/NRUS290.DOCX", "https://docs.wto.org/imrd/directdoc.asp?DDFDocuments/t/G/SPS/NRUS290.DOCX")</f>
      </c>
      <c r="P75" s="6">
        <f>HYPERLINK("https://docs.wto.org/imrd/directdoc.asp?DDFDocuments/u/G/SPS/NRUS290.DOCX", "https://docs.wto.org/imrd/directdoc.asp?DDFDocuments/u/G/SPS/NRUS290.DOCX")</f>
      </c>
      <c r="Q75" s="6">
        <f>HYPERLINK("https://docs.wto.org/imrd/directdoc.asp?DDFDocuments/v/G/SPS/NRUS290.DOCX", "https://docs.wto.org/imrd/directdoc.asp?DDFDocuments/v/G/SPS/NRUS290.DOCX")</f>
      </c>
      <c r="R75" s="0" t="s">
        <v>36</v>
      </c>
      <c r="S75" s="0" t="s">
        <v>36</v>
      </c>
      <c r="T75" s="0" t="s">
        <v>36</v>
      </c>
      <c r="U75" s="0" t="s">
        <v>36</v>
      </c>
      <c r="V75" s="0" t="s">
        <v>36</v>
      </c>
      <c r="W75" s="0" t="s">
        <v>36</v>
      </c>
      <c r="X75" s="0" t="s">
        <v>36</v>
      </c>
      <c r="Y75" s="2" t="s">
        <v>36</v>
      </c>
      <c r="Z75" s="0" t="s">
        <v>42</v>
      </c>
      <c r="AA75" s="0" t="s">
        <v>43</v>
      </c>
      <c r="AB75" s="0" t="s">
        <v>42</v>
      </c>
      <c r="AC75" s="0" t="s">
        <v>42</v>
      </c>
      <c r="AD75" s="0" t="s">
        <v>43</v>
      </c>
      <c r="AE75" s="2" t="s">
        <v>36</v>
      </c>
    </row>
    <row r="76">
      <c r="A76" s="6" t="s">
        <v>31</v>
      </c>
      <c r="B76" s="7">
        <v>45544</v>
      </c>
      <c r="C76" s="9">
        <f>HYPERLINK("https://www.epingalert.org/en/Search?viewData= G/SPS/N/RUS/289"," G/SPS/N/RUS/289")</f>
      </c>
      <c r="D76" s="8" t="s">
        <v>438</v>
      </c>
      <c r="E76" s="8" t="s">
        <v>439</v>
      </c>
      <c r="F76" s="8" t="s">
        <v>402</v>
      </c>
      <c r="G76" s="8" t="s">
        <v>83</v>
      </c>
      <c r="H76" s="8" t="s">
        <v>36</v>
      </c>
      <c r="I76" s="8" t="s">
        <v>37</v>
      </c>
      <c r="J76" s="8" t="s">
        <v>84</v>
      </c>
      <c r="K76" s="6" t="s">
        <v>440</v>
      </c>
      <c r="L76" s="7" t="s">
        <v>36</v>
      </c>
      <c r="M76" s="6" t="s">
        <v>40</v>
      </c>
      <c r="N76" s="8" t="s">
        <v>441</v>
      </c>
      <c r="O76" s="6">
        <f>HYPERLINK("https://docs.wto.org/imrd/directdoc.asp?DDFDocuments/t/G/SPS/NRUS289.DOCX", "https://docs.wto.org/imrd/directdoc.asp?DDFDocuments/t/G/SPS/NRUS289.DOCX")</f>
      </c>
      <c r="P76" s="6">
        <f>HYPERLINK("https://docs.wto.org/imrd/directdoc.asp?DDFDocuments/u/G/SPS/NRUS289.DOCX", "https://docs.wto.org/imrd/directdoc.asp?DDFDocuments/u/G/SPS/NRUS289.DOCX")</f>
      </c>
      <c r="Q76" s="6">
        <f>HYPERLINK("https://docs.wto.org/imrd/directdoc.asp?DDFDocuments/v/G/SPS/NRUS289.DOCX", "https://docs.wto.org/imrd/directdoc.asp?DDFDocuments/v/G/SPS/NRUS289.DOCX")</f>
      </c>
      <c r="R76" s="0" t="s">
        <v>36</v>
      </c>
      <c r="S76" s="0" t="s">
        <v>36</v>
      </c>
      <c r="T76" s="0" t="s">
        <v>36</v>
      </c>
      <c r="U76" s="0" t="s">
        <v>36</v>
      </c>
      <c r="V76" s="0" t="s">
        <v>36</v>
      </c>
      <c r="W76" s="0" t="s">
        <v>36</v>
      </c>
      <c r="X76" s="0" t="s">
        <v>36</v>
      </c>
      <c r="Y76" s="2" t="s">
        <v>36</v>
      </c>
      <c r="Z76" s="0" t="s">
        <v>42</v>
      </c>
      <c r="AA76" s="0" t="s">
        <v>43</v>
      </c>
      <c r="AB76" s="0" t="s">
        <v>42</v>
      </c>
      <c r="AC76" s="0" t="s">
        <v>42</v>
      </c>
      <c r="AD76" s="0" t="s">
        <v>43</v>
      </c>
      <c r="AE76" s="2" t="s">
        <v>36</v>
      </c>
    </row>
    <row r="77">
      <c r="A77" s="6" t="s">
        <v>31</v>
      </c>
      <c r="B77" s="7">
        <v>45534</v>
      </c>
      <c r="C77" s="9">
        <f>HYPERLINK("https://www.epingalert.org/en/Search?viewData= G/SPS/N/RUS/288"," G/SPS/N/RUS/288")</f>
      </c>
      <c r="D77" s="8" t="s">
        <v>442</v>
      </c>
      <c r="E77" s="8" t="s">
        <v>443</v>
      </c>
      <c r="F77" s="8" t="s">
        <v>402</v>
      </c>
      <c r="G77" s="8" t="s">
        <v>83</v>
      </c>
      <c r="H77" s="8" t="s">
        <v>36</v>
      </c>
      <c r="I77" s="8" t="s">
        <v>37</v>
      </c>
      <c r="J77" s="8" t="s">
        <v>444</v>
      </c>
      <c r="K77" s="6" t="s">
        <v>445</v>
      </c>
      <c r="L77" s="7" t="s">
        <v>36</v>
      </c>
      <c r="M77" s="6" t="s">
        <v>40</v>
      </c>
      <c r="N77" s="8" t="s">
        <v>446</v>
      </c>
      <c r="O77" s="6">
        <f>HYPERLINK("https://docs.wto.org/imrd/directdoc.asp?DDFDocuments/t/G/SPS/NRUS288.DOCX", "https://docs.wto.org/imrd/directdoc.asp?DDFDocuments/t/G/SPS/NRUS288.DOCX")</f>
      </c>
      <c r="P77" s="6">
        <f>HYPERLINK("https://docs.wto.org/imrd/directdoc.asp?DDFDocuments/u/G/SPS/NRUS288.DOCX", "https://docs.wto.org/imrd/directdoc.asp?DDFDocuments/u/G/SPS/NRUS288.DOCX")</f>
      </c>
      <c r="Q77" s="6">
        <f>HYPERLINK("https://docs.wto.org/imrd/directdoc.asp?DDFDocuments/v/G/SPS/NRUS288.DOCX", "https://docs.wto.org/imrd/directdoc.asp?DDFDocuments/v/G/SPS/NRUS288.DOCX")</f>
      </c>
      <c r="R77" s="0" t="s">
        <v>36</v>
      </c>
      <c r="S77" s="0" t="s">
        <v>36</v>
      </c>
      <c r="T77" s="0" t="s">
        <v>36</v>
      </c>
      <c r="U77" s="0" t="s">
        <v>36</v>
      </c>
      <c r="V77" s="0" t="s">
        <v>36</v>
      </c>
      <c r="W77" s="0" t="s">
        <v>36</v>
      </c>
      <c r="X77" s="0" t="s">
        <v>36</v>
      </c>
      <c r="Y77" s="2" t="s">
        <v>36</v>
      </c>
      <c r="Z77" s="0" t="s">
        <v>42</v>
      </c>
      <c r="AA77" s="0" t="s">
        <v>43</v>
      </c>
      <c r="AB77" s="0" t="s">
        <v>42</v>
      </c>
      <c r="AC77" s="0" t="s">
        <v>42</v>
      </c>
      <c r="AD77" s="0" t="s">
        <v>43</v>
      </c>
      <c r="AE77" s="2" t="s">
        <v>36</v>
      </c>
    </row>
    <row r="78">
      <c r="A78" s="6" t="s">
        <v>31</v>
      </c>
      <c r="B78" s="7">
        <v>45504</v>
      </c>
      <c r="C78" s="9">
        <f>HYPERLINK("https://www.epingalert.org/en/Search?viewData= G/SPS/N/RUS/287"," G/SPS/N/RUS/287")</f>
      </c>
      <c r="D78" s="8" t="s">
        <v>447</v>
      </c>
      <c r="E78" s="8" t="s">
        <v>448</v>
      </c>
      <c r="F78" s="8" t="s">
        <v>449</v>
      </c>
      <c r="G78" s="8" t="s">
        <v>284</v>
      </c>
      <c r="H78" s="8" t="s">
        <v>36</v>
      </c>
      <c r="I78" s="8" t="s">
        <v>37</v>
      </c>
      <c r="J78" s="8" t="s">
        <v>435</v>
      </c>
      <c r="K78" s="6" t="s">
        <v>169</v>
      </c>
      <c r="L78" s="7" t="s">
        <v>36</v>
      </c>
      <c r="M78" s="6" t="s">
        <v>40</v>
      </c>
      <c r="N78" s="8" t="s">
        <v>450</v>
      </c>
      <c r="O78" s="6">
        <f>HYPERLINK("https://docs.wto.org/imrd/directdoc.asp?DDFDocuments/t/G/SPS/NRUS287.DOCX", "https://docs.wto.org/imrd/directdoc.asp?DDFDocuments/t/G/SPS/NRUS287.DOCX")</f>
      </c>
      <c r="P78" s="6">
        <f>HYPERLINK("https://docs.wto.org/imrd/directdoc.asp?DDFDocuments/u/G/SPS/NRUS287.DOCX", "https://docs.wto.org/imrd/directdoc.asp?DDFDocuments/u/G/SPS/NRUS287.DOCX")</f>
      </c>
      <c r="Q78" s="6">
        <f>HYPERLINK("https://docs.wto.org/imrd/directdoc.asp?DDFDocuments/v/G/SPS/NRUS287.DOCX", "https://docs.wto.org/imrd/directdoc.asp?DDFDocuments/v/G/SPS/NRUS287.DOCX")</f>
      </c>
      <c r="R78" s="0" t="s">
        <v>36</v>
      </c>
      <c r="S78" s="0" t="s">
        <v>36</v>
      </c>
      <c r="T78" s="0" t="s">
        <v>36</v>
      </c>
      <c r="U78" s="0" t="s">
        <v>36</v>
      </c>
      <c r="V78" s="0" t="s">
        <v>36</v>
      </c>
      <c r="W78" s="0" t="s">
        <v>36</v>
      </c>
      <c r="X78" s="0" t="s">
        <v>36</v>
      </c>
      <c r="Y78" s="2" t="s">
        <v>36</v>
      </c>
      <c r="Z78" s="0" t="s">
        <v>42</v>
      </c>
      <c r="AA78" s="0" t="s">
        <v>43</v>
      </c>
      <c r="AB78" s="0" t="s">
        <v>42</v>
      </c>
      <c r="AC78" s="0" t="s">
        <v>42</v>
      </c>
      <c r="AD78" s="0" t="s">
        <v>43</v>
      </c>
      <c r="AE78" s="2" t="s">
        <v>36</v>
      </c>
    </row>
    <row r="79">
      <c r="A79" s="6" t="s">
        <v>31</v>
      </c>
      <c r="B79" s="7">
        <v>45499</v>
      </c>
      <c r="C79" s="9">
        <f>HYPERLINK("https://www.epingalert.org/en/Search?viewData= G/SPS/N/RUS/286"," G/SPS/N/RUS/286")</f>
      </c>
      <c r="D79" s="8" t="s">
        <v>451</v>
      </c>
      <c r="E79" s="8" t="s">
        <v>452</v>
      </c>
      <c r="F79" s="8" t="s">
        <v>364</v>
      </c>
      <c r="G79" s="8" t="s">
        <v>453</v>
      </c>
      <c r="H79" s="8" t="s">
        <v>36</v>
      </c>
      <c r="I79" s="8" t="s">
        <v>37</v>
      </c>
      <c r="J79" s="8" t="s">
        <v>454</v>
      </c>
      <c r="K79" s="6" t="s">
        <v>455</v>
      </c>
      <c r="L79" s="7" t="s">
        <v>36</v>
      </c>
      <c r="M79" s="6" t="s">
        <v>40</v>
      </c>
      <c r="N79" s="8" t="s">
        <v>456</v>
      </c>
      <c r="O79" s="6">
        <f>HYPERLINK("https://docs.wto.org/imrd/directdoc.asp?DDFDocuments/t/G/SPS/NRUS286.DOCX", "https://docs.wto.org/imrd/directdoc.asp?DDFDocuments/t/G/SPS/NRUS286.DOCX")</f>
      </c>
      <c r="P79" s="6">
        <f>HYPERLINK("https://docs.wto.org/imrd/directdoc.asp?DDFDocuments/u/G/SPS/NRUS286.DOCX", "https://docs.wto.org/imrd/directdoc.asp?DDFDocuments/u/G/SPS/NRUS286.DOCX")</f>
      </c>
      <c r="Q79" s="6">
        <f>HYPERLINK("https://docs.wto.org/imrd/directdoc.asp?DDFDocuments/v/G/SPS/NRUS286.DOCX", "https://docs.wto.org/imrd/directdoc.asp?DDFDocuments/v/G/SPS/NRUS286.DOCX")</f>
      </c>
      <c r="R79" s="0" t="s">
        <v>36</v>
      </c>
      <c r="S79" s="0" t="s">
        <v>36</v>
      </c>
      <c r="T79" s="0" t="s">
        <v>36</v>
      </c>
      <c r="U79" s="0" t="s">
        <v>36</v>
      </c>
      <c r="V79" s="0" t="s">
        <v>36</v>
      </c>
      <c r="W79" s="0" t="s">
        <v>36</v>
      </c>
      <c r="X79" s="0" t="s">
        <v>36</v>
      </c>
      <c r="Y79" s="2" t="s">
        <v>36</v>
      </c>
      <c r="Z79" s="0" t="s">
        <v>42</v>
      </c>
      <c r="AA79" s="0" t="s">
        <v>43</v>
      </c>
      <c r="AB79" s="0" t="s">
        <v>42</v>
      </c>
      <c r="AC79" s="0" t="s">
        <v>42</v>
      </c>
      <c r="AD79" s="0" t="s">
        <v>43</v>
      </c>
      <c r="AE79" s="2" t="s">
        <v>36</v>
      </c>
    </row>
    <row r="80">
      <c r="A80" s="6" t="s">
        <v>31</v>
      </c>
      <c r="B80" s="7">
        <v>45497</v>
      </c>
      <c r="C80" s="9">
        <f>HYPERLINK("https://www.epingalert.org/en/Search?viewData= G/TBT/N/RUS/165"," G/TBT/N/RUS/165")</f>
      </c>
      <c r="D80" s="8" t="s">
        <v>457</v>
      </c>
      <c r="E80" s="8" t="s">
        <v>458</v>
      </c>
      <c r="F80" s="8" t="s">
        <v>459</v>
      </c>
      <c r="G80" s="8" t="s">
        <v>36</v>
      </c>
      <c r="H80" s="8" t="s">
        <v>460</v>
      </c>
      <c r="I80" s="8" t="s">
        <v>164</v>
      </c>
      <c r="J80" s="8" t="s">
        <v>36</v>
      </c>
      <c r="K80" s="6"/>
      <c r="L80" s="7">
        <v>45557</v>
      </c>
      <c r="M80" s="6" t="s">
        <v>51</v>
      </c>
      <c r="N80" s="6"/>
      <c r="O80" s="6">
        <f>HYPERLINK("https://docs.wto.org/imrd/directdoc.asp?DDFDocuments/t/G/TBTN24/RUS165.DOCX", "https://docs.wto.org/imrd/directdoc.asp?DDFDocuments/t/G/TBTN24/RUS165.DOCX")</f>
      </c>
      <c r="P80" s="6">
        <f>HYPERLINK("https://docs.wto.org/imrd/directdoc.asp?DDFDocuments/u/G/TBTN24/RUS165.DOCX", "https://docs.wto.org/imrd/directdoc.asp?DDFDocuments/u/G/TBTN24/RUS165.DOCX")</f>
      </c>
      <c r="Q80" s="6">
        <f>HYPERLINK("https://docs.wto.org/imrd/directdoc.asp?DDFDocuments/v/G/TBTN24/RUS165.DOCX", "https://docs.wto.org/imrd/directdoc.asp?DDFDocuments/v/G/TBTN24/RUS165.DOCX")</f>
      </c>
      <c r="R80" s="0" t="s">
        <v>43</v>
      </c>
      <c r="S80" s="0" t="s">
        <v>42</v>
      </c>
      <c r="T80" s="0" t="s">
        <v>42</v>
      </c>
      <c r="U80" s="0" t="s">
        <v>42</v>
      </c>
      <c r="V80" s="0" t="s">
        <v>42</v>
      </c>
      <c r="W80" s="0" t="s">
        <v>42</v>
      </c>
      <c r="X80" s="0" t="s">
        <v>42</v>
      </c>
      <c r="Y80" s="2" t="s">
        <v>461</v>
      </c>
      <c r="Z80" s="0" t="s">
        <v>36</v>
      </c>
      <c r="AA80" s="0" t="s">
        <v>36</v>
      </c>
      <c r="AB80" s="0" t="s">
        <v>36</v>
      </c>
      <c r="AC80" s="0" t="s">
        <v>36</v>
      </c>
      <c r="AD80" s="0" t="s">
        <v>36</v>
      </c>
      <c r="AE80" s="2" t="s">
        <v>36</v>
      </c>
    </row>
    <row r="81">
      <c r="A81" s="6" t="s">
        <v>31</v>
      </c>
      <c r="B81" s="7">
        <v>45497</v>
      </c>
      <c r="C81" s="9">
        <f>HYPERLINK("https://www.epingalert.org/en/Search?viewData= G/SPS/N/RUS/285"," G/SPS/N/RUS/285")</f>
      </c>
      <c r="D81" s="8" t="s">
        <v>462</v>
      </c>
      <c r="E81" s="8" t="s">
        <v>463</v>
      </c>
      <c r="F81" s="8" t="s">
        <v>449</v>
      </c>
      <c r="G81" s="8" t="s">
        <v>464</v>
      </c>
      <c r="H81" s="8" t="s">
        <v>36</v>
      </c>
      <c r="I81" s="8" t="s">
        <v>37</v>
      </c>
      <c r="J81" s="8" t="s">
        <v>112</v>
      </c>
      <c r="K81" s="6" t="s">
        <v>388</v>
      </c>
      <c r="L81" s="7" t="s">
        <v>36</v>
      </c>
      <c r="M81" s="6" t="s">
        <v>40</v>
      </c>
      <c r="N81" s="8" t="s">
        <v>465</v>
      </c>
      <c r="O81" s="6">
        <f>HYPERLINK("https://docs.wto.org/imrd/directdoc.asp?DDFDocuments/t/G/SPS/NRUS285.DOCX", "https://docs.wto.org/imrd/directdoc.asp?DDFDocuments/t/G/SPS/NRUS285.DOCX")</f>
      </c>
      <c r="P81" s="6">
        <f>HYPERLINK("https://docs.wto.org/imrd/directdoc.asp?DDFDocuments/u/G/SPS/NRUS285.DOCX", "https://docs.wto.org/imrd/directdoc.asp?DDFDocuments/u/G/SPS/NRUS285.DOCX")</f>
      </c>
      <c r="Q81" s="6">
        <f>HYPERLINK("https://docs.wto.org/imrd/directdoc.asp?DDFDocuments/v/G/SPS/NRUS285.DOCX", "https://docs.wto.org/imrd/directdoc.asp?DDFDocuments/v/G/SPS/NRUS285.DOCX")</f>
      </c>
      <c r="R81" s="0" t="s">
        <v>36</v>
      </c>
      <c r="S81" s="0" t="s">
        <v>36</v>
      </c>
      <c r="T81" s="0" t="s">
        <v>36</v>
      </c>
      <c r="U81" s="0" t="s">
        <v>36</v>
      </c>
      <c r="V81" s="0" t="s">
        <v>36</v>
      </c>
      <c r="W81" s="0" t="s">
        <v>36</v>
      </c>
      <c r="X81" s="0" t="s">
        <v>36</v>
      </c>
      <c r="Y81" s="2" t="s">
        <v>36</v>
      </c>
      <c r="Z81" s="0" t="s">
        <v>42</v>
      </c>
      <c r="AA81" s="0" t="s">
        <v>43</v>
      </c>
      <c r="AB81" s="0" t="s">
        <v>42</v>
      </c>
      <c r="AC81" s="0" t="s">
        <v>42</v>
      </c>
      <c r="AD81" s="0" t="s">
        <v>43</v>
      </c>
      <c r="AE81" s="2" t="s">
        <v>36</v>
      </c>
    </row>
    <row r="82">
      <c r="A82" s="6" t="s">
        <v>31</v>
      </c>
      <c r="B82" s="7">
        <v>45485</v>
      </c>
      <c r="C82" s="9">
        <f>HYPERLINK("https://www.epingalert.org/en/Search?viewData= G/TBT/N/RUS/163"," G/TBT/N/RUS/163")</f>
      </c>
      <c r="D82" s="8" t="s">
        <v>466</v>
      </c>
      <c r="E82" s="8" t="s">
        <v>467</v>
      </c>
      <c r="F82" s="8" t="s">
        <v>468</v>
      </c>
      <c r="G82" s="8" t="s">
        <v>36</v>
      </c>
      <c r="H82" s="8" t="s">
        <v>141</v>
      </c>
      <c r="I82" s="8" t="s">
        <v>57</v>
      </c>
      <c r="J82" s="8" t="s">
        <v>58</v>
      </c>
      <c r="K82" s="6"/>
      <c r="L82" s="7">
        <v>45507</v>
      </c>
      <c r="M82" s="6" t="s">
        <v>51</v>
      </c>
      <c r="N82" s="6"/>
      <c r="O82" s="6">
        <f>HYPERLINK("https://docs.wto.org/imrd/directdoc.asp?DDFDocuments/t/G/TBTN24/RUS163.DOCX", "https://docs.wto.org/imrd/directdoc.asp?DDFDocuments/t/G/TBTN24/RUS163.DOCX")</f>
      </c>
      <c r="P82" s="6">
        <f>HYPERLINK("https://docs.wto.org/imrd/directdoc.asp?DDFDocuments/u/G/TBTN24/RUS163.DOCX", "https://docs.wto.org/imrd/directdoc.asp?DDFDocuments/u/G/TBTN24/RUS163.DOCX")</f>
      </c>
      <c r="Q82" s="6">
        <f>HYPERLINK("https://docs.wto.org/imrd/directdoc.asp?DDFDocuments/v/G/TBTN24/RUS163.DOCX", "https://docs.wto.org/imrd/directdoc.asp?DDFDocuments/v/G/TBTN24/RUS163.DOCX")</f>
      </c>
      <c r="R82" s="0" t="s">
        <v>43</v>
      </c>
      <c r="S82" s="0" t="s">
        <v>42</v>
      </c>
      <c r="T82" s="0" t="s">
        <v>42</v>
      </c>
      <c r="U82" s="0" t="s">
        <v>42</v>
      </c>
      <c r="V82" s="0" t="s">
        <v>42</v>
      </c>
      <c r="W82" s="0" t="s">
        <v>42</v>
      </c>
      <c r="X82" s="0" t="s">
        <v>42</v>
      </c>
      <c r="Y82" s="2" t="s">
        <v>469</v>
      </c>
      <c r="Z82" s="0" t="s">
        <v>36</v>
      </c>
      <c r="AA82" s="0" t="s">
        <v>36</v>
      </c>
      <c r="AB82" s="0" t="s">
        <v>36</v>
      </c>
      <c r="AC82" s="0" t="s">
        <v>36</v>
      </c>
      <c r="AD82" s="0" t="s">
        <v>36</v>
      </c>
      <c r="AE82" s="2" t="s">
        <v>36</v>
      </c>
    </row>
    <row r="83">
      <c r="A83" s="6" t="s">
        <v>31</v>
      </c>
      <c r="B83" s="7">
        <v>45485</v>
      </c>
      <c r="C83" s="9">
        <f>HYPERLINK("https://www.epingalert.org/en/Search?viewData= G/TBT/N/RUS/164"," G/TBT/N/RUS/164")</f>
      </c>
      <c r="D83" s="8" t="s">
        <v>470</v>
      </c>
      <c r="E83" s="8" t="s">
        <v>471</v>
      </c>
      <c r="F83" s="8" t="s">
        <v>468</v>
      </c>
      <c r="G83" s="8" t="s">
        <v>36</v>
      </c>
      <c r="H83" s="8" t="s">
        <v>141</v>
      </c>
      <c r="I83" s="8" t="s">
        <v>57</v>
      </c>
      <c r="J83" s="8" t="s">
        <v>58</v>
      </c>
      <c r="K83" s="6"/>
      <c r="L83" s="7">
        <v>45511</v>
      </c>
      <c r="M83" s="6" t="s">
        <v>51</v>
      </c>
      <c r="N83" s="6"/>
      <c r="O83" s="6">
        <f>HYPERLINK("https://docs.wto.org/imrd/directdoc.asp?DDFDocuments/t/G/TBTN24/RUS164.DOCX", "https://docs.wto.org/imrd/directdoc.asp?DDFDocuments/t/G/TBTN24/RUS164.DOCX")</f>
      </c>
      <c r="P83" s="6">
        <f>HYPERLINK("https://docs.wto.org/imrd/directdoc.asp?DDFDocuments/u/G/TBTN24/RUS164.DOCX", "https://docs.wto.org/imrd/directdoc.asp?DDFDocuments/u/G/TBTN24/RUS164.DOCX")</f>
      </c>
      <c r="Q83" s="6">
        <f>HYPERLINK("https://docs.wto.org/imrd/directdoc.asp?DDFDocuments/v/G/TBTN24/RUS164.DOCX", "https://docs.wto.org/imrd/directdoc.asp?DDFDocuments/v/G/TBTN24/RUS164.DOCX")</f>
      </c>
      <c r="R83" s="0" t="s">
        <v>43</v>
      </c>
      <c r="S83" s="0" t="s">
        <v>42</v>
      </c>
      <c r="T83" s="0" t="s">
        <v>42</v>
      </c>
      <c r="U83" s="0" t="s">
        <v>42</v>
      </c>
      <c r="V83" s="0" t="s">
        <v>42</v>
      </c>
      <c r="W83" s="0" t="s">
        <v>42</v>
      </c>
      <c r="X83" s="0" t="s">
        <v>42</v>
      </c>
      <c r="Y83" s="2" t="s">
        <v>472</v>
      </c>
      <c r="Z83" s="0" t="s">
        <v>36</v>
      </c>
      <c r="AA83" s="0" t="s">
        <v>36</v>
      </c>
      <c r="AB83" s="0" t="s">
        <v>36</v>
      </c>
      <c r="AC83" s="0" t="s">
        <v>36</v>
      </c>
      <c r="AD83" s="0" t="s">
        <v>36</v>
      </c>
      <c r="AE83" s="2" t="s">
        <v>36</v>
      </c>
    </row>
    <row r="84">
      <c r="A84" s="6" t="s">
        <v>31</v>
      </c>
      <c r="B84" s="7">
        <v>45484</v>
      </c>
      <c r="C84" s="9">
        <f>HYPERLINK("https://www.epingalert.org/en/Search?viewData= G/SPS/N/RUS/284"," G/SPS/N/RUS/284")</f>
      </c>
      <c r="D84" s="8" t="s">
        <v>473</v>
      </c>
      <c r="E84" s="8" t="s">
        <v>474</v>
      </c>
      <c r="F84" s="8" t="s">
        <v>220</v>
      </c>
      <c r="G84" s="8" t="s">
        <v>36</v>
      </c>
      <c r="H84" s="8" t="s">
        <v>36</v>
      </c>
      <c r="I84" s="8" t="s">
        <v>475</v>
      </c>
      <c r="J84" s="8" t="s">
        <v>476</v>
      </c>
      <c r="K84" s="6" t="s">
        <v>36</v>
      </c>
      <c r="L84" s="7">
        <v>45538</v>
      </c>
      <c r="M84" s="6" t="s">
        <v>51</v>
      </c>
      <c r="N84" s="8" t="s">
        <v>477</v>
      </c>
      <c r="O84" s="6">
        <f>HYPERLINK("https://docs.wto.org/imrd/directdoc.asp?DDFDocuments/t/G/SPS/NRUS284.DOCX", "https://docs.wto.org/imrd/directdoc.asp?DDFDocuments/t/G/SPS/NRUS284.DOCX")</f>
      </c>
      <c r="P84" s="6">
        <f>HYPERLINK("https://docs.wto.org/imrd/directdoc.asp?DDFDocuments/u/G/SPS/NRUS284.DOCX", "https://docs.wto.org/imrd/directdoc.asp?DDFDocuments/u/G/SPS/NRUS284.DOCX")</f>
      </c>
      <c r="Q84" s="6">
        <f>HYPERLINK("https://docs.wto.org/imrd/directdoc.asp?DDFDocuments/v/G/SPS/NRUS284.DOCX", "https://docs.wto.org/imrd/directdoc.asp?DDFDocuments/v/G/SPS/NRUS284.DOCX")</f>
      </c>
      <c r="R84" s="0" t="s">
        <v>36</v>
      </c>
      <c r="S84" s="0" t="s">
        <v>36</v>
      </c>
      <c r="T84" s="0" t="s">
        <v>36</v>
      </c>
      <c r="U84" s="0" t="s">
        <v>36</v>
      </c>
      <c r="V84" s="0" t="s">
        <v>36</v>
      </c>
      <c r="W84" s="0" t="s">
        <v>36</v>
      </c>
      <c r="X84" s="0" t="s">
        <v>36</v>
      </c>
      <c r="Y84" s="2" t="s">
        <v>36</v>
      </c>
      <c r="Z84" s="0" t="s">
        <v>42</v>
      </c>
      <c r="AA84" s="0" t="s">
        <v>43</v>
      </c>
      <c r="AB84" s="0" t="s">
        <v>42</v>
      </c>
      <c r="AC84" s="0" t="s">
        <v>42</v>
      </c>
      <c r="AD84" s="0" t="s">
        <v>43</v>
      </c>
      <c r="AE84" s="2" t="s">
        <v>36</v>
      </c>
    </row>
    <row r="85">
      <c r="A85" s="6" t="s">
        <v>31</v>
      </c>
      <c r="B85" s="7">
        <v>45463</v>
      </c>
      <c r="C85" s="9">
        <f>HYPERLINK("https://www.epingalert.org/en/Search?viewData= G/SPS/N/RUS/283"," G/SPS/N/RUS/283")</f>
      </c>
      <c r="D85" s="8" t="s">
        <v>478</v>
      </c>
      <c r="E85" s="8" t="s">
        <v>479</v>
      </c>
      <c r="F85" s="8" t="s">
        <v>480</v>
      </c>
      <c r="G85" s="8" t="s">
        <v>36</v>
      </c>
      <c r="H85" s="8" t="s">
        <v>36</v>
      </c>
      <c r="I85" s="8" t="s">
        <v>37</v>
      </c>
      <c r="J85" s="8" t="s">
        <v>271</v>
      </c>
      <c r="K85" s="6" t="s">
        <v>36</v>
      </c>
      <c r="L85" s="7">
        <v>45510</v>
      </c>
      <c r="M85" s="6" t="s">
        <v>51</v>
      </c>
      <c r="N85" s="8" t="s">
        <v>481</v>
      </c>
      <c r="O85" s="6">
        <f>HYPERLINK("https://docs.wto.org/imrd/directdoc.asp?DDFDocuments/t/G/SPS/NRUS283.DOCX", "https://docs.wto.org/imrd/directdoc.asp?DDFDocuments/t/G/SPS/NRUS283.DOCX")</f>
      </c>
      <c r="P85" s="6">
        <f>HYPERLINK("https://docs.wto.org/imrd/directdoc.asp?DDFDocuments/u/G/SPS/NRUS283.DOCX", "https://docs.wto.org/imrd/directdoc.asp?DDFDocuments/u/G/SPS/NRUS283.DOCX")</f>
      </c>
      <c r="Q85" s="6">
        <f>HYPERLINK("https://docs.wto.org/imrd/directdoc.asp?DDFDocuments/v/G/SPS/NRUS283.DOCX", "https://docs.wto.org/imrd/directdoc.asp?DDFDocuments/v/G/SPS/NRUS283.DOCX")</f>
      </c>
      <c r="R85" s="0" t="s">
        <v>36</v>
      </c>
      <c r="S85" s="0" t="s">
        <v>36</v>
      </c>
      <c r="T85" s="0" t="s">
        <v>36</v>
      </c>
      <c r="U85" s="0" t="s">
        <v>36</v>
      </c>
      <c r="V85" s="0" t="s">
        <v>36</v>
      </c>
      <c r="W85" s="0" t="s">
        <v>36</v>
      </c>
      <c r="X85" s="0" t="s">
        <v>36</v>
      </c>
      <c r="Y85" s="2" t="s">
        <v>36</v>
      </c>
      <c r="Z85" s="0" t="s">
        <v>42</v>
      </c>
      <c r="AA85" s="0" t="s">
        <v>43</v>
      </c>
      <c r="AB85" s="0" t="s">
        <v>42</v>
      </c>
      <c r="AC85" s="0" t="s">
        <v>42</v>
      </c>
      <c r="AD85" s="0" t="s">
        <v>43</v>
      </c>
      <c r="AE85" s="2" t="s">
        <v>36</v>
      </c>
    </row>
    <row r="86">
      <c r="A86" s="6" t="s">
        <v>31</v>
      </c>
      <c r="B86" s="7">
        <v>45462</v>
      </c>
      <c r="C86" s="9">
        <f>HYPERLINK("https://www.epingalert.org/en/Search?viewData= G/TBT/N/RUS/162"," G/TBT/N/RUS/162")</f>
      </c>
      <c r="D86" s="8" t="s">
        <v>482</v>
      </c>
      <c r="E86" s="8" t="s">
        <v>483</v>
      </c>
      <c r="F86" s="8" t="s">
        <v>480</v>
      </c>
      <c r="G86" s="8" t="s">
        <v>484</v>
      </c>
      <c r="H86" s="8" t="s">
        <v>485</v>
      </c>
      <c r="I86" s="8" t="s">
        <v>265</v>
      </c>
      <c r="J86" s="8" t="s">
        <v>271</v>
      </c>
      <c r="K86" s="6"/>
      <c r="L86" s="7">
        <v>45510</v>
      </c>
      <c r="M86" s="6" t="s">
        <v>51</v>
      </c>
      <c r="N86" s="6"/>
      <c r="O86" s="6">
        <f>HYPERLINK("https://docs.wto.org/imrd/directdoc.asp?DDFDocuments/t/G/TBTN24/RUS162.DOCX", "https://docs.wto.org/imrd/directdoc.asp?DDFDocuments/t/G/TBTN24/RUS162.DOCX")</f>
      </c>
      <c r="P86" s="6">
        <f>HYPERLINK("https://docs.wto.org/imrd/directdoc.asp?DDFDocuments/u/G/TBTN24/RUS162.DOCX", "https://docs.wto.org/imrd/directdoc.asp?DDFDocuments/u/G/TBTN24/RUS162.DOCX")</f>
      </c>
      <c r="Q86" s="6">
        <f>HYPERLINK("https://docs.wto.org/imrd/directdoc.asp?DDFDocuments/v/G/TBTN24/RUS162.DOCX", "https://docs.wto.org/imrd/directdoc.asp?DDFDocuments/v/G/TBTN24/RUS162.DOCX")</f>
      </c>
      <c r="R86" s="0" t="s">
        <v>43</v>
      </c>
      <c r="S86" s="0" t="s">
        <v>42</v>
      </c>
      <c r="T86" s="0" t="s">
        <v>42</v>
      </c>
      <c r="U86" s="0" t="s">
        <v>42</v>
      </c>
      <c r="V86" s="0" t="s">
        <v>42</v>
      </c>
      <c r="W86" s="0" t="s">
        <v>42</v>
      </c>
      <c r="X86" s="0" t="s">
        <v>42</v>
      </c>
      <c r="Y86" s="2" t="s">
        <v>482</v>
      </c>
      <c r="Z86" s="0" t="s">
        <v>36</v>
      </c>
      <c r="AA86" s="0" t="s">
        <v>36</v>
      </c>
      <c r="AB86" s="0" t="s">
        <v>36</v>
      </c>
      <c r="AC86" s="0" t="s">
        <v>36</v>
      </c>
      <c r="AD86" s="0" t="s">
        <v>36</v>
      </c>
      <c r="AE86" s="2" t="s">
        <v>36</v>
      </c>
    </row>
    <row r="87">
      <c r="A87" s="6" t="s">
        <v>31</v>
      </c>
      <c r="B87" s="7">
        <v>45443</v>
      </c>
      <c r="C87" s="9">
        <f>HYPERLINK("https://www.epingalert.org/en/Search?viewData= G/TBT/N/RUS/161"," G/TBT/N/RUS/161")</f>
      </c>
      <c r="D87" s="8" t="s">
        <v>486</v>
      </c>
      <c r="E87" s="8" t="s">
        <v>487</v>
      </c>
      <c r="F87" s="8" t="s">
        <v>488</v>
      </c>
      <c r="G87" s="8" t="s">
        <v>36</v>
      </c>
      <c r="H87" s="8" t="s">
        <v>489</v>
      </c>
      <c r="I87" s="8" t="s">
        <v>164</v>
      </c>
      <c r="J87" s="8" t="s">
        <v>36</v>
      </c>
      <c r="K87" s="6"/>
      <c r="L87" s="7">
        <v>45503</v>
      </c>
      <c r="M87" s="6" t="s">
        <v>51</v>
      </c>
      <c r="N87" s="6"/>
      <c r="O87" s="6">
        <f>HYPERLINK("https://docs.wto.org/imrd/directdoc.asp?DDFDocuments/t/G/TBTN24/RUS161.DOCX", "https://docs.wto.org/imrd/directdoc.asp?DDFDocuments/t/G/TBTN24/RUS161.DOCX")</f>
      </c>
      <c r="P87" s="6">
        <f>HYPERLINK("https://docs.wto.org/imrd/directdoc.asp?DDFDocuments/u/G/TBTN24/RUS161.DOCX", "https://docs.wto.org/imrd/directdoc.asp?DDFDocuments/u/G/TBTN24/RUS161.DOCX")</f>
      </c>
      <c r="Q87" s="6">
        <f>HYPERLINK("https://docs.wto.org/imrd/directdoc.asp?DDFDocuments/v/G/TBTN24/RUS161.DOCX", "https://docs.wto.org/imrd/directdoc.asp?DDFDocuments/v/G/TBTN24/RUS161.DOCX")</f>
      </c>
      <c r="R87" s="0" t="s">
        <v>43</v>
      </c>
      <c r="S87" s="0" t="s">
        <v>42</v>
      </c>
      <c r="T87" s="0" t="s">
        <v>42</v>
      </c>
      <c r="U87" s="0" t="s">
        <v>42</v>
      </c>
      <c r="V87" s="0" t="s">
        <v>42</v>
      </c>
      <c r="W87" s="0" t="s">
        <v>42</v>
      </c>
      <c r="X87" s="0" t="s">
        <v>42</v>
      </c>
      <c r="Y87" s="2" t="s">
        <v>487</v>
      </c>
      <c r="Z87" s="0" t="s">
        <v>36</v>
      </c>
      <c r="AA87" s="0" t="s">
        <v>36</v>
      </c>
      <c r="AB87" s="0" t="s">
        <v>36</v>
      </c>
      <c r="AC87" s="0" t="s">
        <v>36</v>
      </c>
      <c r="AD87" s="0" t="s">
        <v>36</v>
      </c>
      <c r="AE87" s="2" t="s">
        <v>36</v>
      </c>
    </row>
    <row r="88">
      <c r="A88" s="6" t="s">
        <v>31</v>
      </c>
      <c r="B88" s="7">
        <v>45442</v>
      </c>
      <c r="C88" s="9">
        <f>HYPERLINK("https://www.epingalert.org/en/Search?viewData= G/SPS/N/RUS/282"," G/SPS/N/RUS/282")</f>
      </c>
      <c r="D88" s="8" t="s">
        <v>490</v>
      </c>
      <c r="E88" s="8" t="s">
        <v>491</v>
      </c>
      <c r="F88" s="8" t="s">
        <v>492</v>
      </c>
      <c r="G88" s="8" t="s">
        <v>493</v>
      </c>
      <c r="H88" s="8" t="s">
        <v>36</v>
      </c>
      <c r="I88" s="8" t="s">
        <v>37</v>
      </c>
      <c r="J88" s="8" t="s">
        <v>366</v>
      </c>
      <c r="K88" s="6" t="s">
        <v>494</v>
      </c>
      <c r="L88" s="7" t="s">
        <v>36</v>
      </c>
      <c r="M88" s="6" t="s">
        <v>40</v>
      </c>
      <c r="N88" s="8" t="s">
        <v>495</v>
      </c>
      <c r="O88" s="6">
        <f>HYPERLINK("https://docs.wto.org/imrd/directdoc.asp?DDFDocuments/t/G/SPS/NRUS282.DOCX", "https://docs.wto.org/imrd/directdoc.asp?DDFDocuments/t/G/SPS/NRUS282.DOCX")</f>
      </c>
      <c r="P88" s="6">
        <f>HYPERLINK("https://docs.wto.org/imrd/directdoc.asp?DDFDocuments/u/G/SPS/NRUS282.DOCX", "https://docs.wto.org/imrd/directdoc.asp?DDFDocuments/u/G/SPS/NRUS282.DOCX")</f>
      </c>
      <c r="Q88" s="6">
        <f>HYPERLINK("https://docs.wto.org/imrd/directdoc.asp?DDFDocuments/v/G/SPS/NRUS282.DOCX", "https://docs.wto.org/imrd/directdoc.asp?DDFDocuments/v/G/SPS/NRUS282.DOCX")</f>
      </c>
      <c r="R88" s="0" t="s">
        <v>36</v>
      </c>
      <c r="S88" s="0" t="s">
        <v>36</v>
      </c>
      <c r="T88" s="0" t="s">
        <v>36</v>
      </c>
      <c r="U88" s="0" t="s">
        <v>36</v>
      </c>
      <c r="V88" s="0" t="s">
        <v>36</v>
      </c>
      <c r="W88" s="0" t="s">
        <v>36</v>
      </c>
      <c r="X88" s="0" t="s">
        <v>36</v>
      </c>
      <c r="Y88" s="2" t="s">
        <v>36</v>
      </c>
      <c r="Z88" s="0" t="s">
        <v>42</v>
      </c>
      <c r="AA88" s="0" t="s">
        <v>43</v>
      </c>
      <c r="AB88" s="0" t="s">
        <v>42</v>
      </c>
      <c r="AC88" s="0" t="s">
        <v>42</v>
      </c>
      <c r="AD88" s="0" t="s">
        <v>43</v>
      </c>
      <c r="AE88" s="2" t="s">
        <v>36</v>
      </c>
    </row>
    <row r="89">
      <c r="A89" s="6" t="s">
        <v>31</v>
      </c>
      <c r="B89" s="7">
        <v>45434</v>
      </c>
      <c r="C89" s="9">
        <f>HYPERLINK("https://www.epingalert.org/en/Search?viewData= G/TBT/N/RUS/160"," G/TBT/N/RUS/160")</f>
      </c>
      <c r="D89" s="8" t="s">
        <v>496</v>
      </c>
      <c r="E89" s="8" t="s">
        <v>497</v>
      </c>
      <c r="F89" s="8" t="s">
        <v>498</v>
      </c>
      <c r="G89" s="8" t="s">
        <v>36</v>
      </c>
      <c r="H89" s="8" t="s">
        <v>141</v>
      </c>
      <c r="I89" s="8" t="s">
        <v>57</v>
      </c>
      <c r="J89" s="8" t="s">
        <v>36</v>
      </c>
      <c r="K89" s="6"/>
      <c r="L89" s="7">
        <v>45459</v>
      </c>
      <c r="M89" s="6" t="s">
        <v>51</v>
      </c>
      <c r="N89" s="6"/>
      <c r="O89" s="6">
        <f>HYPERLINK("https://docs.wto.org/imrd/directdoc.asp?DDFDocuments/t/G/TBTN24/RUS160.DOCX", "https://docs.wto.org/imrd/directdoc.asp?DDFDocuments/t/G/TBTN24/RUS160.DOCX")</f>
      </c>
      <c r="P89" s="6">
        <f>HYPERLINK("https://docs.wto.org/imrd/directdoc.asp?DDFDocuments/u/G/TBTN24/RUS160.DOCX", "https://docs.wto.org/imrd/directdoc.asp?DDFDocuments/u/G/TBTN24/RUS160.DOCX")</f>
      </c>
      <c r="Q89" s="6">
        <f>HYPERLINK("https://docs.wto.org/imrd/directdoc.asp?DDFDocuments/v/G/TBTN24/RUS160.DOCX", "https://docs.wto.org/imrd/directdoc.asp?DDFDocuments/v/G/TBTN24/RUS160.DOCX")</f>
      </c>
      <c r="R89" s="0" t="s">
        <v>43</v>
      </c>
      <c r="S89" s="0" t="s">
        <v>42</v>
      </c>
      <c r="T89" s="0" t="s">
        <v>42</v>
      </c>
      <c r="U89" s="0" t="s">
        <v>42</v>
      </c>
      <c r="V89" s="0" t="s">
        <v>42</v>
      </c>
      <c r="W89" s="0" t="s">
        <v>42</v>
      </c>
      <c r="X89" s="0" t="s">
        <v>42</v>
      </c>
      <c r="Y89" s="2" t="s">
        <v>499</v>
      </c>
      <c r="Z89" s="0" t="s">
        <v>36</v>
      </c>
      <c r="AA89" s="0" t="s">
        <v>36</v>
      </c>
      <c r="AB89" s="0" t="s">
        <v>36</v>
      </c>
      <c r="AC89" s="0" t="s">
        <v>36</v>
      </c>
      <c r="AD89" s="0" t="s">
        <v>36</v>
      </c>
      <c r="AE89" s="2" t="s">
        <v>36</v>
      </c>
    </row>
    <row r="90">
      <c r="A90" s="6" t="s">
        <v>31</v>
      </c>
      <c r="B90" s="7">
        <v>45401</v>
      </c>
      <c r="C90" s="9">
        <f>HYPERLINK("https://www.epingalert.org/en/Search?viewData= G/SPS/N/RUS/281"," G/SPS/N/RUS/281")</f>
      </c>
      <c r="D90" s="8" t="s">
        <v>500</v>
      </c>
      <c r="E90" s="8" t="s">
        <v>501</v>
      </c>
      <c r="F90" s="8" t="s">
        <v>220</v>
      </c>
      <c r="G90" s="8" t="s">
        <v>36</v>
      </c>
      <c r="H90" s="8" t="s">
        <v>36</v>
      </c>
      <c r="I90" s="8" t="s">
        <v>37</v>
      </c>
      <c r="J90" s="8" t="s">
        <v>38</v>
      </c>
      <c r="K90" s="6" t="s">
        <v>36</v>
      </c>
      <c r="L90" s="7">
        <v>45429</v>
      </c>
      <c r="M90" s="6" t="s">
        <v>51</v>
      </c>
      <c r="N90" s="8" t="s">
        <v>502</v>
      </c>
      <c r="O90" s="6">
        <f>HYPERLINK("https://docs.wto.org/imrd/directdoc.asp?DDFDocuments/t/G/SPS/NRUS281.DOCX", "https://docs.wto.org/imrd/directdoc.asp?DDFDocuments/t/G/SPS/NRUS281.DOCX")</f>
      </c>
      <c r="P90" s="6">
        <f>HYPERLINK("https://docs.wto.org/imrd/directdoc.asp?DDFDocuments/u/G/SPS/NRUS281.DOCX", "https://docs.wto.org/imrd/directdoc.asp?DDFDocuments/u/G/SPS/NRUS281.DOCX")</f>
      </c>
      <c r="Q90" s="6">
        <f>HYPERLINK("https://docs.wto.org/imrd/directdoc.asp?DDFDocuments/v/G/SPS/NRUS281.DOCX", "https://docs.wto.org/imrd/directdoc.asp?DDFDocuments/v/G/SPS/NRUS281.DOCX")</f>
      </c>
      <c r="R90" s="0" t="s">
        <v>36</v>
      </c>
      <c r="S90" s="0" t="s">
        <v>36</v>
      </c>
      <c r="T90" s="0" t="s">
        <v>36</v>
      </c>
      <c r="U90" s="0" t="s">
        <v>36</v>
      </c>
      <c r="V90" s="0" t="s">
        <v>36</v>
      </c>
      <c r="W90" s="0" t="s">
        <v>36</v>
      </c>
      <c r="X90" s="0" t="s">
        <v>36</v>
      </c>
      <c r="Y90" s="2" t="s">
        <v>36</v>
      </c>
      <c r="Z90" s="0" t="s">
        <v>42</v>
      </c>
      <c r="AA90" s="0" t="s">
        <v>43</v>
      </c>
      <c r="AB90" s="0" t="s">
        <v>42</v>
      </c>
      <c r="AC90" s="0" t="s">
        <v>42</v>
      </c>
      <c r="AD90" s="0" t="s">
        <v>43</v>
      </c>
      <c r="AE90" s="2" t="s">
        <v>36</v>
      </c>
    </row>
    <row r="91">
      <c r="A91" s="6" t="s">
        <v>31</v>
      </c>
      <c r="B91" s="7">
        <v>45401</v>
      </c>
      <c r="C91" s="9">
        <f>HYPERLINK("https://www.epingalert.org/en/Search?viewData= G/SPS/N/RUS/280"," G/SPS/N/RUS/280")</f>
      </c>
      <c r="D91" s="8" t="s">
        <v>503</v>
      </c>
      <c r="E91" s="8" t="s">
        <v>504</v>
      </c>
      <c r="F91" s="8" t="s">
        <v>408</v>
      </c>
      <c r="G91" s="8" t="s">
        <v>36</v>
      </c>
      <c r="H91" s="8" t="s">
        <v>36</v>
      </c>
      <c r="I91" s="8" t="s">
        <v>505</v>
      </c>
      <c r="J91" s="8" t="s">
        <v>506</v>
      </c>
      <c r="K91" s="6" t="s">
        <v>36</v>
      </c>
      <c r="L91" s="7">
        <v>45461</v>
      </c>
      <c r="M91" s="6" t="s">
        <v>51</v>
      </c>
      <c r="N91" s="8" t="s">
        <v>507</v>
      </c>
      <c r="O91" s="6">
        <f>HYPERLINK("https://docs.wto.org/imrd/directdoc.asp?DDFDocuments/t/G/SPS/NRUS280.DOCX", "https://docs.wto.org/imrd/directdoc.asp?DDFDocuments/t/G/SPS/NRUS280.DOCX")</f>
      </c>
      <c r="P91" s="6">
        <f>HYPERLINK("https://docs.wto.org/imrd/directdoc.asp?DDFDocuments/u/G/SPS/NRUS280.DOCX", "https://docs.wto.org/imrd/directdoc.asp?DDFDocuments/u/G/SPS/NRUS280.DOCX")</f>
      </c>
      <c r="Q91" s="6">
        <f>HYPERLINK("https://docs.wto.org/imrd/directdoc.asp?DDFDocuments/v/G/SPS/NRUS280.DOCX", "https://docs.wto.org/imrd/directdoc.asp?DDFDocuments/v/G/SPS/NRUS280.DOCX")</f>
      </c>
      <c r="R91" s="0" t="s">
        <v>36</v>
      </c>
      <c r="S91" s="0" t="s">
        <v>36</v>
      </c>
      <c r="T91" s="0" t="s">
        <v>36</v>
      </c>
      <c r="U91" s="0" t="s">
        <v>36</v>
      </c>
      <c r="V91" s="0" t="s">
        <v>36</v>
      </c>
      <c r="W91" s="0" t="s">
        <v>36</v>
      </c>
      <c r="X91" s="0" t="s">
        <v>36</v>
      </c>
      <c r="Y91" s="2" t="s">
        <v>36</v>
      </c>
      <c r="Z91" s="0" t="s">
        <v>42</v>
      </c>
      <c r="AA91" s="0" t="s">
        <v>42</v>
      </c>
      <c r="AB91" s="0" t="s">
        <v>43</v>
      </c>
      <c r="AC91" s="0" t="s">
        <v>42</v>
      </c>
      <c r="AD91" s="0" t="s">
        <v>43</v>
      </c>
      <c r="AE91" s="2" t="s">
        <v>36</v>
      </c>
    </row>
    <row r="92">
      <c r="A92" s="6" t="s">
        <v>31</v>
      </c>
      <c r="B92" s="7">
        <v>45401</v>
      </c>
      <c r="C92" s="9">
        <f>HYPERLINK("https://www.epingalert.org/en/Search?viewData= G/SPS/N/RUS/188/Add.3"," G/SPS/N/RUS/188/Add.3")</f>
      </c>
      <c r="D92" s="8" t="s">
        <v>508</v>
      </c>
      <c r="E92" s="8" t="s">
        <v>509</v>
      </c>
      <c r="F92" s="8" t="s">
        <v>330</v>
      </c>
      <c r="G92" s="8" t="s">
        <v>510</v>
      </c>
      <c r="H92" s="8" t="s">
        <v>36</v>
      </c>
      <c r="I92" s="8" t="s">
        <v>332</v>
      </c>
      <c r="J92" s="8" t="s">
        <v>333</v>
      </c>
      <c r="K92" s="6"/>
      <c r="L92" s="7" t="s">
        <v>36</v>
      </c>
      <c r="M92" s="6" t="s">
        <v>179</v>
      </c>
      <c r="N92" s="8" t="s">
        <v>511</v>
      </c>
      <c r="O92" s="6">
        <f>HYPERLINK("https://docs.wto.org/imrd/directdoc.asp?DDFDocuments/t/G/SPS/NRUS188A3.DOCX", "https://docs.wto.org/imrd/directdoc.asp?DDFDocuments/t/G/SPS/NRUS188A3.DOCX")</f>
      </c>
      <c r="P92" s="6">
        <f>HYPERLINK("https://docs.wto.org/imrd/directdoc.asp?DDFDocuments/u/G/SPS/NRUS188A3.DOCX", "https://docs.wto.org/imrd/directdoc.asp?DDFDocuments/u/G/SPS/NRUS188A3.DOCX")</f>
      </c>
      <c r="Q92" s="6">
        <f>HYPERLINK("https://docs.wto.org/imrd/directdoc.asp?DDFDocuments/v/G/SPS/NRUS188A3.DOCX", "https://docs.wto.org/imrd/directdoc.asp?DDFDocuments/v/G/SPS/NRUS188A3.DOCX")</f>
      </c>
      <c r="R92" s="0" t="s">
        <v>36</v>
      </c>
      <c r="S92" s="0" t="s">
        <v>36</v>
      </c>
      <c r="T92" s="0" t="s">
        <v>36</v>
      </c>
      <c r="U92" s="0" t="s">
        <v>36</v>
      </c>
      <c r="V92" s="0" t="s">
        <v>36</v>
      </c>
      <c r="W92" s="0" t="s">
        <v>36</v>
      </c>
      <c r="X92" s="0" t="s">
        <v>36</v>
      </c>
      <c r="Y92" s="2" t="s">
        <v>36</v>
      </c>
      <c r="Z92" s="0" t="s">
        <v>36</v>
      </c>
      <c r="AA92" s="0" t="s">
        <v>36</v>
      </c>
      <c r="AB92" s="0" t="s">
        <v>36</v>
      </c>
      <c r="AC92" s="0" t="s">
        <v>36</v>
      </c>
      <c r="AD92" s="0" t="s">
        <v>36</v>
      </c>
      <c r="AE92" s="2" t="s">
        <v>36</v>
      </c>
    </row>
    <row r="93">
      <c r="A93" s="6" t="s">
        <v>31</v>
      </c>
      <c r="B93" s="7">
        <v>45392</v>
      </c>
      <c r="C93" s="9">
        <f>HYPERLINK("https://www.epingalert.org/en/Search?viewData= G/TBT/N/RUS/159"," G/TBT/N/RUS/159")</f>
      </c>
      <c r="D93" s="8" t="s">
        <v>512</v>
      </c>
      <c r="E93" s="8" t="s">
        <v>513</v>
      </c>
      <c r="F93" s="8" t="s">
        <v>514</v>
      </c>
      <c r="G93" s="8" t="s">
        <v>515</v>
      </c>
      <c r="H93" s="8" t="s">
        <v>141</v>
      </c>
      <c r="I93" s="8" t="s">
        <v>57</v>
      </c>
      <c r="J93" s="8" t="s">
        <v>516</v>
      </c>
      <c r="K93" s="6"/>
      <c r="L93" s="7">
        <v>45416</v>
      </c>
      <c r="M93" s="6" t="s">
        <v>51</v>
      </c>
      <c r="N93" s="6"/>
      <c r="O93" s="6">
        <f>HYPERLINK("https://docs.wto.org/imrd/directdoc.asp?DDFDocuments/t/G/TBTN24/RUS159.DOCX", "https://docs.wto.org/imrd/directdoc.asp?DDFDocuments/t/G/TBTN24/RUS159.DOCX")</f>
      </c>
      <c r="P93" s="6">
        <f>HYPERLINK("https://docs.wto.org/imrd/directdoc.asp?DDFDocuments/u/G/TBTN24/RUS159.DOCX", "https://docs.wto.org/imrd/directdoc.asp?DDFDocuments/u/G/TBTN24/RUS159.DOCX")</f>
      </c>
      <c r="Q93" s="6">
        <f>HYPERLINK("https://docs.wto.org/imrd/directdoc.asp?DDFDocuments/v/G/TBTN24/RUS159.DOCX", "https://docs.wto.org/imrd/directdoc.asp?DDFDocuments/v/G/TBTN24/RUS159.DOCX")</f>
      </c>
      <c r="R93" s="0" t="s">
        <v>43</v>
      </c>
      <c r="S93" s="0" t="s">
        <v>42</v>
      </c>
      <c r="T93" s="0" t="s">
        <v>42</v>
      </c>
      <c r="U93" s="0" t="s">
        <v>42</v>
      </c>
      <c r="V93" s="0" t="s">
        <v>42</v>
      </c>
      <c r="W93" s="0" t="s">
        <v>42</v>
      </c>
      <c r="X93" s="0" t="s">
        <v>42</v>
      </c>
      <c r="Y93" s="2" t="s">
        <v>517</v>
      </c>
      <c r="Z93" s="0" t="s">
        <v>36</v>
      </c>
      <c r="AA93" s="0" t="s">
        <v>36</v>
      </c>
      <c r="AB93" s="0" t="s">
        <v>36</v>
      </c>
      <c r="AC93" s="0" t="s">
        <v>36</v>
      </c>
      <c r="AD93" s="0" t="s">
        <v>36</v>
      </c>
      <c r="AE93" s="2" t="s">
        <v>36</v>
      </c>
    </row>
    <row r="94">
      <c r="A94" s="6" t="s">
        <v>31</v>
      </c>
      <c r="B94" s="7">
        <v>45386</v>
      </c>
      <c r="C94" s="9">
        <f>HYPERLINK("https://www.epingalert.org/en/Search?viewData= G/SPS/N/RUS/279"," G/SPS/N/RUS/279")</f>
      </c>
      <c r="D94" s="8" t="s">
        <v>518</v>
      </c>
      <c r="E94" s="8" t="s">
        <v>519</v>
      </c>
      <c r="F94" s="8" t="s">
        <v>357</v>
      </c>
      <c r="G94" s="8" t="s">
        <v>520</v>
      </c>
      <c r="H94" s="8" t="s">
        <v>36</v>
      </c>
      <c r="I94" s="8" t="s">
        <v>37</v>
      </c>
      <c r="J94" s="8" t="s">
        <v>359</v>
      </c>
      <c r="K94" s="6" t="s">
        <v>521</v>
      </c>
      <c r="L94" s="7" t="s">
        <v>36</v>
      </c>
      <c r="M94" s="6" t="s">
        <v>40</v>
      </c>
      <c r="N94" s="8" t="s">
        <v>522</v>
      </c>
      <c r="O94" s="6">
        <f>HYPERLINK("https://docs.wto.org/imrd/directdoc.asp?DDFDocuments/t/G/SPS/NRUS279.DOCX", "https://docs.wto.org/imrd/directdoc.asp?DDFDocuments/t/G/SPS/NRUS279.DOCX")</f>
      </c>
      <c r="P94" s="6">
        <f>HYPERLINK("https://docs.wto.org/imrd/directdoc.asp?DDFDocuments/u/G/SPS/NRUS279.DOCX", "https://docs.wto.org/imrd/directdoc.asp?DDFDocuments/u/G/SPS/NRUS279.DOCX")</f>
      </c>
      <c r="Q94" s="6">
        <f>HYPERLINK("https://docs.wto.org/imrd/directdoc.asp?DDFDocuments/v/G/SPS/NRUS279.DOCX", "https://docs.wto.org/imrd/directdoc.asp?DDFDocuments/v/G/SPS/NRUS279.DOCX")</f>
      </c>
      <c r="R94" s="0" t="s">
        <v>36</v>
      </c>
      <c r="S94" s="0" t="s">
        <v>36</v>
      </c>
      <c r="T94" s="0" t="s">
        <v>36</v>
      </c>
      <c r="U94" s="0" t="s">
        <v>36</v>
      </c>
      <c r="V94" s="0" t="s">
        <v>36</v>
      </c>
      <c r="W94" s="0" t="s">
        <v>36</v>
      </c>
      <c r="X94" s="0" t="s">
        <v>36</v>
      </c>
      <c r="Y94" s="2" t="s">
        <v>36</v>
      </c>
      <c r="Z94" s="0" t="s">
        <v>42</v>
      </c>
      <c r="AA94" s="0" t="s">
        <v>43</v>
      </c>
      <c r="AB94" s="0" t="s">
        <v>42</v>
      </c>
      <c r="AC94" s="0" t="s">
        <v>42</v>
      </c>
      <c r="AD94" s="0" t="s">
        <v>43</v>
      </c>
      <c r="AE94" s="2" t="s">
        <v>36</v>
      </c>
    </row>
    <row r="95">
      <c r="A95" s="6" t="s">
        <v>31</v>
      </c>
      <c r="B95" s="7">
        <v>45372</v>
      </c>
      <c r="C95" s="9">
        <f>HYPERLINK("https://www.epingalert.org/en/Search?viewData= G/SPS/N/RUS/278"," G/SPS/N/RUS/278")</f>
      </c>
      <c r="D95" s="8" t="s">
        <v>523</v>
      </c>
      <c r="E95" s="8" t="s">
        <v>524</v>
      </c>
      <c r="F95" s="8" t="s">
        <v>220</v>
      </c>
      <c r="G95" s="8" t="s">
        <v>525</v>
      </c>
      <c r="H95" s="8" t="s">
        <v>36</v>
      </c>
      <c r="I95" s="8" t="s">
        <v>37</v>
      </c>
      <c r="J95" s="8" t="s">
        <v>38</v>
      </c>
      <c r="K95" s="6" t="s">
        <v>36</v>
      </c>
      <c r="L95" s="7">
        <v>45432</v>
      </c>
      <c r="M95" s="6" t="s">
        <v>51</v>
      </c>
      <c r="N95" s="8" t="s">
        <v>526</v>
      </c>
      <c r="O95" s="6">
        <f>HYPERLINK("https://docs.wto.org/imrd/directdoc.asp?DDFDocuments/t/G/SPS/NRUS278.DOCX", "https://docs.wto.org/imrd/directdoc.asp?DDFDocuments/t/G/SPS/NRUS278.DOCX")</f>
      </c>
      <c r="P95" s="6">
        <f>HYPERLINK("https://docs.wto.org/imrd/directdoc.asp?DDFDocuments/u/G/SPS/NRUS278.DOCX", "https://docs.wto.org/imrd/directdoc.asp?DDFDocuments/u/G/SPS/NRUS278.DOCX")</f>
      </c>
      <c r="Q95" s="6">
        <f>HYPERLINK("https://docs.wto.org/imrd/directdoc.asp?DDFDocuments/v/G/SPS/NRUS278.DOCX", "https://docs.wto.org/imrd/directdoc.asp?DDFDocuments/v/G/SPS/NRUS278.DOCX")</f>
      </c>
      <c r="R95" s="0" t="s">
        <v>36</v>
      </c>
      <c r="S95" s="0" t="s">
        <v>36</v>
      </c>
      <c r="T95" s="0" t="s">
        <v>36</v>
      </c>
      <c r="U95" s="0" t="s">
        <v>36</v>
      </c>
      <c r="V95" s="0" t="s">
        <v>36</v>
      </c>
      <c r="W95" s="0" t="s">
        <v>36</v>
      </c>
      <c r="X95" s="0" t="s">
        <v>36</v>
      </c>
      <c r="Y95" s="2" t="s">
        <v>36</v>
      </c>
      <c r="Z95" s="0" t="s">
        <v>42</v>
      </c>
      <c r="AA95" s="0" t="s">
        <v>43</v>
      </c>
      <c r="AB95" s="0" t="s">
        <v>42</v>
      </c>
      <c r="AC95" s="0" t="s">
        <v>42</v>
      </c>
      <c r="AD95" s="0" t="s">
        <v>43</v>
      </c>
      <c r="AE95" s="2" t="s">
        <v>36</v>
      </c>
    </row>
    <row r="96">
      <c r="A96" s="6" t="s">
        <v>31</v>
      </c>
      <c r="B96" s="7">
        <v>45351</v>
      </c>
      <c r="C96" s="9">
        <f>HYPERLINK("https://www.epingalert.org/en/Search?viewData= G/TBT/N/RUS/158"," G/TBT/N/RUS/158")</f>
      </c>
      <c r="D96" s="8" t="s">
        <v>527</v>
      </c>
      <c r="E96" s="8" t="s">
        <v>528</v>
      </c>
      <c r="F96" s="8" t="s">
        <v>498</v>
      </c>
      <c r="G96" s="8" t="s">
        <v>36</v>
      </c>
      <c r="H96" s="8" t="s">
        <v>141</v>
      </c>
      <c r="I96" s="8" t="s">
        <v>57</v>
      </c>
      <c r="J96" s="8" t="s">
        <v>58</v>
      </c>
      <c r="K96" s="6"/>
      <c r="L96" s="7">
        <v>45367</v>
      </c>
      <c r="M96" s="6" t="s">
        <v>51</v>
      </c>
      <c r="N96" s="6"/>
      <c r="O96" s="6">
        <f>HYPERLINK("https://docs.wto.org/imrd/directdoc.asp?DDFDocuments/t/G/TBTN24/RUS158.DOCX", "https://docs.wto.org/imrd/directdoc.asp?DDFDocuments/t/G/TBTN24/RUS158.DOCX")</f>
      </c>
      <c r="P96" s="6">
        <f>HYPERLINK("https://docs.wto.org/imrd/directdoc.asp?DDFDocuments/u/G/TBTN24/RUS158.DOCX", "https://docs.wto.org/imrd/directdoc.asp?DDFDocuments/u/G/TBTN24/RUS158.DOCX")</f>
      </c>
      <c r="Q96" s="6">
        <f>HYPERLINK("https://docs.wto.org/imrd/directdoc.asp?DDFDocuments/v/G/TBTN24/RUS158.DOCX", "https://docs.wto.org/imrd/directdoc.asp?DDFDocuments/v/G/TBTN24/RUS158.DOCX")</f>
      </c>
      <c r="R96" s="0" t="s">
        <v>43</v>
      </c>
      <c r="S96" s="0" t="s">
        <v>42</v>
      </c>
      <c r="T96" s="0" t="s">
        <v>42</v>
      </c>
      <c r="U96" s="0" t="s">
        <v>42</v>
      </c>
      <c r="V96" s="0" t="s">
        <v>42</v>
      </c>
      <c r="W96" s="0" t="s">
        <v>42</v>
      </c>
      <c r="X96" s="0" t="s">
        <v>42</v>
      </c>
      <c r="Y96" s="2" t="s">
        <v>529</v>
      </c>
      <c r="Z96" s="0" t="s">
        <v>36</v>
      </c>
      <c r="AA96" s="0" t="s">
        <v>36</v>
      </c>
      <c r="AB96" s="0" t="s">
        <v>36</v>
      </c>
      <c r="AC96" s="0" t="s">
        <v>36</v>
      </c>
      <c r="AD96" s="0" t="s">
        <v>36</v>
      </c>
      <c r="AE96" s="2" t="s">
        <v>36</v>
      </c>
    </row>
    <row r="97">
      <c r="A97" s="6" t="s">
        <v>31</v>
      </c>
      <c r="B97" s="7">
        <v>45324</v>
      </c>
      <c r="C97" s="9">
        <f>HYPERLINK("https://www.epingalert.org/en/Search?viewData= G/TBT/N/RUS/156"," G/TBT/N/RUS/156")</f>
      </c>
      <c r="D97" s="8" t="s">
        <v>530</v>
      </c>
      <c r="E97" s="8" t="s">
        <v>531</v>
      </c>
      <c r="F97" s="8" t="s">
        <v>532</v>
      </c>
      <c r="G97" s="8" t="s">
        <v>533</v>
      </c>
      <c r="H97" s="8" t="s">
        <v>534</v>
      </c>
      <c r="I97" s="8" t="s">
        <v>57</v>
      </c>
      <c r="J97" s="8" t="s">
        <v>120</v>
      </c>
      <c r="K97" s="6"/>
      <c r="L97" s="7">
        <v>45401</v>
      </c>
      <c r="M97" s="6" t="s">
        <v>51</v>
      </c>
      <c r="N97" s="6"/>
      <c r="O97" s="6">
        <f>HYPERLINK("https://docs.wto.org/imrd/directdoc.asp?DDFDocuments/t/G/TBTN24/RUS156.DOCX", "https://docs.wto.org/imrd/directdoc.asp?DDFDocuments/t/G/TBTN24/RUS156.DOCX")</f>
      </c>
      <c r="P97" s="6">
        <f>HYPERLINK("https://docs.wto.org/imrd/directdoc.asp?DDFDocuments/u/G/TBTN24/RUS156.DOCX", "https://docs.wto.org/imrd/directdoc.asp?DDFDocuments/u/G/TBTN24/RUS156.DOCX")</f>
      </c>
      <c r="Q97" s="6">
        <f>HYPERLINK("https://docs.wto.org/imrd/directdoc.asp?DDFDocuments/v/G/TBTN24/RUS156.DOCX", "https://docs.wto.org/imrd/directdoc.asp?DDFDocuments/v/G/TBTN24/RUS156.DOCX")</f>
      </c>
      <c r="R97" s="0" t="s">
        <v>43</v>
      </c>
      <c r="S97" s="0" t="s">
        <v>42</v>
      </c>
      <c r="T97" s="0" t="s">
        <v>42</v>
      </c>
      <c r="U97" s="0" t="s">
        <v>42</v>
      </c>
      <c r="V97" s="0" t="s">
        <v>42</v>
      </c>
      <c r="W97" s="0" t="s">
        <v>42</v>
      </c>
      <c r="X97" s="0" t="s">
        <v>42</v>
      </c>
      <c r="Y97" s="2" t="s">
        <v>535</v>
      </c>
      <c r="Z97" s="0" t="s">
        <v>36</v>
      </c>
      <c r="AA97" s="0" t="s">
        <v>36</v>
      </c>
      <c r="AB97" s="0" t="s">
        <v>36</v>
      </c>
      <c r="AC97" s="0" t="s">
        <v>36</v>
      </c>
      <c r="AD97" s="0" t="s">
        <v>36</v>
      </c>
      <c r="AE97" s="2" t="s">
        <v>36</v>
      </c>
    </row>
    <row r="98">
      <c r="A98" s="6" t="s">
        <v>31</v>
      </c>
      <c r="B98" s="7">
        <v>45324</v>
      </c>
      <c r="C98" s="9">
        <f>HYPERLINK("https://www.epingalert.org/en/Search?viewData= G/TBT/N/RUS/157"," G/TBT/N/RUS/157")</f>
      </c>
      <c r="D98" s="8" t="s">
        <v>536</v>
      </c>
      <c r="E98" s="8" t="s">
        <v>537</v>
      </c>
      <c r="F98" s="8" t="s">
        <v>538</v>
      </c>
      <c r="G98" s="8" t="s">
        <v>36</v>
      </c>
      <c r="H98" s="8" t="s">
        <v>539</v>
      </c>
      <c r="I98" s="8" t="s">
        <v>164</v>
      </c>
      <c r="J98" s="8" t="s">
        <v>36</v>
      </c>
      <c r="K98" s="6"/>
      <c r="L98" s="7">
        <v>45384</v>
      </c>
      <c r="M98" s="6" t="s">
        <v>51</v>
      </c>
      <c r="N98" s="6"/>
      <c r="O98" s="6">
        <f>HYPERLINK("https://docs.wto.org/imrd/directdoc.asp?DDFDocuments/t/G/TBTN24/RUS157.DOCX", "https://docs.wto.org/imrd/directdoc.asp?DDFDocuments/t/G/TBTN24/RUS157.DOCX")</f>
      </c>
      <c r="P98" s="6">
        <f>HYPERLINK("https://docs.wto.org/imrd/directdoc.asp?DDFDocuments/u/G/TBTN24/RUS157.DOCX", "https://docs.wto.org/imrd/directdoc.asp?DDFDocuments/u/G/TBTN24/RUS157.DOCX")</f>
      </c>
      <c r="Q98" s="6">
        <f>HYPERLINK("https://docs.wto.org/imrd/directdoc.asp?DDFDocuments/v/G/TBTN24/RUS157.DOCX", "https://docs.wto.org/imrd/directdoc.asp?DDFDocuments/v/G/TBTN24/RUS157.DOCX")</f>
      </c>
      <c r="R98" s="0" t="s">
        <v>43</v>
      </c>
      <c r="S98" s="0" t="s">
        <v>42</v>
      </c>
      <c r="T98" s="0" t="s">
        <v>42</v>
      </c>
      <c r="U98" s="0" t="s">
        <v>42</v>
      </c>
      <c r="V98" s="0" t="s">
        <v>42</v>
      </c>
      <c r="W98" s="0" t="s">
        <v>42</v>
      </c>
      <c r="X98" s="0" t="s">
        <v>42</v>
      </c>
      <c r="Y98" s="2" t="s">
        <v>540</v>
      </c>
      <c r="Z98" s="0" t="s">
        <v>36</v>
      </c>
      <c r="AA98" s="0" t="s">
        <v>36</v>
      </c>
      <c r="AB98" s="0" t="s">
        <v>36</v>
      </c>
      <c r="AC98" s="0" t="s">
        <v>36</v>
      </c>
      <c r="AD98" s="0" t="s">
        <v>36</v>
      </c>
      <c r="AE98" s="2" t="s">
        <v>36</v>
      </c>
    </row>
    <row r="99">
      <c r="A99" s="6" t="s">
        <v>31</v>
      </c>
      <c r="B99" s="7">
        <v>45295</v>
      </c>
      <c r="C99" s="9">
        <f>HYPERLINK("https://www.epingalert.org/en/Search?viewData= G/TBT/N/RUS/155"," G/TBT/N/RUS/155")</f>
      </c>
      <c r="D99" s="8" t="s">
        <v>541</v>
      </c>
      <c r="E99" s="8" t="s">
        <v>542</v>
      </c>
      <c r="F99" s="8" t="s">
        <v>543</v>
      </c>
      <c r="G99" s="8" t="s">
        <v>515</v>
      </c>
      <c r="H99" s="8" t="s">
        <v>141</v>
      </c>
      <c r="I99" s="8" t="s">
        <v>57</v>
      </c>
      <c r="J99" s="8" t="s">
        <v>58</v>
      </c>
      <c r="K99" s="6"/>
      <c r="L99" s="7">
        <v>45309</v>
      </c>
      <c r="M99" s="6" t="s">
        <v>51</v>
      </c>
      <c r="N99" s="8" t="s">
        <v>544</v>
      </c>
      <c r="O99" s="6">
        <f>HYPERLINK("https://docs.wto.org/imrd/directdoc.asp?DDFDocuments/t/G/TBTN24/RUS155.DOCX", "https://docs.wto.org/imrd/directdoc.asp?DDFDocuments/t/G/TBTN24/RUS155.DOCX")</f>
      </c>
      <c r="P99" s="6">
        <f>HYPERLINK("https://docs.wto.org/imrd/directdoc.asp?DDFDocuments/u/G/TBTN24/RUS155.DOCX", "https://docs.wto.org/imrd/directdoc.asp?DDFDocuments/u/G/TBTN24/RUS155.DOCX")</f>
      </c>
      <c r="Q99" s="6">
        <f>HYPERLINK("https://docs.wto.org/imrd/directdoc.asp?DDFDocuments/v/G/TBTN24/RUS155.DOCX", "https://docs.wto.org/imrd/directdoc.asp?DDFDocuments/v/G/TBTN24/RUS155.DOCX")</f>
      </c>
      <c r="R99" s="0" t="s">
        <v>43</v>
      </c>
      <c r="S99" s="0" t="s">
        <v>42</v>
      </c>
      <c r="T99" s="0" t="s">
        <v>42</v>
      </c>
      <c r="U99" s="0" t="s">
        <v>42</v>
      </c>
      <c r="V99" s="0" t="s">
        <v>42</v>
      </c>
      <c r="W99" s="0" t="s">
        <v>42</v>
      </c>
      <c r="X99" s="0" t="s">
        <v>42</v>
      </c>
      <c r="Y99" s="2" t="s">
        <v>545</v>
      </c>
      <c r="Z99" s="0" t="s">
        <v>36</v>
      </c>
      <c r="AA99" s="0" t="s">
        <v>36</v>
      </c>
      <c r="AB99" s="0" t="s">
        <v>36</v>
      </c>
      <c r="AC99" s="0" t="s">
        <v>36</v>
      </c>
      <c r="AD99" s="0" t="s">
        <v>36</v>
      </c>
      <c r="AE99" s="2" t="s">
        <v>36</v>
      </c>
    </row>
    <row r="100">
      <c r="A100" s="6" t="s">
        <v>31</v>
      </c>
      <c r="B100" s="7">
        <v>45279</v>
      </c>
      <c r="C100" s="9">
        <f>HYPERLINK("https://www.epingalert.org/en/Search?viewData= G/SPS/N/RUS/277"," G/SPS/N/RUS/277")</f>
      </c>
      <c r="D100" s="8" t="s">
        <v>546</v>
      </c>
      <c r="E100" s="8" t="s">
        <v>547</v>
      </c>
      <c r="F100" s="8" t="s">
        <v>548</v>
      </c>
      <c r="G100" s="8" t="s">
        <v>549</v>
      </c>
      <c r="H100" s="8" t="s">
        <v>36</v>
      </c>
      <c r="I100" s="8" t="s">
        <v>37</v>
      </c>
      <c r="J100" s="8" t="s">
        <v>550</v>
      </c>
      <c r="K100" s="6" t="s">
        <v>551</v>
      </c>
      <c r="L100" s="7" t="s">
        <v>36</v>
      </c>
      <c r="M100" s="6" t="s">
        <v>40</v>
      </c>
      <c r="N100" s="8" t="s">
        <v>552</v>
      </c>
      <c r="O100" s="6">
        <f>HYPERLINK("https://docs.wto.org/imrd/directdoc.asp?DDFDocuments/t/G/SPS/NRUS277.DOCX", "https://docs.wto.org/imrd/directdoc.asp?DDFDocuments/t/G/SPS/NRUS277.DOCX")</f>
      </c>
      <c r="P100" s="6">
        <f>HYPERLINK("https://docs.wto.org/imrd/directdoc.asp?DDFDocuments/u/G/SPS/NRUS277.DOCX", "https://docs.wto.org/imrd/directdoc.asp?DDFDocuments/u/G/SPS/NRUS277.DOCX")</f>
      </c>
      <c r="Q100" s="6">
        <f>HYPERLINK("https://docs.wto.org/imrd/directdoc.asp?DDFDocuments/v/G/SPS/NRUS277.DOCX", "https://docs.wto.org/imrd/directdoc.asp?DDFDocuments/v/G/SPS/NRUS277.DOCX")</f>
      </c>
      <c r="R100" s="0" t="s">
        <v>36</v>
      </c>
      <c r="S100" s="0" t="s">
        <v>36</v>
      </c>
      <c r="T100" s="0" t="s">
        <v>36</v>
      </c>
      <c r="U100" s="0" t="s">
        <v>36</v>
      </c>
      <c r="V100" s="0" t="s">
        <v>36</v>
      </c>
      <c r="W100" s="0" t="s">
        <v>36</v>
      </c>
      <c r="X100" s="0" t="s">
        <v>36</v>
      </c>
      <c r="Y100" s="2" t="s">
        <v>36</v>
      </c>
      <c r="Z100" s="0" t="s">
        <v>42</v>
      </c>
      <c r="AA100" s="0" t="s">
        <v>43</v>
      </c>
      <c r="AB100" s="0" t="s">
        <v>42</v>
      </c>
      <c r="AC100" s="0" t="s">
        <v>42</v>
      </c>
      <c r="AD100" s="0" t="s">
        <v>43</v>
      </c>
      <c r="AE100" s="2" t="s">
        <v>36</v>
      </c>
    </row>
    <row r="101">
      <c r="A101" s="6" t="s">
        <v>31</v>
      </c>
      <c r="B101" s="7">
        <v>45261</v>
      </c>
      <c r="C101" s="9">
        <f>HYPERLINK("https://www.epingalert.org/en/Search?viewData= G/SPS/N/RUS/276"," G/SPS/N/RUS/276")</f>
      </c>
      <c r="D101" s="8" t="s">
        <v>553</v>
      </c>
      <c r="E101" s="8" t="s">
        <v>554</v>
      </c>
      <c r="F101" s="8" t="s">
        <v>555</v>
      </c>
      <c r="G101" s="8" t="s">
        <v>36</v>
      </c>
      <c r="H101" s="8" t="s">
        <v>36</v>
      </c>
      <c r="I101" s="8" t="s">
        <v>505</v>
      </c>
      <c r="J101" s="8" t="s">
        <v>556</v>
      </c>
      <c r="K101" s="6" t="s">
        <v>210</v>
      </c>
      <c r="L101" s="7" t="s">
        <v>36</v>
      </c>
      <c r="M101" s="6" t="s">
        <v>40</v>
      </c>
      <c r="N101" s="8" t="s">
        <v>557</v>
      </c>
      <c r="O101" s="6">
        <f>HYPERLINK("https://docs.wto.org/imrd/directdoc.asp?DDFDocuments/t/G/SPS/NRUS276.DOCX", "https://docs.wto.org/imrd/directdoc.asp?DDFDocuments/t/G/SPS/NRUS276.DOCX")</f>
      </c>
      <c r="P101" s="6">
        <f>HYPERLINK("https://docs.wto.org/imrd/directdoc.asp?DDFDocuments/u/G/SPS/NRUS276.DOCX", "https://docs.wto.org/imrd/directdoc.asp?DDFDocuments/u/G/SPS/NRUS276.DOCX")</f>
      </c>
      <c r="Q101" s="6">
        <f>HYPERLINK("https://docs.wto.org/imrd/directdoc.asp?DDFDocuments/v/G/SPS/NRUS276.DOCX", "https://docs.wto.org/imrd/directdoc.asp?DDFDocuments/v/G/SPS/NRUS276.DOCX")</f>
      </c>
      <c r="R101" s="0" t="s">
        <v>36</v>
      </c>
      <c r="S101" s="0" t="s">
        <v>36</v>
      </c>
      <c r="T101" s="0" t="s">
        <v>36</v>
      </c>
      <c r="U101" s="0" t="s">
        <v>36</v>
      </c>
      <c r="V101" s="0" t="s">
        <v>36</v>
      </c>
      <c r="W101" s="0" t="s">
        <v>36</v>
      </c>
      <c r="X101" s="0" t="s">
        <v>36</v>
      </c>
      <c r="Y101" s="2" t="s">
        <v>36</v>
      </c>
      <c r="Z101" s="0" t="s">
        <v>42</v>
      </c>
      <c r="AA101" s="0" t="s">
        <v>42</v>
      </c>
      <c r="AB101" s="0" t="s">
        <v>43</v>
      </c>
      <c r="AC101" s="0" t="s">
        <v>42</v>
      </c>
      <c r="AD101" s="0" t="s">
        <v>107</v>
      </c>
      <c r="AE101" s="2" t="s">
        <v>36</v>
      </c>
    </row>
    <row r="102">
      <c r="A102" s="6" t="s">
        <v>31</v>
      </c>
      <c r="B102" s="7">
        <v>45244</v>
      </c>
      <c r="C102" s="9">
        <f>HYPERLINK("https://www.epingalert.org/en/Search?viewData= G/TBT/N/RUS/154"," G/TBT/N/RUS/154")</f>
      </c>
      <c r="D102" s="8" t="s">
        <v>558</v>
      </c>
      <c r="E102" s="8" t="s">
        <v>559</v>
      </c>
      <c r="F102" s="8" t="s">
        <v>498</v>
      </c>
      <c r="G102" s="8" t="s">
        <v>36</v>
      </c>
      <c r="H102" s="8" t="s">
        <v>141</v>
      </c>
      <c r="I102" s="8" t="s">
        <v>78</v>
      </c>
      <c r="J102" s="8" t="s">
        <v>58</v>
      </c>
      <c r="K102" s="6"/>
      <c r="L102" s="7">
        <v>45273</v>
      </c>
      <c r="M102" s="6" t="s">
        <v>51</v>
      </c>
      <c r="N102" s="6"/>
      <c r="O102" s="6">
        <f>HYPERLINK("https://docs.wto.org/imrd/directdoc.asp?DDFDocuments/t/G/TBTN23/RUS154.DOCX", "https://docs.wto.org/imrd/directdoc.asp?DDFDocuments/t/G/TBTN23/RUS154.DOCX")</f>
      </c>
      <c r="P102" s="6">
        <f>HYPERLINK("https://docs.wto.org/imrd/directdoc.asp?DDFDocuments/u/G/TBTN23/RUS154.DOCX", "https://docs.wto.org/imrd/directdoc.asp?DDFDocuments/u/G/TBTN23/RUS154.DOCX")</f>
      </c>
      <c r="Q102" s="6">
        <f>HYPERLINK("https://docs.wto.org/imrd/directdoc.asp?DDFDocuments/v/G/TBTN23/RUS154.DOCX", "https://docs.wto.org/imrd/directdoc.asp?DDFDocuments/v/G/TBTN23/RUS154.DOCX")</f>
      </c>
      <c r="R102" s="0" t="s">
        <v>43</v>
      </c>
      <c r="S102" s="0" t="s">
        <v>42</v>
      </c>
      <c r="T102" s="0" t="s">
        <v>42</v>
      </c>
      <c r="U102" s="0" t="s">
        <v>42</v>
      </c>
      <c r="V102" s="0" t="s">
        <v>42</v>
      </c>
      <c r="W102" s="0" t="s">
        <v>42</v>
      </c>
      <c r="X102" s="0" t="s">
        <v>42</v>
      </c>
      <c r="Y102" s="2" t="s">
        <v>560</v>
      </c>
      <c r="Z102" s="0" t="s">
        <v>36</v>
      </c>
      <c r="AA102" s="0" t="s">
        <v>36</v>
      </c>
      <c r="AB102" s="0" t="s">
        <v>36</v>
      </c>
      <c r="AC102" s="0" t="s">
        <v>36</v>
      </c>
      <c r="AD102" s="0" t="s">
        <v>36</v>
      </c>
      <c r="AE102" s="2" t="s">
        <v>36</v>
      </c>
    </row>
    <row r="103">
      <c r="A103" s="6" t="s">
        <v>31</v>
      </c>
      <c r="B103" s="7">
        <v>45244</v>
      </c>
      <c r="C103" s="9">
        <f>HYPERLINK("https://www.epingalert.org/en/Search?viewData= G/TBT/N/RUS/153"," G/TBT/N/RUS/153")</f>
      </c>
      <c r="D103" s="8" t="s">
        <v>561</v>
      </c>
      <c r="E103" s="8" t="s">
        <v>562</v>
      </c>
      <c r="F103" s="8" t="s">
        <v>563</v>
      </c>
      <c r="G103" s="8" t="s">
        <v>36</v>
      </c>
      <c r="H103" s="8" t="s">
        <v>564</v>
      </c>
      <c r="I103" s="8" t="s">
        <v>57</v>
      </c>
      <c r="J103" s="8" t="s">
        <v>120</v>
      </c>
      <c r="K103" s="6"/>
      <c r="L103" s="7">
        <v>45306</v>
      </c>
      <c r="M103" s="6" t="s">
        <v>51</v>
      </c>
      <c r="N103" s="6"/>
      <c r="O103" s="6">
        <f>HYPERLINK("https://docs.wto.org/imrd/directdoc.asp?DDFDocuments/t/G/TBTN23/RUS153.DOCX", "https://docs.wto.org/imrd/directdoc.asp?DDFDocuments/t/G/TBTN23/RUS153.DOCX")</f>
      </c>
      <c r="P103" s="6">
        <f>HYPERLINK("https://docs.wto.org/imrd/directdoc.asp?DDFDocuments/u/G/TBTN23/RUS153.DOCX", "https://docs.wto.org/imrd/directdoc.asp?DDFDocuments/u/G/TBTN23/RUS153.DOCX")</f>
      </c>
      <c r="Q103" s="6">
        <f>HYPERLINK("https://docs.wto.org/imrd/directdoc.asp?DDFDocuments/v/G/TBTN23/RUS153.DOCX", "https://docs.wto.org/imrd/directdoc.asp?DDFDocuments/v/G/TBTN23/RUS153.DOCX")</f>
      </c>
      <c r="R103" s="0" t="s">
        <v>43</v>
      </c>
      <c r="S103" s="0" t="s">
        <v>42</v>
      </c>
      <c r="T103" s="0" t="s">
        <v>42</v>
      </c>
      <c r="U103" s="0" t="s">
        <v>42</v>
      </c>
      <c r="V103" s="0" t="s">
        <v>42</v>
      </c>
      <c r="W103" s="0" t="s">
        <v>42</v>
      </c>
      <c r="X103" s="0" t="s">
        <v>42</v>
      </c>
      <c r="Y103" s="2" t="s">
        <v>565</v>
      </c>
      <c r="Z103" s="0" t="s">
        <v>36</v>
      </c>
      <c r="AA103" s="0" t="s">
        <v>36</v>
      </c>
      <c r="AB103" s="0" t="s">
        <v>36</v>
      </c>
      <c r="AC103" s="0" t="s">
        <v>36</v>
      </c>
      <c r="AD103" s="0" t="s">
        <v>36</v>
      </c>
      <c r="AE103" s="2" t="s">
        <v>36</v>
      </c>
    </row>
    <row r="104">
      <c r="A104" s="6" t="s">
        <v>31</v>
      </c>
      <c r="B104" s="7">
        <v>45244</v>
      </c>
      <c r="C104" s="9">
        <f>HYPERLINK("https://www.epingalert.org/en/Search?viewData= G/TBT/N/RUS/152"," G/TBT/N/RUS/152")</f>
      </c>
      <c r="D104" s="8" t="s">
        <v>566</v>
      </c>
      <c r="E104" s="8" t="s">
        <v>567</v>
      </c>
      <c r="F104" s="8" t="s">
        <v>568</v>
      </c>
      <c r="G104" s="8" t="s">
        <v>569</v>
      </c>
      <c r="H104" s="8" t="s">
        <v>570</v>
      </c>
      <c r="I104" s="8" t="s">
        <v>57</v>
      </c>
      <c r="J104" s="8" t="s">
        <v>120</v>
      </c>
      <c r="K104" s="6"/>
      <c r="L104" s="7">
        <v>45322</v>
      </c>
      <c r="M104" s="6" t="s">
        <v>51</v>
      </c>
      <c r="N104" s="6"/>
      <c r="O104" s="6">
        <f>HYPERLINK("https://docs.wto.org/imrd/directdoc.asp?DDFDocuments/t/G/TBTN23/RUS152.DOCX", "https://docs.wto.org/imrd/directdoc.asp?DDFDocuments/t/G/TBTN23/RUS152.DOCX")</f>
      </c>
      <c r="P104" s="6">
        <f>HYPERLINK("https://docs.wto.org/imrd/directdoc.asp?DDFDocuments/u/G/TBTN23/RUS152.DOCX", "https://docs.wto.org/imrd/directdoc.asp?DDFDocuments/u/G/TBTN23/RUS152.DOCX")</f>
      </c>
      <c r="Q104" s="6">
        <f>HYPERLINK("https://docs.wto.org/imrd/directdoc.asp?DDFDocuments/v/G/TBTN23/RUS152.DOCX", "https://docs.wto.org/imrd/directdoc.asp?DDFDocuments/v/G/TBTN23/RUS152.DOCX")</f>
      </c>
      <c r="R104" s="0" t="s">
        <v>43</v>
      </c>
      <c r="S104" s="0" t="s">
        <v>42</v>
      </c>
      <c r="T104" s="0" t="s">
        <v>42</v>
      </c>
      <c r="U104" s="0" t="s">
        <v>42</v>
      </c>
      <c r="V104" s="0" t="s">
        <v>42</v>
      </c>
      <c r="W104" s="0" t="s">
        <v>42</v>
      </c>
      <c r="X104" s="0" t="s">
        <v>42</v>
      </c>
      <c r="Y104" s="2" t="s">
        <v>571</v>
      </c>
      <c r="Z104" s="0" t="s">
        <v>36</v>
      </c>
      <c r="AA104" s="0" t="s">
        <v>36</v>
      </c>
      <c r="AB104" s="0" t="s">
        <v>36</v>
      </c>
      <c r="AC104" s="0" t="s">
        <v>36</v>
      </c>
      <c r="AD104" s="0" t="s">
        <v>36</v>
      </c>
      <c r="AE104" s="2" t="s">
        <v>36</v>
      </c>
    </row>
    <row r="105">
      <c r="A105" s="6" t="s">
        <v>31</v>
      </c>
      <c r="B105" s="7">
        <v>45240</v>
      </c>
      <c r="C105" s="9">
        <f>HYPERLINK("https://www.epingalert.org/en/Search?viewData= G/SPS/N/RUS/274"," G/SPS/N/RUS/274")</f>
      </c>
      <c r="D105" s="8" t="s">
        <v>572</v>
      </c>
      <c r="E105" s="8" t="s">
        <v>573</v>
      </c>
      <c r="F105" s="8" t="s">
        <v>408</v>
      </c>
      <c r="G105" s="8" t="s">
        <v>36</v>
      </c>
      <c r="H105" s="8" t="s">
        <v>36</v>
      </c>
      <c r="I105" s="8" t="s">
        <v>505</v>
      </c>
      <c r="J105" s="8" t="s">
        <v>574</v>
      </c>
      <c r="K105" s="6" t="s">
        <v>445</v>
      </c>
      <c r="L105" s="7" t="s">
        <v>36</v>
      </c>
      <c r="M105" s="6" t="s">
        <v>40</v>
      </c>
      <c r="N105" s="8" t="s">
        <v>575</v>
      </c>
      <c r="O105" s="6">
        <f>HYPERLINK("https://docs.wto.org/imrd/directdoc.asp?DDFDocuments/t/G/SPS/NRUS274.DOCX", "https://docs.wto.org/imrd/directdoc.asp?DDFDocuments/t/G/SPS/NRUS274.DOCX")</f>
      </c>
      <c r="P105" s="6">
        <f>HYPERLINK("https://docs.wto.org/imrd/directdoc.asp?DDFDocuments/u/G/SPS/NRUS274.DOCX", "https://docs.wto.org/imrd/directdoc.asp?DDFDocuments/u/G/SPS/NRUS274.DOCX")</f>
      </c>
      <c r="Q105" s="6">
        <f>HYPERLINK("https://docs.wto.org/imrd/directdoc.asp?DDFDocuments/v/G/SPS/NRUS274.DOCX", "https://docs.wto.org/imrd/directdoc.asp?DDFDocuments/v/G/SPS/NRUS274.DOCX")</f>
      </c>
      <c r="R105" s="0" t="s">
        <v>36</v>
      </c>
      <c r="S105" s="0" t="s">
        <v>36</v>
      </c>
      <c r="T105" s="0" t="s">
        <v>36</v>
      </c>
      <c r="U105" s="0" t="s">
        <v>36</v>
      </c>
      <c r="V105" s="0" t="s">
        <v>36</v>
      </c>
      <c r="W105" s="0" t="s">
        <v>36</v>
      </c>
      <c r="X105" s="0" t="s">
        <v>36</v>
      </c>
      <c r="Y105" s="2" t="s">
        <v>36</v>
      </c>
      <c r="Z105" s="0" t="s">
        <v>42</v>
      </c>
      <c r="AA105" s="0" t="s">
        <v>42</v>
      </c>
      <c r="AB105" s="0" t="s">
        <v>43</v>
      </c>
      <c r="AC105" s="0" t="s">
        <v>42</v>
      </c>
      <c r="AD105" s="0" t="s">
        <v>43</v>
      </c>
      <c r="AE105" s="2" t="s">
        <v>36</v>
      </c>
    </row>
    <row r="106">
      <c r="A106" s="6" t="s">
        <v>31</v>
      </c>
      <c r="B106" s="7">
        <v>45240</v>
      </c>
      <c r="C106" s="9">
        <f>HYPERLINK("https://www.epingalert.org/en/Search?viewData= G/SPS/N/RUS/275"," G/SPS/N/RUS/275")</f>
      </c>
      <c r="D106" s="8" t="s">
        <v>576</v>
      </c>
      <c r="E106" s="8" t="s">
        <v>577</v>
      </c>
      <c r="F106" s="8" t="s">
        <v>578</v>
      </c>
      <c r="G106" s="8" t="s">
        <v>111</v>
      </c>
      <c r="H106" s="8" t="s">
        <v>36</v>
      </c>
      <c r="I106" s="8" t="s">
        <v>37</v>
      </c>
      <c r="J106" s="8" t="s">
        <v>38</v>
      </c>
      <c r="K106" s="6" t="s">
        <v>579</v>
      </c>
      <c r="L106" s="7" t="s">
        <v>36</v>
      </c>
      <c r="M106" s="6" t="s">
        <v>40</v>
      </c>
      <c r="N106" s="8" t="s">
        <v>580</v>
      </c>
      <c r="O106" s="6">
        <f>HYPERLINK("https://docs.wto.org/imrd/directdoc.asp?DDFDocuments/t/G/SPS/NRUS275.DOCX", "https://docs.wto.org/imrd/directdoc.asp?DDFDocuments/t/G/SPS/NRUS275.DOCX")</f>
      </c>
      <c r="P106" s="6">
        <f>HYPERLINK("https://docs.wto.org/imrd/directdoc.asp?DDFDocuments/u/G/SPS/NRUS275.DOCX", "https://docs.wto.org/imrd/directdoc.asp?DDFDocuments/u/G/SPS/NRUS275.DOCX")</f>
      </c>
      <c r="Q106" s="6">
        <f>HYPERLINK("https://docs.wto.org/imrd/directdoc.asp?DDFDocuments/v/G/SPS/NRUS275.DOCX", "https://docs.wto.org/imrd/directdoc.asp?DDFDocuments/v/G/SPS/NRUS275.DOCX")</f>
      </c>
      <c r="R106" s="0" t="s">
        <v>36</v>
      </c>
      <c r="S106" s="0" t="s">
        <v>36</v>
      </c>
      <c r="T106" s="0" t="s">
        <v>36</v>
      </c>
      <c r="U106" s="0" t="s">
        <v>36</v>
      </c>
      <c r="V106" s="0" t="s">
        <v>36</v>
      </c>
      <c r="W106" s="0" t="s">
        <v>36</v>
      </c>
      <c r="X106" s="0" t="s">
        <v>36</v>
      </c>
      <c r="Y106" s="2" t="s">
        <v>36</v>
      </c>
      <c r="Z106" s="0" t="s">
        <v>42</v>
      </c>
      <c r="AA106" s="0" t="s">
        <v>43</v>
      </c>
      <c r="AB106" s="0" t="s">
        <v>42</v>
      </c>
      <c r="AC106" s="0" t="s">
        <v>42</v>
      </c>
      <c r="AD106" s="0" t="s">
        <v>43</v>
      </c>
      <c r="AE106" s="2" t="s">
        <v>36</v>
      </c>
    </row>
    <row r="107">
      <c r="A107" s="6" t="s">
        <v>31</v>
      </c>
      <c r="B107" s="7">
        <v>45223</v>
      </c>
      <c r="C107" s="9">
        <f>HYPERLINK("https://www.epingalert.org/en/Search?viewData= G/SPS/N/RUS/273"," G/SPS/N/RUS/273")</f>
      </c>
      <c r="D107" s="8" t="s">
        <v>581</v>
      </c>
      <c r="E107" s="8" t="s">
        <v>582</v>
      </c>
      <c r="F107" s="8" t="s">
        <v>583</v>
      </c>
      <c r="G107" s="8" t="s">
        <v>569</v>
      </c>
      <c r="H107" s="8" t="s">
        <v>36</v>
      </c>
      <c r="I107" s="8" t="s">
        <v>97</v>
      </c>
      <c r="J107" s="8" t="s">
        <v>584</v>
      </c>
      <c r="K107" s="6" t="s">
        <v>85</v>
      </c>
      <c r="L107" s="7" t="s">
        <v>36</v>
      </c>
      <c r="M107" s="6" t="s">
        <v>40</v>
      </c>
      <c r="N107" s="8" t="s">
        <v>585</v>
      </c>
      <c r="O107" s="6">
        <f>HYPERLINK("https://docs.wto.org/imrd/directdoc.asp?DDFDocuments/t/G/SPS/NRUS273.DOCX", "https://docs.wto.org/imrd/directdoc.asp?DDFDocuments/t/G/SPS/NRUS273.DOCX")</f>
      </c>
      <c r="P107" s="6">
        <f>HYPERLINK("https://docs.wto.org/imrd/directdoc.asp?DDFDocuments/u/G/SPS/NRUS273.DOCX", "https://docs.wto.org/imrd/directdoc.asp?DDFDocuments/u/G/SPS/NRUS273.DOCX")</f>
      </c>
      <c r="Q107" s="6">
        <f>HYPERLINK("https://docs.wto.org/imrd/directdoc.asp?DDFDocuments/v/G/SPS/NRUS273.DOCX", "https://docs.wto.org/imrd/directdoc.asp?DDFDocuments/v/G/SPS/NRUS273.DOCX")</f>
      </c>
      <c r="R107" s="0" t="s">
        <v>36</v>
      </c>
      <c r="S107" s="0" t="s">
        <v>36</v>
      </c>
      <c r="T107" s="0" t="s">
        <v>36</v>
      </c>
      <c r="U107" s="0" t="s">
        <v>36</v>
      </c>
      <c r="V107" s="0" t="s">
        <v>36</v>
      </c>
      <c r="W107" s="0" t="s">
        <v>36</v>
      </c>
      <c r="X107" s="0" t="s">
        <v>36</v>
      </c>
      <c r="Y107" s="2" t="s">
        <v>36</v>
      </c>
      <c r="Z107" s="0" t="s">
        <v>42</v>
      </c>
      <c r="AA107" s="0" t="s">
        <v>42</v>
      </c>
      <c r="AB107" s="0" t="s">
        <v>42</v>
      </c>
      <c r="AC107" s="0" t="s">
        <v>43</v>
      </c>
      <c r="AD107" s="0" t="s">
        <v>107</v>
      </c>
      <c r="AE107" s="2" t="s">
        <v>36</v>
      </c>
    </row>
    <row r="108">
      <c r="A108" s="6" t="s">
        <v>31</v>
      </c>
      <c r="B108" s="7">
        <v>45204</v>
      </c>
      <c r="C108" s="9">
        <f>HYPERLINK("https://www.epingalert.org/en/Search?viewData= G/TBT/N/RUS/150"," G/TBT/N/RUS/150")</f>
      </c>
      <c r="D108" s="8" t="s">
        <v>586</v>
      </c>
      <c r="E108" s="8" t="s">
        <v>587</v>
      </c>
      <c r="F108" s="8" t="s">
        <v>588</v>
      </c>
      <c r="G108" s="8" t="s">
        <v>36</v>
      </c>
      <c r="H108" s="8" t="s">
        <v>589</v>
      </c>
      <c r="I108" s="8" t="s">
        <v>49</v>
      </c>
      <c r="J108" s="8" t="s">
        <v>36</v>
      </c>
      <c r="K108" s="6"/>
      <c r="L108" s="7">
        <v>45275</v>
      </c>
      <c r="M108" s="6" t="s">
        <v>51</v>
      </c>
      <c r="N108" s="6"/>
      <c r="O108" s="6">
        <f>HYPERLINK("https://docs.wto.org/imrd/directdoc.asp?DDFDocuments/t/G/TBTN23/RUS150.DOCX", "https://docs.wto.org/imrd/directdoc.asp?DDFDocuments/t/G/TBTN23/RUS150.DOCX")</f>
      </c>
      <c r="P108" s="6">
        <f>HYPERLINK("https://docs.wto.org/imrd/directdoc.asp?DDFDocuments/u/G/TBTN23/RUS150.DOCX", "https://docs.wto.org/imrd/directdoc.asp?DDFDocuments/u/G/TBTN23/RUS150.DOCX")</f>
      </c>
      <c r="Q108" s="6">
        <f>HYPERLINK("https://docs.wto.org/imrd/directdoc.asp?DDFDocuments/v/G/TBTN23/RUS150.DOCX", "https://docs.wto.org/imrd/directdoc.asp?DDFDocuments/v/G/TBTN23/RUS150.DOCX")</f>
      </c>
      <c r="R108" s="0" t="s">
        <v>42</v>
      </c>
      <c r="S108" s="0" t="s">
        <v>42</v>
      </c>
      <c r="T108" s="0" t="s">
        <v>42</v>
      </c>
      <c r="U108" s="0" t="s">
        <v>42</v>
      </c>
      <c r="V108" s="0" t="s">
        <v>43</v>
      </c>
      <c r="W108" s="0" t="s">
        <v>43</v>
      </c>
      <c r="X108" s="0" t="s">
        <v>42</v>
      </c>
      <c r="Y108" s="2" t="s">
        <v>590</v>
      </c>
      <c r="Z108" s="0" t="s">
        <v>36</v>
      </c>
      <c r="AA108" s="0" t="s">
        <v>36</v>
      </c>
      <c r="AB108" s="0" t="s">
        <v>36</v>
      </c>
      <c r="AC108" s="0" t="s">
        <v>36</v>
      </c>
      <c r="AD108" s="0" t="s">
        <v>36</v>
      </c>
      <c r="AE108" s="2" t="s">
        <v>36</v>
      </c>
    </row>
    <row r="109">
      <c r="A109" s="6" t="s">
        <v>31</v>
      </c>
      <c r="B109" s="7">
        <v>45204</v>
      </c>
      <c r="C109" s="9">
        <f>HYPERLINK("https://www.epingalert.org/en/Search?viewData= G/TBT/N/RUS/151"," G/TBT/N/RUS/151")</f>
      </c>
      <c r="D109" s="8" t="s">
        <v>591</v>
      </c>
      <c r="E109" s="8" t="s">
        <v>592</v>
      </c>
      <c r="F109" s="8" t="s">
        <v>593</v>
      </c>
      <c r="G109" s="8" t="s">
        <v>594</v>
      </c>
      <c r="H109" s="8" t="s">
        <v>595</v>
      </c>
      <c r="I109" s="8" t="s">
        <v>49</v>
      </c>
      <c r="J109" s="8" t="s">
        <v>58</v>
      </c>
      <c r="K109" s="6"/>
      <c r="L109" s="7">
        <v>45275</v>
      </c>
      <c r="M109" s="6" t="s">
        <v>51</v>
      </c>
      <c r="N109" s="6"/>
      <c r="O109" s="6">
        <f>HYPERLINK("https://docs.wto.org/imrd/directdoc.asp?DDFDocuments/t/G/TBTN23/RUS151.DOCX", "https://docs.wto.org/imrd/directdoc.asp?DDFDocuments/t/G/TBTN23/RUS151.DOCX")</f>
      </c>
      <c r="P109" s="6">
        <f>HYPERLINK("https://docs.wto.org/imrd/directdoc.asp?DDFDocuments/u/G/TBTN23/RUS151.DOCX", "https://docs.wto.org/imrd/directdoc.asp?DDFDocuments/u/G/TBTN23/RUS151.DOCX")</f>
      </c>
      <c r="Q109" s="6">
        <f>HYPERLINK("https://docs.wto.org/imrd/directdoc.asp?DDFDocuments/v/G/TBTN23/RUS151.DOCX", "https://docs.wto.org/imrd/directdoc.asp?DDFDocuments/v/G/TBTN23/RUS151.DOCX")</f>
      </c>
      <c r="R109" s="0" t="s">
        <v>43</v>
      </c>
      <c r="S109" s="0" t="s">
        <v>42</v>
      </c>
      <c r="T109" s="0" t="s">
        <v>42</v>
      </c>
      <c r="U109" s="0" t="s">
        <v>42</v>
      </c>
      <c r="V109" s="0" t="s">
        <v>42</v>
      </c>
      <c r="W109" s="0" t="s">
        <v>42</v>
      </c>
      <c r="X109" s="0" t="s">
        <v>42</v>
      </c>
      <c r="Y109" s="2" t="s">
        <v>596</v>
      </c>
      <c r="Z109" s="0" t="s">
        <v>36</v>
      </c>
      <c r="AA109" s="0" t="s">
        <v>36</v>
      </c>
      <c r="AB109" s="0" t="s">
        <v>36</v>
      </c>
      <c r="AC109" s="0" t="s">
        <v>36</v>
      </c>
      <c r="AD109" s="0" t="s">
        <v>36</v>
      </c>
      <c r="AE109" s="2" t="s">
        <v>36</v>
      </c>
    </row>
    <row r="110">
      <c r="A110" s="6" t="s">
        <v>31</v>
      </c>
      <c r="B110" s="7">
        <v>45190</v>
      </c>
      <c r="C110" s="9">
        <f>HYPERLINK("https://www.epingalert.org/en/Search?viewData= G/TBT/N/RUS/149"," G/TBT/N/RUS/149")</f>
      </c>
      <c r="D110" s="8" t="s">
        <v>597</v>
      </c>
      <c r="E110" s="8" t="s">
        <v>598</v>
      </c>
      <c r="F110" s="8" t="s">
        <v>468</v>
      </c>
      <c r="G110" s="8" t="s">
        <v>36</v>
      </c>
      <c r="H110" s="8" t="s">
        <v>599</v>
      </c>
      <c r="I110" s="8" t="s">
        <v>57</v>
      </c>
      <c r="J110" s="8" t="s">
        <v>58</v>
      </c>
      <c r="K110" s="6"/>
      <c r="L110" s="7">
        <v>45219</v>
      </c>
      <c r="M110" s="6" t="s">
        <v>51</v>
      </c>
      <c r="N110" s="6"/>
      <c r="O110" s="6">
        <f>HYPERLINK("https://docs.wto.org/imrd/directdoc.asp?DDFDocuments/t/G/TBTN23/RUS149.DOCX", "https://docs.wto.org/imrd/directdoc.asp?DDFDocuments/t/G/TBTN23/RUS149.DOCX")</f>
      </c>
      <c r="P110" s="6">
        <f>HYPERLINK("https://docs.wto.org/imrd/directdoc.asp?DDFDocuments/u/G/TBTN23/RUS149.DOCX", "https://docs.wto.org/imrd/directdoc.asp?DDFDocuments/u/G/TBTN23/RUS149.DOCX")</f>
      </c>
      <c r="Q110" s="6">
        <f>HYPERLINK("https://docs.wto.org/imrd/directdoc.asp?DDFDocuments/v/G/TBTN23/RUS149.DOCX", "https://docs.wto.org/imrd/directdoc.asp?DDFDocuments/v/G/TBTN23/RUS149.DOCX")</f>
      </c>
      <c r="R110" s="0" t="s">
        <v>43</v>
      </c>
      <c r="S110" s="0" t="s">
        <v>42</v>
      </c>
      <c r="T110" s="0" t="s">
        <v>42</v>
      </c>
      <c r="U110" s="0" t="s">
        <v>42</v>
      </c>
      <c r="V110" s="0" t="s">
        <v>42</v>
      </c>
      <c r="W110" s="0" t="s">
        <v>42</v>
      </c>
      <c r="X110" s="0" t="s">
        <v>42</v>
      </c>
      <c r="Y110" s="2" t="s">
        <v>600</v>
      </c>
      <c r="Z110" s="0" t="s">
        <v>36</v>
      </c>
      <c r="AA110" s="0" t="s">
        <v>36</v>
      </c>
      <c r="AB110" s="0" t="s">
        <v>36</v>
      </c>
      <c r="AC110" s="0" t="s">
        <v>36</v>
      </c>
      <c r="AD110" s="0" t="s">
        <v>36</v>
      </c>
      <c r="AE110" s="2" t="s">
        <v>36</v>
      </c>
    </row>
    <row r="111">
      <c r="A111" s="6" t="s">
        <v>31</v>
      </c>
      <c r="B111" s="7">
        <v>45166</v>
      </c>
      <c r="C111" s="9">
        <f>HYPERLINK("https://www.epingalert.org/en/Search?viewData= G/SPS/N/RUS/272"," G/SPS/N/RUS/272")</f>
      </c>
      <c r="D111" s="8" t="s">
        <v>601</v>
      </c>
      <c r="E111" s="8" t="s">
        <v>602</v>
      </c>
      <c r="F111" s="8" t="s">
        <v>603</v>
      </c>
      <c r="G111" s="8" t="s">
        <v>604</v>
      </c>
      <c r="H111" s="8" t="s">
        <v>36</v>
      </c>
      <c r="I111" s="8" t="s">
        <v>505</v>
      </c>
      <c r="J111" s="8" t="s">
        <v>605</v>
      </c>
      <c r="K111" s="6" t="s">
        <v>367</v>
      </c>
      <c r="L111" s="7" t="s">
        <v>36</v>
      </c>
      <c r="M111" s="6" t="s">
        <v>40</v>
      </c>
      <c r="N111" s="8" t="s">
        <v>606</v>
      </c>
      <c r="O111" s="6">
        <f>HYPERLINK("https://docs.wto.org/imrd/directdoc.asp?DDFDocuments/t/G/SPS/NRUS272.DOCX", "https://docs.wto.org/imrd/directdoc.asp?DDFDocuments/t/G/SPS/NRUS272.DOCX")</f>
      </c>
      <c r="P111" s="6">
        <f>HYPERLINK("https://docs.wto.org/imrd/directdoc.asp?DDFDocuments/u/G/SPS/NRUS272.DOCX", "https://docs.wto.org/imrd/directdoc.asp?DDFDocuments/u/G/SPS/NRUS272.DOCX")</f>
      </c>
      <c r="Q111" s="6">
        <f>HYPERLINK("https://docs.wto.org/imrd/directdoc.asp?DDFDocuments/v/G/SPS/NRUS272.DOCX", "https://docs.wto.org/imrd/directdoc.asp?DDFDocuments/v/G/SPS/NRUS272.DOCX")</f>
      </c>
      <c r="R111" s="0" t="s">
        <v>36</v>
      </c>
      <c r="S111" s="0" t="s">
        <v>36</v>
      </c>
      <c r="T111" s="0" t="s">
        <v>36</v>
      </c>
      <c r="U111" s="0" t="s">
        <v>36</v>
      </c>
      <c r="V111" s="0" t="s">
        <v>36</v>
      </c>
      <c r="W111" s="0" t="s">
        <v>36</v>
      </c>
      <c r="X111" s="0" t="s">
        <v>36</v>
      </c>
      <c r="Y111" s="2" t="s">
        <v>36</v>
      </c>
      <c r="Z111" s="0" t="s">
        <v>42</v>
      </c>
      <c r="AA111" s="0" t="s">
        <v>42</v>
      </c>
      <c r="AB111" s="0" t="s">
        <v>43</v>
      </c>
      <c r="AC111" s="0" t="s">
        <v>42</v>
      </c>
      <c r="AD111" s="0" t="s">
        <v>43</v>
      </c>
      <c r="AE111" s="2" t="s">
        <v>36</v>
      </c>
    </row>
    <row r="112">
      <c r="A112" s="6" t="s">
        <v>31</v>
      </c>
      <c r="B112" s="7">
        <v>45153</v>
      </c>
      <c r="C112" s="9">
        <f>HYPERLINK("https://www.epingalert.org/en/Search?viewData= G/SPS/N/RUS/271"," G/SPS/N/RUS/271")</f>
      </c>
      <c r="D112" s="8" t="s">
        <v>607</v>
      </c>
      <c r="E112" s="8" t="s">
        <v>608</v>
      </c>
      <c r="F112" s="8" t="s">
        <v>408</v>
      </c>
      <c r="G112" s="8" t="s">
        <v>36</v>
      </c>
      <c r="H112" s="8" t="s">
        <v>36</v>
      </c>
      <c r="I112" s="8" t="s">
        <v>609</v>
      </c>
      <c r="J112" s="8" t="s">
        <v>610</v>
      </c>
      <c r="K112" s="6" t="s">
        <v>36</v>
      </c>
      <c r="L112" s="7">
        <v>45213</v>
      </c>
      <c r="M112" s="6" t="s">
        <v>51</v>
      </c>
      <c r="N112" s="8" t="s">
        <v>611</v>
      </c>
      <c r="O112" s="6">
        <f>HYPERLINK("https://docs.wto.org/imrd/directdoc.asp?DDFDocuments/t/G/SPS/NRUS271.DOCX", "https://docs.wto.org/imrd/directdoc.asp?DDFDocuments/t/G/SPS/NRUS271.DOCX")</f>
      </c>
      <c r="P112" s="6">
        <f>HYPERLINK("https://docs.wto.org/imrd/directdoc.asp?DDFDocuments/u/G/SPS/NRUS271.DOCX", "https://docs.wto.org/imrd/directdoc.asp?DDFDocuments/u/G/SPS/NRUS271.DOCX")</f>
      </c>
      <c r="Q112" s="6">
        <f>HYPERLINK("https://docs.wto.org/imrd/directdoc.asp?DDFDocuments/v/G/SPS/NRUS271.DOCX", "https://docs.wto.org/imrd/directdoc.asp?DDFDocuments/v/G/SPS/NRUS271.DOCX")</f>
      </c>
      <c r="R112" s="0" t="s">
        <v>36</v>
      </c>
      <c r="S112" s="0" t="s">
        <v>36</v>
      </c>
      <c r="T112" s="0" t="s">
        <v>36</v>
      </c>
      <c r="U112" s="0" t="s">
        <v>36</v>
      </c>
      <c r="V112" s="0" t="s">
        <v>36</v>
      </c>
      <c r="W112" s="0" t="s">
        <v>36</v>
      </c>
      <c r="X112" s="0" t="s">
        <v>36</v>
      </c>
      <c r="Y112" s="2" t="s">
        <v>36</v>
      </c>
      <c r="Z112" s="0" t="s">
        <v>42</v>
      </c>
      <c r="AA112" s="0" t="s">
        <v>42</v>
      </c>
      <c r="AB112" s="0" t="s">
        <v>43</v>
      </c>
      <c r="AC112" s="0" t="s">
        <v>42</v>
      </c>
      <c r="AD112" s="0" t="s">
        <v>43</v>
      </c>
      <c r="AE112" s="2" t="s">
        <v>36</v>
      </c>
    </row>
    <row r="113">
      <c r="A113" s="6" t="s">
        <v>31</v>
      </c>
      <c r="B113" s="7">
        <v>45148</v>
      </c>
      <c r="C113" s="9">
        <f>HYPERLINK("https://www.epingalert.org/en/Search?viewData= G/SPS/N/RUS/270"," G/SPS/N/RUS/270")</f>
      </c>
      <c r="D113" s="8" t="s">
        <v>612</v>
      </c>
      <c r="E113" s="8" t="s">
        <v>613</v>
      </c>
      <c r="F113" s="8" t="s">
        <v>220</v>
      </c>
      <c r="G113" s="8" t="s">
        <v>36</v>
      </c>
      <c r="H113" s="8" t="s">
        <v>36</v>
      </c>
      <c r="I113" s="8" t="s">
        <v>37</v>
      </c>
      <c r="J113" s="8" t="s">
        <v>157</v>
      </c>
      <c r="K113" s="6" t="s">
        <v>36</v>
      </c>
      <c r="L113" s="7">
        <v>45208</v>
      </c>
      <c r="M113" s="6" t="s">
        <v>51</v>
      </c>
      <c r="N113" s="8" t="s">
        <v>614</v>
      </c>
      <c r="O113" s="6">
        <f>HYPERLINK("https://docs.wto.org/imrd/directdoc.asp?DDFDocuments/t/G/SPS/NRUS270.DOCX", "https://docs.wto.org/imrd/directdoc.asp?DDFDocuments/t/G/SPS/NRUS270.DOCX")</f>
      </c>
      <c r="P113" s="6">
        <f>HYPERLINK("https://docs.wto.org/imrd/directdoc.asp?DDFDocuments/u/G/SPS/NRUS270.DOCX", "https://docs.wto.org/imrd/directdoc.asp?DDFDocuments/u/G/SPS/NRUS270.DOCX")</f>
      </c>
      <c r="Q113" s="6">
        <f>HYPERLINK("https://docs.wto.org/imrd/directdoc.asp?DDFDocuments/v/G/SPS/NRUS270.DOCX", "https://docs.wto.org/imrd/directdoc.asp?DDFDocuments/v/G/SPS/NRUS270.DOCX")</f>
      </c>
      <c r="R113" s="0" t="s">
        <v>36</v>
      </c>
      <c r="S113" s="0" t="s">
        <v>36</v>
      </c>
      <c r="T113" s="0" t="s">
        <v>36</v>
      </c>
      <c r="U113" s="0" t="s">
        <v>36</v>
      </c>
      <c r="V113" s="0" t="s">
        <v>36</v>
      </c>
      <c r="W113" s="0" t="s">
        <v>36</v>
      </c>
      <c r="X113" s="0" t="s">
        <v>36</v>
      </c>
      <c r="Y113" s="2" t="s">
        <v>36</v>
      </c>
      <c r="Z113" s="0" t="s">
        <v>42</v>
      </c>
      <c r="AA113" s="0" t="s">
        <v>43</v>
      </c>
      <c r="AB113" s="0" t="s">
        <v>42</v>
      </c>
      <c r="AC113" s="0" t="s">
        <v>42</v>
      </c>
      <c r="AD113" s="0" t="s">
        <v>43</v>
      </c>
      <c r="AE113" s="2" t="s">
        <v>36</v>
      </c>
    </row>
    <row r="114">
      <c r="A114" s="6" t="s">
        <v>31</v>
      </c>
      <c r="B114" s="7">
        <v>45146</v>
      </c>
      <c r="C114" s="9">
        <f>HYPERLINK("https://www.epingalert.org/en/Search?viewData= G/TBT/N/RUS/148"," G/TBT/N/RUS/148")</f>
      </c>
      <c r="D114" s="8" t="s">
        <v>615</v>
      </c>
      <c r="E114" s="8" t="s">
        <v>616</v>
      </c>
      <c r="F114" s="8" t="s">
        <v>468</v>
      </c>
      <c r="G114" s="8" t="s">
        <v>617</v>
      </c>
      <c r="H114" s="8" t="s">
        <v>141</v>
      </c>
      <c r="I114" s="8" t="s">
        <v>57</v>
      </c>
      <c r="J114" s="8" t="s">
        <v>58</v>
      </c>
      <c r="K114" s="6"/>
      <c r="L114" s="7">
        <v>45172</v>
      </c>
      <c r="M114" s="6" t="s">
        <v>51</v>
      </c>
      <c r="N114" s="8" t="s">
        <v>618</v>
      </c>
      <c r="O114" s="6">
        <f>HYPERLINK("https://docs.wto.org/imrd/directdoc.asp?DDFDocuments/t/G/TBTN23/RUS148.DOCX", "https://docs.wto.org/imrd/directdoc.asp?DDFDocuments/t/G/TBTN23/RUS148.DOCX")</f>
      </c>
      <c r="P114" s="6">
        <f>HYPERLINK("https://docs.wto.org/imrd/directdoc.asp?DDFDocuments/u/G/TBTN23/RUS148.DOCX", "https://docs.wto.org/imrd/directdoc.asp?DDFDocuments/u/G/TBTN23/RUS148.DOCX")</f>
      </c>
      <c r="Q114" s="6">
        <f>HYPERLINK("https://docs.wto.org/imrd/directdoc.asp?DDFDocuments/v/G/TBTN23/RUS148.DOCX", "https://docs.wto.org/imrd/directdoc.asp?DDFDocuments/v/G/TBTN23/RUS148.DOCX")</f>
      </c>
      <c r="R114" s="0" t="s">
        <v>43</v>
      </c>
      <c r="S114" s="0" t="s">
        <v>42</v>
      </c>
      <c r="T114" s="0" t="s">
        <v>42</v>
      </c>
      <c r="U114" s="0" t="s">
        <v>42</v>
      </c>
      <c r="V114" s="0" t="s">
        <v>42</v>
      </c>
      <c r="W114" s="0" t="s">
        <v>42</v>
      </c>
      <c r="X114" s="0" t="s">
        <v>42</v>
      </c>
      <c r="Y114" s="2" t="s">
        <v>619</v>
      </c>
      <c r="Z114" s="0" t="s">
        <v>36</v>
      </c>
      <c r="AA114" s="0" t="s">
        <v>36</v>
      </c>
      <c r="AB114" s="0" t="s">
        <v>36</v>
      </c>
      <c r="AC114" s="0" t="s">
        <v>36</v>
      </c>
      <c r="AD114" s="0" t="s">
        <v>36</v>
      </c>
      <c r="AE114" s="2" t="s">
        <v>36</v>
      </c>
    </row>
    <row r="115">
      <c r="A115" s="6" t="s">
        <v>31</v>
      </c>
      <c r="B115" s="7">
        <v>45135</v>
      </c>
      <c r="C115" s="9">
        <f>HYPERLINK("https://www.epingalert.org/en/Search?viewData= G/TBT/N/RUS/147"," G/TBT/N/RUS/147")</f>
      </c>
      <c r="D115" s="8" t="s">
        <v>620</v>
      </c>
      <c r="E115" s="8" t="s">
        <v>621</v>
      </c>
      <c r="F115" s="8" t="s">
        <v>498</v>
      </c>
      <c r="G115" s="8" t="s">
        <v>36</v>
      </c>
      <c r="H115" s="8" t="s">
        <v>36</v>
      </c>
      <c r="I115" s="8" t="s">
        <v>78</v>
      </c>
      <c r="J115" s="8" t="s">
        <v>58</v>
      </c>
      <c r="K115" s="6"/>
      <c r="L115" s="7">
        <v>45155</v>
      </c>
      <c r="M115" s="6" t="s">
        <v>51</v>
      </c>
      <c r="N115" s="6"/>
      <c r="O115" s="6">
        <f>HYPERLINK("https://docs.wto.org/imrd/directdoc.asp?DDFDocuments/t/G/TBTN23/RUS147.DOCX", "https://docs.wto.org/imrd/directdoc.asp?DDFDocuments/t/G/TBTN23/RUS147.DOCX")</f>
      </c>
      <c r="P115" s="6">
        <f>HYPERLINK("https://docs.wto.org/imrd/directdoc.asp?DDFDocuments/u/G/TBTN23/RUS147.DOCX", "https://docs.wto.org/imrd/directdoc.asp?DDFDocuments/u/G/TBTN23/RUS147.DOCX")</f>
      </c>
      <c r="Q115" s="6">
        <f>HYPERLINK("https://docs.wto.org/imrd/directdoc.asp?DDFDocuments/v/G/TBTN23/RUS147.DOCX", "https://docs.wto.org/imrd/directdoc.asp?DDFDocuments/v/G/TBTN23/RUS147.DOCX")</f>
      </c>
      <c r="R115" s="0" t="s">
        <v>43</v>
      </c>
      <c r="S115" s="0" t="s">
        <v>42</v>
      </c>
      <c r="T115" s="0" t="s">
        <v>42</v>
      </c>
      <c r="U115" s="0" t="s">
        <v>42</v>
      </c>
      <c r="V115" s="0" t="s">
        <v>42</v>
      </c>
      <c r="W115" s="0" t="s">
        <v>42</v>
      </c>
      <c r="X115" s="0" t="s">
        <v>42</v>
      </c>
      <c r="Y115" s="2" t="s">
        <v>622</v>
      </c>
      <c r="Z115" s="0" t="s">
        <v>36</v>
      </c>
      <c r="AA115" s="0" t="s">
        <v>36</v>
      </c>
      <c r="AB115" s="0" t="s">
        <v>36</v>
      </c>
      <c r="AC115" s="0" t="s">
        <v>36</v>
      </c>
      <c r="AD115" s="0" t="s">
        <v>36</v>
      </c>
      <c r="AE115" s="2" t="s">
        <v>36</v>
      </c>
    </row>
    <row r="116">
      <c r="A116" s="6" t="s">
        <v>31</v>
      </c>
      <c r="B116" s="7">
        <v>45132</v>
      </c>
      <c r="C116" s="9">
        <f>HYPERLINK("https://www.epingalert.org/en/Search?viewData= G/SPS/N/RUS/268"," G/SPS/N/RUS/268")</f>
      </c>
      <c r="D116" s="8" t="s">
        <v>623</v>
      </c>
      <c r="E116" s="8" t="s">
        <v>624</v>
      </c>
      <c r="F116" s="8" t="s">
        <v>625</v>
      </c>
      <c r="G116" s="8" t="s">
        <v>358</v>
      </c>
      <c r="H116" s="8" t="s">
        <v>36</v>
      </c>
      <c r="I116" s="8" t="s">
        <v>37</v>
      </c>
      <c r="J116" s="8" t="s">
        <v>359</v>
      </c>
      <c r="K116" s="6" t="s">
        <v>626</v>
      </c>
      <c r="L116" s="7" t="s">
        <v>36</v>
      </c>
      <c r="M116" s="6" t="s">
        <v>40</v>
      </c>
      <c r="N116" s="8" t="s">
        <v>627</v>
      </c>
      <c r="O116" s="6">
        <f>HYPERLINK("https://docs.wto.org/imrd/directdoc.asp?DDFDocuments/t/G/SPS/NRUS268.DOCX", "https://docs.wto.org/imrd/directdoc.asp?DDFDocuments/t/G/SPS/NRUS268.DOCX")</f>
      </c>
      <c r="P116" s="6">
        <f>HYPERLINK("https://docs.wto.org/imrd/directdoc.asp?DDFDocuments/u/G/SPS/NRUS268.DOCX", "https://docs.wto.org/imrd/directdoc.asp?DDFDocuments/u/G/SPS/NRUS268.DOCX")</f>
      </c>
      <c r="Q116" s="6">
        <f>HYPERLINK("https://docs.wto.org/imrd/directdoc.asp?DDFDocuments/v/G/SPS/NRUS268.DOCX", "https://docs.wto.org/imrd/directdoc.asp?DDFDocuments/v/G/SPS/NRUS268.DOCX")</f>
      </c>
      <c r="R116" s="0" t="s">
        <v>36</v>
      </c>
      <c r="S116" s="0" t="s">
        <v>36</v>
      </c>
      <c r="T116" s="0" t="s">
        <v>36</v>
      </c>
      <c r="U116" s="0" t="s">
        <v>36</v>
      </c>
      <c r="V116" s="0" t="s">
        <v>36</v>
      </c>
      <c r="W116" s="0" t="s">
        <v>36</v>
      </c>
      <c r="X116" s="0" t="s">
        <v>36</v>
      </c>
      <c r="Y116" s="2" t="s">
        <v>36</v>
      </c>
      <c r="Z116" s="0" t="s">
        <v>42</v>
      </c>
      <c r="AA116" s="0" t="s">
        <v>43</v>
      </c>
      <c r="AB116" s="0" t="s">
        <v>42</v>
      </c>
      <c r="AC116" s="0" t="s">
        <v>42</v>
      </c>
      <c r="AD116" s="0" t="s">
        <v>43</v>
      </c>
      <c r="AE116" s="2" t="s">
        <v>36</v>
      </c>
    </row>
    <row r="117">
      <c r="A117" s="6" t="s">
        <v>31</v>
      </c>
      <c r="B117" s="7">
        <v>45132</v>
      </c>
      <c r="C117" s="9">
        <f>HYPERLINK("https://www.epingalert.org/en/Search?viewData= G/SPS/N/RUS/269"," G/SPS/N/RUS/269")</f>
      </c>
      <c r="D117" s="8" t="s">
        <v>628</v>
      </c>
      <c r="E117" s="8" t="s">
        <v>629</v>
      </c>
      <c r="F117" s="8" t="s">
        <v>630</v>
      </c>
      <c r="G117" s="8" t="s">
        <v>241</v>
      </c>
      <c r="H117" s="8" t="s">
        <v>36</v>
      </c>
      <c r="I117" s="8" t="s">
        <v>37</v>
      </c>
      <c r="J117" s="8" t="s">
        <v>631</v>
      </c>
      <c r="K117" s="6" t="s">
        <v>632</v>
      </c>
      <c r="L117" s="7" t="s">
        <v>36</v>
      </c>
      <c r="M117" s="6" t="s">
        <v>40</v>
      </c>
      <c r="N117" s="8" t="s">
        <v>633</v>
      </c>
      <c r="O117" s="6">
        <f>HYPERLINK("https://docs.wto.org/imrd/directdoc.asp?DDFDocuments/t/G/SPS/NRUS269.DOCX", "https://docs.wto.org/imrd/directdoc.asp?DDFDocuments/t/G/SPS/NRUS269.DOCX")</f>
      </c>
      <c r="P117" s="6">
        <f>HYPERLINK("https://docs.wto.org/imrd/directdoc.asp?DDFDocuments/u/G/SPS/NRUS269.DOCX", "https://docs.wto.org/imrd/directdoc.asp?DDFDocuments/u/G/SPS/NRUS269.DOCX")</f>
      </c>
      <c r="Q117" s="6">
        <f>HYPERLINK("https://docs.wto.org/imrd/directdoc.asp?DDFDocuments/v/G/SPS/NRUS269.DOCX", "https://docs.wto.org/imrd/directdoc.asp?DDFDocuments/v/G/SPS/NRUS269.DOCX")</f>
      </c>
      <c r="R117" s="0" t="s">
        <v>36</v>
      </c>
      <c r="S117" s="0" t="s">
        <v>36</v>
      </c>
      <c r="T117" s="0" t="s">
        <v>36</v>
      </c>
      <c r="U117" s="0" t="s">
        <v>36</v>
      </c>
      <c r="V117" s="0" t="s">
        <v>36</v>
      </c>
      <c r="W117" s="0" t="s">
        <v>36</v>
      </c>
      <c r="X117" s="0" t="s">
        <v>36</v>
      </c>
      <c r="Y117" s="2" t="s">
        <v>36</v>
      </c>
      <c r="Z117" s="0" t="s">
        <v>42</v>
      </c>
      <c r="AA117" s="0" t="s">
        <v>43</v>
      </c>
      <c r="AB117" s="0" t="s">
        <v>42</v>
      </c>
      <c r="AC117" s="0" t="s">
        <v>42</v>
      </c>
      <c r="AD117" s="0" t="s">
        <v>43</v>
      </c>
      <c r="AE117" s="2" t="s">
        <v>36</v>
      </c>
    </row>
    <row r="118">
      <c r="A118" s="6" t="s">
        <v>31</v>
      </c>
      <c r="B118" s="7">
        <v>45118</v>
      </c>
      <c r="C118" s="9">
        <f>HYPERLINK("https://www.epingalert.org/en/Search?viewData= G/SPS/N/RUS/267"," G/SPS/N/RUS/267")</f>
      </c>
      <c r="D118" s="8" t="s">
        <v>634</v>
      </c>
      <c r="E118" s="8" t="s">
        <v>635</v>
      </c>
      <c r="F118" s="8" t="s">
        <v>636</v>
      </c>
      <c r="G118" s="8" t="s">
        <v>36</v>
      </c>
      <c r="H118" s="8" t="s">
        <v>36</v>
      </c>
      <c r="I118" s="8" t="s">
        <v>37</v>
      </c>
      <c r="J118" s="8" t="s">
        <v>38</v>
      </c>
      <c r="K118" s="6" t="s">
        <v>36</v>
      </c>
      <c r="L118" s="7">
        <v>45178</v>
      </c>
      <c r="M118" s="6" t="s">
        <v>51</v>
      </c>
      <c r="N118" s="8" t="s">
        <v>637</v>
      </c>
      <c r="O118" s="6">
        <f>HYPERLINK("https://docs.wto.org/imrd/directdoc.asp?DDFDocuments/t/G/SPS/NRUS267.DOCX", "https://docs.wto.org/imrd/directdoc.asp?DDFDocuments/t/G/SPS/NRUS267.DOCX")</f>
      </c>
      <c r="P118" s="6">
        <f>HYPERLINK("https://docs.wto.org/imrd/directdoc.asp?DDFDocuments/u/G/SPS/NRUS267.DOCX", "https://docs.wto.org/imrd/directdoc.asp?DDFDocuments/u/G/SPS/NRUS267.DOCX")</f>
      </c>
      <c r="Q118" s="6">
        <f>HYPERLINK("https://docs.wto.org/imrd/directdoc.asp?DDFDocuments/v/G/SPS/NRUS267.DOCX", "https://docs.wto.org/imrd/directdoc.asp?DDFDocuments/v/G/SPS/NRUS267.DOCX")</f>
      </c>
      <c r="R118" s="0" t="s">
        <v>36</v>
      </c>
      <c r="S118" s="0" t="s">
        <v>36</v>
      </c>
      <c r="T118" s="0" t="s">
        <v>36</v>
      </c>
      <c r="U118" s="0" t="s">
        <v>36</v>
      </c>
      <c r="V118" s="0" t="s">
        <v>36</v>
      </c>
      <c r="W118" s="0" t="s">
        <v>36</v>
      </c>
      <c r="X118" s="0" t="s">
        <v>36</v>
      </c>
      <c r="Y118" s="2" t="s">
        <v>36</v>
      </c>
      <c r="Z118" s="0" t="s">
        <v>42</v>
      </c>
      <c r="AA118" s="0" t="s">
        <v>42</v>
      </c>
      <c r="AB118" s="0" t="s">
        <v>42</v>
      </c>
      <c r="AC118" s="0" t="s">
        <v>43</v>
      </c>
      <c r="AD118" s="0" t="s">
        <v>107</v>
      </c>
      <c r="AE118" s="2" t="s">
        <v>36</v>
      </c>
    </row>
    <row r="119">
      <c r="A119" s="6" t="s">
        <v>31</v>
      </c>
      <c r="B119" s="7">
        <v>45111</v>
      </c>
      <c r="C119" s="9">
        <f>HYPERLINK("https://www.epingalert.org/en/Search?viewData= G/TBT/N/RUS/146"," G/TBT/N/RUS/146")</f>
      </c>
      <c r="D119" s="8" t="s">
        <v>634</v>
      </c>
      <c r="E119" s="8" t="s">
        <v>638</v>
      </c>
      <c r="F119" s="8" t="s">
        <v>639</v>
      </c>
      <c r="G119" s="8" t="s">
        <v>36</v>
      </c>
      <c r="H119" s="8" t="s">
        <v>270</v>
      </c>
      <c r="I119" s="8" t="s">
        <v>265</v>
      </c>
      <c r="J119" s="8" t="s">
        <v>271</v>
      </c>
      <c r="K119" s="6"/>
      <c r="L119" s="7">
        <v>45171</v>
      </c>
      <c r="M119" s="6" t="s">
        <v>51</v>
      </c>
      <c r="N119" s="8" t="s">
        <v>640</v>
      </c>
      <c r="O119" s="6">
        <f>HYPERLINK("https://docs.wto.org/imrd/directdoc.asp?DDFDocuments/t/G/TBTN23/RUS146.DOCX", "https://docs.wto.org/imrd/directdoc.asp?DDFDocuments/t/G/TBTN23/RUS146.DOCX")</f>
      </c>
      <c r="P119" s="6">
        <f>HYPERLINK("https://docs.wto.org/imrd/directdoc.asp?DDFDocuments/u/G/TBTN23/RUS146.DOCX", "https://docs.wto.org/imrd/directdoc.asp?DDFDocuments/u/G/TBTN23/RUS146.DOCX")</f>
      </c>
      <c r="Q119" s="6">
        <f>HYPERLINK("https://docs.wto.org/imrd/directdoc.asp?DDFDocuments/v/G/TBTN23/RUS146.DOCX", "https://docs.wto.org/imrd/directdoc.asp?DDFDocuments/v/G/TBTN23/RUS146.DOCX")</f>
      </c>
      <c r="R119" s="0" t="s">
        <v>43</v>
      </c>
      <c r="S119" s="0" t="s">
        <v>42</v>
      </c>
      <c r="T119" s="0" t="s">
        <v>42</v>
      </c>
      <c r="U119" s="0" t="s">
        <v>42</v>
      </c>
      <c r="V119" s="0" t="s">
        <v>42</v>
      </c>
      <c r="W119" s="0" t="s">
        <v>42</v>
      </c>
      <c r="X119" s="0" t="s">
        <v>42</v>
      </c>
      <c r="Y119" s="2" t="s">
        <v>36</v>
      </c>
      <c r="Z119" s="0" t="s">
        <v>36</v>
      </c>
      <c r="AA119" s="0" t="s">
        <v>36</v>
      </c>
      <c r="AB119" s="0" t="s">
        <v>36</v>
      </c>
      <c r="AC119" s="0" t="s">
        <v>36</v>
      </c>
      <c r="AD119" s="0" t="s">
        <v>36</v>
      </c>
      <c r="AE119" s="2" t="s">
        <v>36</v>
      </c>
    </row>
    <row r="120">
      <c r="A120" s="6" t="s">
        <v>31</v>
      </c>
      <c r="B120" s="7">
        <v>45107</v>
      </c>
      <c r="C120" s="9">
        <f>HYPERLINK("https://www.epingalert.org/en/Search?viewData= G/TBT/N/RUS/145"," G/TBT/N/RUS/145")</f>
      </c>
      <c r="D120" s="8" t="s">
        <v>641</v>
      </c>
      <c r="E120" s="8" t="s">
        <v>642</v>
      </c>
      <c r="F120" s="8" t="s">
        <v>643</v>
      </c>
      <c r="G120" s="8" t="s">
        <v>36</v>
      </c>
      <c r="H120" s="8" t="s">
        <v>644</v>
      </c>
      <c r="I120" s="8" t="s">
        <v>164</v>
      </c>
      <c r="J120" s="8" t="s">
        <v>36</v>
      </c>
      <c r="K120" s="6"/>
      <c r="L120" s="7">
        <v>45167</v>
      </c>
      <c r="M120" s="6" t="s">
        <v>51</v>
      </c>
      <c r="N120" s="8" t="s">
        <v>645</v>
      </c>
      <c r="O120" s="6">
        <f>HYPERLINK("https://docs.wto.org/imrd/directdoc.asp?DDFDocuments/t/G/TBTN23/RUS145.DOCX", "https://docs.wto.org/imrd/directdoc.asp?DDFDocuments/t/G/TBTN23/RUS145.DOCX")</f>
      </c>
      <c r="P120" s="6">
        <f>HYPERLINK("https://docs.wto.org/imrd/directdoc.asp?DDFDocuments/u/G/TBTN23/RUS145.DOCX", "https://docs.wto.org/imrd/directdoc.asp?DDFDocuments/u/G/TBTN23/RUS145.DOCX")</f>
      </c>
      <c r="Q120" s="6">
        <f>HYPERLINK("https://docs.wto.org/imrd/directdoc.asp?DDFDocuments/v/G/TBTN23/RUS145.DOCX", "https://docs.wto.org/imrd/directdoc.asp?DDFDocuments/v/G/TBTN23/RUS145.DOCX")</f>
      </c>
      <c r="R120" s="0" t="s">
        <v>43</v>
      </c>
      <c r="S120" s="0" t="s">
        <v>42</v>
      </c>
      <c r="T120" s="0" t="s">
        <v>42</v>
      </c>
      <c r="U120" s="0" t="s">
        <v>42</v>
      </c>
      <c r="V120" s="0" t="s">
        <v>42</v>
      </c>
      <c r="W120" s="0" t="s">
        <v>42</v>
      </c>
      <c r="X120" s="0" t="s">
        <v>42</v>
      </c>
      <c r="Y120" s="2" t="s">
        <v>36</v>
      </c>
      <c r="Z120" s="0" t="s">
        <v>36</v>
      </c>
      <c r="AA120" s="0" t="s">
        <v>36</v>
      </c>
      <c r="AB120" s="0" t="s">
        <v>36</v>
      </c>
      <c r="AC120" s="0" t="s">
        <v>36</v>
      </c>
      <c r="AD120" s="0" t="s">
        <v>36</v>
      </c>
      <c r="AE120" s="2" t="s">
        <v>36</v>
      </c>
    </row>
    <row r="121">
      <c r="A121" s="6" t="s">
        <v>31</v>
      </c>
      <c r="B121" s="7">
        <v>45104</v>
      </c>
      <c r="C121" s="9">
        <f>HYPERLINK("https://www.epingalert.org/en/Search?viewData= G/SPS/N/RUS/266"," G/SPS/N/RUS/266")</f>
      </c>
      <c r="D121" s="8" t="s">
        <v>646</v>
      </c>
      <c r="E121" s="8" t="s">
        <v>647</v>
      </c>
      <c r="F121" s="8" t="s">
        <v>555</v>
      </c>
      <c r="G121" s="8" t="s">
        <v>36</v>
      </c>
      <c r="H121" s="8" t="s">
        <v>36</v>
      </c>
      <c r="I121" s="8" t="s">
        <v>648</v>
      </c>
      <c r="J121" s="8" t="s">
        <v>649</v>
      </c>
      <c r="K121" s="6" t="s">
        <v>36</v>
      </c>
      <c r="L121" s="7">
        <v>45164</v>
      </c>
      <c r="M121" s="6" t="s">
        <v>51</v>
      </c>
      <c r="N121" s="8" t="s">
        <v>650</v>
      </c>
      <c r="O121" s="6">
        <f>HYPERLINK("https://docs.wto.org/imrd/directdoc.asp?DDFDocuments/t/G/SPS/NRUS266.DOCX", "https://docs.wto.org/imrd/directdoc.asp?DDFDocuments/t/G/SPS/NRUS266.DOCX")</f>
      </c>
      <c r="P121" s="6">
        <f>HYPERLINK("https://docs.wto.org/imrd/directdoc.asp?DDFDocuments/u/G/SPS/NRUS266.DOCX", "https://docs.wto.org/imrd/directdoc.asp?DDFDocuments/u/G/SPS/NRUS266.DOCX")</f>
      </c>
      <c r="Q121" s="6">
        <f>HYPERLINK("https://docs.wto.org/imrd/directdoc.asp?DDFDocuments/v/G/SPS/NRUS266.DOCX", "https://docs.wto.org/imrd/directdoc.asp?DDFDocuments/v/G/SPS/NRUS266.DOCX")</f>
      </c>
      <c r="R121" s="0" t="s">
        <v>36</v>
      </c>
      <c r="S121" s="0" t="s">
        <v>36</v>
      </c>
      <c r="T121" s="0" t="s">
        <v>36</v>
      </c>
      <c r="U121" s="0" t="s">
        <v>36</v>
      </c>
      <c r="V121" s="0" t="s">
        <v>36</v>
      </c>
      <c r="W121" s="0" t="s">
        <v>36</v>
      </c>
      <c r="X121" s="0" t="s">
        <v>36</v>
      </c>
      <c r="Y121" s="2" t="s">
        <v>36</v>
      </c>
      <c r="Z121" s="0" t="s">
        <v>42</v>
      </c>
      <c r="AA121" s="0" t="s">
        <v>42</v>
      </c>
      <c r="AB121" s="0" t="s">
        <v>43</v>
      </c>
      <c r="AC121" s="0" t="s">
        <v>42</v>
      </c>
      <c r="AD121" s="0" t="s">
        <v>43</v>
      </c>
      <c r="AE121" s="2" t="s">
        <v>36</v>
      </c>
    </row>
    <row r="122">
      <c r="A122" s="6" t="s">
        <v>31</v>
      </c>
      <c r="B122" s="7">
        <v>45086</v>
      </c>
      <c r="C122" s="9">
        <f>HYPERLINK("https://www.epingalert.org/en/Search?viewData= G/TBT/N/RUS/144"," G/TBT/N/RUS/144")</f>
      </c>
      <c r="D122" s="8" t="s">
        <v>651</v>
      </c>
      <c r="E122" s="8" t="s">
        <v>652</v>
      </c>
      <c r="F122" s="8" t="s">
        <v>643</v>
      </c>
      <c r="G122" s="8" t="s">
        <v>36</v>
      </c>
      <c r="H122" s="8" t="s">
        <v>653</v>
      </c>
      <c r="I122" s="8" t="s">
        <v>164</v>
      </c>
      <c r="J122" s="8" t="s">
        <v>36</v>
      </c>
      <c r="K122" s="6"/>
      <c r="L122" s="7">
        <v>45146</v>
      </c>
      <c r="M122" s="6" t="s">
        <v>51</v>
      </c>
      <c r="N122" s="8" t="s">
        <v>654</v>
      </c>
      <c r="O122" s="6">
        <f>HYPERLINK("https://docs.wto.org/imrd/directdoc.asp?DDFDocuments/t/G/TBTN23/RUS144.DOCX", "https://docs.wto.org/imrd/directdoc.asp?DDFDocuments/t/G/TBTN23/RUS144.DOCX")</f>
      </c>
      <c r="P122" s="6">
        <f>HYPERLINK("https://docs.wto.org/imrd/directdoc.asp?DDFDocuments/u/G/TBTN23/RUS144.DOCX", "https://docs.wto.org/imrd/directdoc.asp?DDFDocuments/u/G/TBTN23/RUS144.DOCX")</f>
      </c>
      <c r="Q122" s="6">
        <f>HYPERLINK("https://docs.wto.org/imrd/directdoc.asp?DDFDocuments/v/G/TBTN23/RUS144.DOCX", "https://docs.wto.org/imrd/directdoc.asp?DDFDocuments/v/G/TBTN23/RUS144.DOCX")</f>
      </c>
      <c r="R122" s="0" t="s">
        <v>43</v>
      </c>
      <c r="S122" s="0" t="s">
        <v>42</v>
      </c>
      <c r="T122" s="0" t="s">
        <v>42</v>
      </c>
      <c r="U122" s="0" t="s">
        <v>42</v>
      </c>
      <c r="V122" s="0" t="s">
        <v>42</v>
      </c>
      <c r="W122" s="0" t="s">
        <v>42</v>
      </c>
      <c r="X122" s="0" t="s">
        <v>42</v>
      </c>
      <c r="Y122" s="2" t="s">
        <v>651</v>
      </c>
      <c r="Z122" s="0" t="s">
        <v>36</v>
      </c>
      <c r="AA122" s="0" t="s">
        <v>36</v>
      </c>
      <c r="AB122" s="0" t="s">
        <v>36</v>
      </c>
      <c r="AC122" s="0" t="s">
        <v>36</v>
      </c>
      <c r="AD122" s="0" t="s">
        <v>36</v>
      </c>
      <c r="AE122" s="2" t="s">
        <v>36</v>
      </c>
    </row>
    <row r="123">
      <c r="A123" s="6" t="s">
        <v>31</v>
      </c>
      <c r="B123" s="7">
        <v>45077</v>
      </c>
      <c r="C123" s="9">
        <f>HYPERLINK("https://www.epingalert.org/en/Search?viewData= G/TBT/N/RUS/140"," G/TBT/N/RUS/140")</f>
      </c>
      <c r="D123" s="8" t="s">
        <v>655</v>
      </c>
      <c r="E123" s="8" t="s">
        <v>656</v>
      </c>
      <c r="F123" s="8" t="s">
        <v>498</v>
      </c>
      <c r="G123" s="8" t="s">
        <v>36</v>
      </c>
      <c r="H123" s="8" t="s">
        <v>141</v>
      </c>
      <c r="I123" s="8" t="s">
        <v>164</v>
      </c>
      <c r="J123" s="8" t="s">
        <v>58</v>
      </c>
      <c r="K123" s="6"/>
      <c r="L123" s="7">
        <v>45137</v>
      </c>
      <c r="M123" s="6" t="s">
        <v>51</v>
      </c>
      <c r="N123" s="6"/>
      <c r="O123" s="6">
        <f>HYPERLINK("https://docs.wto.org/imrd/directdoc.asp?DDFDocuments/t/G/TBTN23/RUS140.DOCX", "https://docs.wto.org/imrd/directdoc.asp?DDFDocuments/t/G/TBTN23/RUS140.DOCX")</f>
      </c>
      <c r="P123" s="6">
        <f>HYPERLINK("https://docs.wto.org/imrd/directdoc.asp?DDFDocuments/u/G/TBTN23/RUS140.DOCX", "https://docs.wto.org/imrd/directdoc.asp?DDFDocuments/u/G/TBTN23/RUS140.DOCX")</f>
      </c>
      <c r="Q123" s="6">
        <f>HYPERLINK("https://docs.wto.org/imrd/directdoc.asp?DDFDocuments/v/G/TBTN23/RUS140.DOCX", "https://docs.wto.org/imrd/directdoc.asp?DDFDocuments/v/G/TBTN23/RUS140.DOCX")</f>
      </c>
      <c r="R123" s="0" t="s">
        <v>43</v>
      </c>
      <c r="S123" s="0" t="s">
        <v>42</v>
      </c>
      <c r="T123" s="0" t="s">
        <v>42</v>
      </c>
      <c r="U123" s="0" t="s">
        <v>42</v>
      </c>
      <c r="V123" s="0" t="s">
        <v>42</v>
      </c>
      <c r="W123" s="0" t="s">
        <v>42</v>
      </c>
      <c r="X123" s="0" t="s">
        <v>42</v>
      </c>
      <c r="Y123" s="2" t="s">
        <v>657</v>
      </c>
      <c r="Z123" s="0" t="s">
        <v>36</v>
      </c>
      <c r="AA123" s="0" t="s">
        <v>36</v>
      </c>
      <c r="AB123" s="0" t="s">
        <v>36</v>
      </c>
      <c r="AC123" s="0" t="s">
        <v>36</v>
      </c>
      <c r="AD123" s="0" t="s">
        <v>36</v>
      </c>
      <c r="AE123" s="2" t="s">
        <v>36</v>
      </c>
    </row>
    <row r="124">
      <c r="A124" s="6" t="s">
        <v>31</v>
      </c>
      <c r="B124" s="7">
        <v>45077</v>
      </c>
      <c r="C124" s="9">
        <f>HYPERLINK("https://www.epingalert.org/en/Search?viewData= G/TBT/N/RUS/143"," G/TBT/N/RUS/143")</f>
      </c>
      <c r="D124" s="8" t="s">
        <v>658</v>
      </c>
      <c r="E124" s="8" t="s">
        <v>659</v>
      </c>
      <c r="F124" s="8" t="s">
        <v>514</v>
      </c>
      <c r="G124" s="8" t="s">
        <v>515</v>
      </c>
      <c r="H124" s="8" t="s">
        <v>141</v>
      </c>
      <c r="I124" s="8" t="s">
        <v>164</v>
      </c>
      <c r="J124" s="8" t="s">
        <v>58</v>
      </c>
      <c r="K124" s="6"/>
      <c r="L124" s="7">
        <v>45137</v>
      </c>
      <c r="M124" s="6" t="s">
        <v>51</v>
      </c>
      <c r="N124" s="8" t="s">
        <v>660</v>
      </c>
      <c r="O124" s="6">
        <f>HYPERLINK("https://docs.wto.org/imrd/directdoc.asp?DDFDocuments/t/G/TBTN23/RUS143.DOCX", "https://docs.wto.org/imrd/directdoc.asp?DDFDocuments/t/G/TBTN23/RUS143.DOCX")</f>
      </c>
      <c r="P124" s="6">
        <f>HYPERLINK("https://docs.wto.org/imrd/directdoc.asp?DDFDocuments/u/G/TBTN23/RUS143.DOCX", "https://docs.wto.org/imrd/directdoc.asp?DDFDocuments/u/G/TBTN23/RUS143.DOCX")</f>
      </c>
      <c r="Q124" s="6">
        <f>HYPERLINK("https://docs.wto.org/imrd/directdoc.asp?DDFDocuments/v/G/TBTN23/RUS143.DOCX", "https://docs.wto.org/imrd/directdoc.asp?DDFDocuments/v/G/TBTN23/RUS143.DOCX")</f>
      </c>
      <c r="R124" s="0" t="s">
        <v>43</v>
      </c>
      <c r="S124" s="0" t="s">
        <v>42</v>
      </c>
      <c r="T124" s="0" t="s">
        <v>42</v>
      </c>
      <c r="U124" s="0" t="s">
        <v>42</v>
      </c>
      <c r="V124" s="0" t="s">
        <v>42</v>
      </c>
      <c r="W124" s="0" t="s">
        <v>42</v>
      </c>
      <c r="X124" s="0" t="s">
        <v>42</v>
      </c>
      <c r="Y124" s="2" t="s">
        <v>661</v>
      </c>
      <c r="Z124" s="0" t="s">
        <v>36</v>
      </c>
      <c r="AA124" s="0" t="s">
        <v>36</v>
      </c>
      <c r="AB124" s="0" t="s">
        <v>36</v>
      </c>
      <c r="AC124" s="0" t="s">
        <v>36</v>
      </c>
      <c r="AD124" s="0" t="s">
        <v>36</v>
      </c>
      <c r="AE124" s="2" t="s">
        <v>36</v>
      </c>
    </row>
    <row r="125">
      <c r="A125" s="6" t="s">
        <v>31</v>
      </c>
      <c r="B125" s="7">
        <v>45077</v>
      </c>
      <c r="C125" s="9">
        <f>HYPERLINK("https://www.epingalert.org/en/Search?viewData= G/TBT/N/RUS/141"," G/TBT/N/RUS/141")</f>
      </c>
      <c r="D125" s="8" t="s">
        <v>662</v>
      </c>
      <c r="E125" s="8" t="s">
        <v>663</v>
      </c>
      <c r="F125" s="8" t="s">
        <v>639</v>
      </c>
      <c r="G125" s="8" t="s">
        <v>36</v>
      </c>
      <c r="H125" s="8" t="s">
        <v>664</v>
      </c>
      <c r="I125" s="8" t="s">
        <v>265</v>
      </c>
      <c r="J125" s="8" t="s">
        <v>271</v>
      </c>
      <c r="K125" s="6"/>
      <c r="L125" s="7">
        <v>45137</v>
      </c>
      <c r="M125" s="6" t="s">
        <v>51</v>
      </c>
      <c r="N125" s="6"/>
      <c r="O125" s="6">
        <f>HYPERLINK("https://docs.wto.org/imrd/directdoc.asp?DDFDocuments/t/G/TBTN23/RUS141.DOCX", "https://docs.wto.org/imrd/directdoc.asp?DDFDocuments/t/G/TBTN23/RUS141.DOCX")</f>
      </c>
      <c r="P125" s="6">
        <f>HYPERLINK("https://docs.wto.org/imrd/directdoc.asp?DDFDocuments/u/G/TBTN23/RUS141.DOCX", "https://docs.wto.org/imrd/directdoc.asp?DDFDocuments/u/G/TBTN23/RUS141.DOCX")</f>
      </c>
      <c r="Q125" s="6">
        <f>HYPERLINK("https://docs.wto.org/imrd/directdoc.asp?DDFDocuments/v/G/TBTN23/RUS141.DOCX", "https://docs.wto.org/imrd/directdoc.asp?DDFDocuments/v/G/TBTN23/RUS141.DOCX")</f>
      </c>
      <c r="R125" s="0" t="s">
        <v>43</v>
      </c>
      <c r="S125" s="0" t="s">
        <v>42</v>
      </c>
      <c r="T125" s="0" t="s">
        <v>42</v>
      </c>
      <c r="U125" s="0" t="s">
        <v>42</v>
      </c>
      <c r="V125" s="0" t="s">
        <v>42</v>
      </c>
      <c r="W125" s="0" t="s">
        <v>42</v>
      </c>
      <c r="X125" s="0" t="s">
        <v>42</v>
      </c>
      <c r="Y125" s="2" t="s">
        <v>665</v>
      </c>
      <c r="Z125" s="0" t="s">
        <v>36</v>
      </c>
      <c r="AA125" s="0" t="s">
        <v>36</v>
      </c>
      <c r="AB125" s="0" t="s">
        <v>36</v>
      </c>
      <c r="AC125" s="0" t="s">
        <v>36</v>
      </c>
      <c r="AD125" s="0" t="s">
        <v>36</v>
      </c>
      <c r="AE125" s="2" t="s">
        <v>36</v>
      </c>
    </row>
    <row r="126">
      <c r="A126" s="6" t="s">
        <v>31</v>
      </c>
      <c r="B126" s="7">
        <v>45077</v>
      </c>
      <c r="C126" s="9">
        <f>HYPERLINK("https://www.epingalert.org/en/Search?viewData= G/TBT/N/RUS/142"," G/TBT/N/RUS/142")</f>
      </c>
      <c r="D126" s="8" t="s">
        <v>666</v>
      </c>
      <c r="E126" s="8" t="s">
        <v>642</v>
      </c>
      <c r="F126" s="8" t="s">
        <v>643</v>
      </c>
      <c r="G126" s="8" t="s">
        <v>36</v>
      </c>
      <c r="H126" s="8" t="s">
        <v>644</v>
      </c>
      <c r="I126" s="8" t="s">
        <v>164</v>
      </c>
      <c r="J126" s="8" t="s">
        <v>36</v>
      </c>
      <c r="K126" s="6"/>
      <c r="L126" s="7">
        <v>45137</v>
      </c>
      <c r="M126" s="6" t="s">
        <v>51</v>
      </c>
      <c r="N126" s="8" t="s">
        <v>654</v>
      </c>
      <c r="O126" s="6">
        <f>HYPERLINK("https://docs.wto.org/imrd/directdoc.asp?DDFDocuments/t/G/TBTN23/RUS142.DOCX", "https://docs.wto.org/imrd/directdoc.asp?DDFDocuments/t/G/TBTN23/RUS142.DOCX")</f>
      </c>
      <c r="P126" s="6">
        <f>HYPERLINK("https://docs.wto.org/imrd/directdoc.asp?DDFDocuments/u/G/TBTN23/RUS142.DOCX", "https://docs.wto.org/imrd/directdoc.asp?DDFDocuments/u/G/TBTN23/RUS142.DOCX")</f>
      </c>
      <c r="Q126" s="6">
        <f>HYPERLINK("https://docs.wto.org/imrd/directdoc.asp?DDFDocuments/v/G/TBTN23/RUS142.DOCX", "https://docs.wto.org/imrd/directdoc.asp?DDFDocuments/v/G/TBTN23/RUS142.DOCX")</f>
      </c>
      <c r="R126" s="0" t="s">
        <v>43</v>
      </c>
      <c r="S126" s="0" t="s">
        <v>42</v>
      </c>
      <c r="T126" s="0" t="s">
        <v>42</v>
      </c>
      <c r="U126" s="0" t="s">
        <v>42</v>
      </c>
      <c r="V126" s="0" t="s">
        <v>42</v>
      </c>
      <c r="W126" s="0" t="s">
        <v>42</v>
      </c>
      <c r="X126" s="0" t="s">
        <v>42</v>
      </c>
      <c r="Y126" s="2" t="s">
        <v>667</v>
      </c>
      <c r="Z126" s="0" t="s">
        <v>36</v>
      </c>
      <c r="AA126" s="0" t="s">
        <v>36</v>
      </c>
      <c r="AB126" s="0" t="s">
        <v>36</v>
      </c>
      <c r="AC126" s="0" t="s">
        <v>36</v>
      </c>
      <c r="AD126" s="0" t="s">
        <v>36</v>
      </c>
      <c r="AE126" s="2" t="s">
        <v>36</v>
      </c>
    </row>
    <row r="127">
      <c r="A127" s="6" t="s">
        <v>31</v>
      </c>
      <c r="B127" s="7">
        <v>45072</v>
      </c>
      <c r="C127" s="9">
        <f>HYPERLINK("https://www.epingalert.org/en/Search?viewData= G/SPS/N/RUS/265"," G/SPS/N/RUS/265")</f>
      </c>
      <c r="D127" s="8" t="s">
        <v>668</v>
      </c>
      <c r="E127" s="8" t="s">
        <v>669</v>
      </c>
      <c r="F127" s="8" t="s">
        <v>555</v>
      </c>
      <c r="G127" s="8" t="s">
        <v>36</v>
      </c>
      <c r="H127" s="8" t="s">
        <v>36</v>
      </c>
      <c r="I127" s="8" t="s">
        <v>648</v>
      </c>
      <c r="J127" s="8" t="s">
        <v>670</v>
      </c>
      <c r="K127" s="6" t="s">
        <v>36</v>
      </c>
      <c r="L127" s="7">
        <v>45132</v>
      </c>
      <c r="M127" s="6" t="s">
        <v>51</v>
      </c>
      <c r="N127" s="8" t="s">
        <v>671</v>
      </c>
      <c r="O127" s="6">
        <f>HYPERLINK("https://docs.wto.org/imrd/directdoc.asp?DDFDocuments/t/G/SPS/NRUS265.DOCX", "https://docs.wto.org/imrd/directdoc.asp?DDFDocuments/t/G/SPS/NRUS265.DOCX")</f>
      </c>
      <c r="P127" s="6">
        <f>HYPERLINK("https://docs.wto.org/imrd/directdoc.asp?DDFDocuments/u/G/SPS/NRUS265.DOCX", "https://docs.wto.org/imrd/directdoc.asp?DDFDocuments/u/G/SPS/NRUS265.DOCX")</f>
      </c>
      <c r="Q127" s="6">
        <f>HYPERLINK("https://docs.wto.org/imrd/directdoc.asp?DDFDocuments/v/G/SPS/NRUS265.DOCX", "https://docs.wto.org/imrd/directdoc.asp?DDFDocuments/v/G/SPS/NRUS265.DOCX")</f>
      </c>
      <c r="R127" s="0" t="s">
        <v>36</v>
      </c>
      <c r="S127" s="0" t="s">
        <v>36</v>
      </c>
      <c r="T127" s="0" t="s">
        <v>36</v>
      </c>
      <c r="U127" s="0" t="s">
        <v>36</v>
      </c>
      <c r="V127" s="0" t="s">
        <v>36</v>
      </c>
      <c r="W127" s="0" t="s">
        <v>36</v>
      </c>
      <c r="X127" s="0" t="s">
        <v>36</v>
      </c>
      <c r="Y127" s="2" t="s">
        <v>36</v>
      </c>
      <c r="Z127" s="0" t="s">
        <v>42</v>
      </c>
      <c r="AA127" s="0" t="s">
        <v>42</v>
      </c>
      <c r="AB127" s="0" t="s">
        <v>43</v>
      </c>
      <c r="AC127" s="0" t="s">
        <v>42</v>
      </c>
      <c r="AD127" s="0" t="s">
        <v>43</v>
      </c>
      <c r="AE127" s="2" t="s">
        <v>36</v>
      </c>
    </row>
    <row r="128">
      <c r="A128" s="6" t="s">
        <v>31</v>
      </c>
      <c r="B128" s="7">
        <v>45043</v>
      </c>
      <c r="C128" s="9">
        <f>HYPERLINK("https://www.epingalert.org/en/Search?viewData= G/SPS/N/RUS/264"," G/SPS/N/RUS/264")</f>
      </c>
      <c r="D128" s="8" t="s">
        <v>672</v>
      </c>
      <c r="E128" s="8" t="s">
        <v>673</v>
      </c>
      <c r="F128" s="8" t="s">
        <v>408</v>
      </c>
      <c r="G128" s="8" t="s">
        <v>36</v>
      </c>
      <c r="H128" s="8" t="s">
        <v>36</v>
      </c>
      <c r="I128" s="8" t="s">
        <v>65</v>
      </c>
      <c r="J128" s="8" t="s">
        <v>72</v>
      </c>
      <c r="K128" s="6" t="s">
        <v>36</v>
      </c>
      <c r="L128" s="7">
        <v>45103</v>
      </c>
      <c r="M128" s="6" t="s">
        <v>51</v>
      </c>
      <c r="N128" s="8" t="s">
        <v>674</v>
      </c>
      <c r="O128" s="6">
        <f>HYPERLINK("https://docs.wto.org/imrd/directdoc.asp?DDFDocuments/t/G/SPS/NRUS264.DOCX", "https://docs.wto.org/imrd/directdoc.asp?DDFDocuments/t/G/SPS/NRUS264.DOCX")</f>
      </c>
      <c r="P128" s="6">
        <f>HYPERLINK("https://docs.wto.org/imrd/directdoc.asp?DDFDocuments/u/G/SPS/NRUS264.DOCX", "https://docs.wto.org/imrd/directdoc.asp?DDFDocuments/u/G/SPS/NRUS264.DOCX")</f>
      </c>
      <c r="Q128" s="6">
        <f>HYPERLINK("https://docs.wto.org/imrd/directdoc.asp?DDFDocuments/v/G/SPS/NRUS264.DOCX", "https://docs.wto.org/imrd/directdoc.asp?DDFDocuments/v/G/SPS/NRUS264.DOCX")</f>
      </c>
      <c r="R128" s="0" t="s">
        <v>36</v>
      </c>
      <c r="S128" s="0" t="s">
        <v>36</v>
      </c>
      <c r="T128" s="0" t="s">
        <v>36</v>
      </c>
      <c r="U128" s="0" t="s">
        <v>36</v>
      </c>
      <c r="V128" s="0" t="s">
        <v>36</v>
      </c>
      <c r="W128" s="0" t="s">
        <v>36</v>
      </c>
      <c r="X128" s="0" t="s">
        <v>36</v>
      </c>
      <c r="Y128" s="2" t="s">
        <v>36</v>
      </c>
      <c r="Z128" s="0" t="s">
        <v>42</v>
      </c>
      <c r="AA128" s="0" t="s">
        <v>42</v>
      </c>
      <c r="AB128" s="0" t="s">
        <v>43</v>
      </c>
      <c r="AC128" s="0" t="s">
        <v>42</v>
      </c>
      <c r="AD128" s="0" t="s">
        <v>43</v>
      </c>
      <c r="AE128" s="2" t="s">
        <v>36</v>
      </c>
    </row>
    <row r="129">
      <c r="A129" s="6" t="s">
        <v>31</v>
      </c>
      <c r="B129" s="7">
        <v>45034</v>
      </c>
      <c r="C129" s="9">
        <f>HYPERLINK("https://www.epingalert.org/en/Search?viewData= G/SPS/N/RUS/263"," G/SPS/N/RUS/263")</f>
      </c>
      <c r="D129" s="8" t="s">
        <v>675</v>
      </c>
      <c r="E129" s="8" t="s">
        <v>676</v>
      </c>
      <c r="F129" s="8" t="s">
        <v>220</v>
      </c>
      <c r="G129" s="8" t="s">
        <v>36</v>
      </c>
      <c r="H129" s="8" t="s">
        <v>36</v>
      </c>
      <c r="I129" s="8" t="s">
        <v>37</v>
      </c>
      <c r="J129" s="8" t="s">
        <v>677</v>
      </c>
      <c r="K129" s="6" t="s">
        <v>36</v>
      </c>
      <c r="L129" s="7">
        <v>45094</v>
      </c>
      <c r="M129" s="6" t="s">
        <v>51</v>
      </c>
      <c r="N129" s="8" t="s">
        <v>678</v>
      </c>
      <c r="O129" s="6">
        <f>HYPERLINK("https://docs.wto.org/imrd/directdoc.asp?DDFDocuments/t/G/SPS/NRUS263.DOCX", "https://docs.wto.org/imrd/directdoc.asp?DDFDocuments/t/G/SPS/NRUS263.DOCX")</f>
      </c>
      <c r="P129" s="6">
        <f>HYPERLINK("https://docs.wto.org/imrd/directdoc.asp?DDFDocuments/u/G/SPS/NRUS263.DOCX", "https://docs.wto.org/imrd/directdoc.asp?DDFDocuments/u/G/SPS/NRUS263.DOCX")</f>
      </c>
      <c r="Q129" s="6">
        <f>HYPERLINK("https://docs.wto.org/imrd/directdoc.asp?DDFDocuments/v/G/SPS/NRUS263.DOCX", "https://docs.wto.org/imrd/directdoc.asp?DDFDocuments/v/G/SPS/NRUS263.DOCX")</f>
      </c>
      <c r="R129" s="0" t="s">
        <v>36</v>
      </c>
      <c r="S129" s="0" t="s">
        <v>36</v>
      </c>
      <c r="T129" s="0" t="s">
        <v>36</v>
      </c>
      <c r="U129" s="0" t="s">
        <v>36</v>
      </c>
      <c r="V129" s="0" t="s">
        <v>36</v>
      </c>
      <c r="W129" s="0" t="s">
        <v>36</v>
      </c>
      <c r="X129" s="0" t="s">
        <v>36</v>
      </c>
      <c r="Y129" s="2" t="s">
        <v>36</v>
      </c>
      <c r="Z129" s="0" t="s">
        <v>42</v>
      </c>
      <c r="AA129" s="0" t="s">
        <v>43</v>
      </c>
      <c r="AB129" s="0" t="s">
        <v>42</v>
      </c>
      <c r="AC129" s="0" t="s">
        <v>42</v>
      </c>
      <c r="AD129" s="0" t="s">
        <v>43</v>
      </c>
      <c r="AE129" s="2" t="s">
        <v>36</v>
      </c>
    </row>
    <row r="130">
      <c r="A130" s="6" t="s">
        <v>31</v>
      </c>
      <c r="B130" s="7">
        <v>45021</v>
      </c>
      <c r="C130" s="9">
        <f>HYPERLINK("https://www.epingalert.org/en/Search?viewData= G/SPS/N/RUS/262"," G/SPS/N/RUS/262")</f>
      </c>
      <c r="D130" s="8" t="s">
        <v>679</v>
      </c>
      <c r="E130" s="8" t="s">
        <v>680</v>
      </c>
      <c r="F130" s="8" t="s">
        <v>630</v>
      </c>
      <c r="G130" s="8" t="s">
        <v>681</v>
      </c>
      <c r="H130" s="8" t="s">
        <v>36</v>
      </c>
      <c r="I130" s="8" t="s">
        <v>37</v>
      </c>
      <c r="J130" s="8" t="s">
        <v>682</v>
      </c>
      <c r="K130" s="6" t="s">
        <v>683</v>
      </c>
      <c r="L130" s="7" t="s">
        <v>36</v>
      </c>
      <c r="M130" s="6" t="s">
        <v>40</v>
      </c>
      <c r="N130" s="8" t="s">
        <v>684</v>
      </c>
      <c r="O130" s="6">
        <f>HYPERLINK("https://docs.wto.org/imrd/directdoc.asp?DDFDocuments/t/G/SPS/NRUS262.DOCX", "https://docs.wto.org/imrd/directdoc.asp?DDFDocuments/t/G/SPS/NRUS262.DOCX")</f>
      </c>
      <c r="P130" s="6">
        <f>HYPERLINK("https://docs.wto.org/imrd/directdoc.asp?DDFDocuments/u/G/SPS/NRUS262.DOCX", "https://docs.wto.org/imrd/directdoc.asp?DDFDocuments/u/G/SPS/NRUS262.DOCX")</f>
      </c>
      <c r="Q130" s="6">
        <f>HYPERLINK("https://docs.wto.org/imrd/directdoc.asp?DDFDocuments/v/G/SPS/NRUS262.DOCX", "https://docs.wto.org/imrd/directdoc.asp?DDFDocuments/v/G/SPS/NRUS262.DOCX")</f>
      </c>
      <c r="R130" s="0" t="s">
        <v>36</v>
      </c>
      <c r="S130" s="0" t="s">
        <v>36</v>
      </c>
      <c r="T130" s="0" t="s">
        <v>36</v>
      </c>
      <c r="U130" s="0" t="s">
        <v>36</v>
      </c>
      <c r="V130" s="0" t="s">
        <v>36</v>
      </c>
      <c r="W130" s="0" t="s">
        <v>36</v>
      </c>
      <c r="X130" s="0" t="s">
        <v>36</v>
      </c>
      <c r="Y130" s="2" t="s">
        <v>36</v>
      </c>
      <c r="Z130" s="0" t="s">
        <v>42</v>
      </c>
      <c r="AA130" s="0" t="s">
        <v>43</v>
      </c>
      <c r="AB130" s="0" t="s">
        <v>42</v>
      </c>
      <c r="AC130" s="0" t="s">
        <v>42</v>
      </c>
      <c r="AD130" s="0" t="s">
        <v>43</v>
      </c>
      <c r="AE130" s="2" t="s">
        <v>36</v>
      </c>
    </row>
    <row r="131">
      <c r="A131" s="6" t="s">
        <v>31</v>
      </c>
      <c r="B131" s="7">
        <v>45019</v>
      </c>
      <c r="C131" s="9">
        <f>HYPERLINK("https://www.epingalert.org/en/Search?viewData= G/SPS/N/RUS/256/Corr.1"," G/SPS/N/RUS/256/Corr.1")</f>
      </c>
      <c r="D131" s="8" t="s">
        <v>685</v>
      </c>
      <c r="E131" s="8" t="s">
        <v>686</v>
      </c>
      <c r="F131" s="8" t="s">
        <v>687</v>
      </c>
      <c r="G131" s="8" t="s">
        <v>688</v>
      </c>
      <c r="H131" s="8" t="s">
        <v>36</v>
      </c>
      <c r="I131" s="8" t="s">
        <v>505</v>
      </c>
      <c r="J131" s="8" t="s">
        <v>689</v>
      </c>
      <c r="K131" s="6"/>
      <c r="L131" s="7" t="s">
        <v>36</v>
      </c>
      <c r="M131" s="6" t="s">
        <v>690</v>
      </c>
      <c r="N131" s="8" t="s">
        <v>691</v>
      </c>
      <c r="O131" s="6">
        <f>HYPERLINK("https://docs.wto.org/imrd/directdoc.asp?DDFDocuments/t/G/SPS/NRUS256C1.DOCX", "https://docs.wto.org/imrd/directdoc.asp?DDFDocuments/t/G/SPS/NRUS256C1.DOCX")</f>
      </c>
      <c r="P131" s="6">
        <f>HYPERLINK("https://docs.wto.org/imrd/directdoc.asp?DDFDocuments/u/G/SPS/NRUS256C1.DOCX", "https://docs.wto.org/imrd/directdoc.asp?DDFDocuments/u/G/SPS/NRUS256C1.DOCX")</f>
      </c>
      <c r="Q131" s="6">
        <f>HYPERLINK("https://docs.wto.org/imrd/directdoc.asp?DDFDocuments/v/G/SPS/NRUS256C1.DOCX", "https://docs.wto.org/imrd/directdoc.asp?DDFDocuments/v/G/SPS/NRUS256C1.DOCX")</f>
      </c>
      <c r="R131" s="0" t="s">
        <v>36</v>
      </c>
      <c r="S131" s="0" t="s">
        <v>36</v>
      </c>
      <c r="T131" s="0" t="s">
        <v>36</v>
      </c>
      <c r="U131" s="0" t="s">
        <v>36</v>
      </c>
      <c r="V131" s="0" t="s">
        <v>36</v>
      </c>
      <c r="W131" s="0" t="s">
        <v>36</v>
      </c>
      <c r="X131" s="0" t="s">
        <v>36</v>
      </c>
      <c r="Y131" s="2" t="s">
        <v>36</v>
      </c>
      <c r="Z131" s="0" t="s">
        <v>36</v>
      </c>
      <c r="AA131" s="0" t="s">
        <v>36</v>
      </c>
      <c r="AB131" s="0" t="s">
        <v>36</v>
      </c>
      <c r="AC131" s="0" t="s">
        <v>36</v>
      </c>
      <c r="AD131" s="0" t="s">
        <v>36</v>
      </c>
      <c r="AE131" s="2" t="s">
        <v>36</v>
      </c>
    </row>
    <row r="132">
      <c r="A132" s="6" t="s">
        <v>31</v>
      </c>
      <c r="B132" s="7">
        <v>45002</v>
      </c>
      <c r="C132" s="9">
        <f>HYPERLINK("https://www.epingalert.org/en/Search?viewData= G/SPS/N/RUS/261"," G/SPS/N/RUS/261")</f>
      </c>
      <c r="D132" s="8" t="s">
        <v>692</v>
      </c>
      <c r="E132" s="8" t="s">
        <v>693</v>
      </c>
      <c r="F132" s="8" t="s">
        <v>694</v>
      </c>
      <c r="G132" s="8" t="s">
        <v>695</v>
      </c>
      <c r="H132" s="8" t="s">
        <v>36</v>
      </c>
      <c r="I132" s="8" t="s">
        <v>505</v>
      </c>
      <c r="J132" s="8" t="s">
        <v>696</v>
      </c>
      <c r="K132" s="6" t="s">
        <v>697</v>
      </c>
      <c r="L132" s="7" t="s">
        <v>36</v>
      </c>
      <c r="M132" s="6" t="s">
        <v>40</v>
      </c>
      <c r="N132" s="8" t="s">
        <v>698</v>
      </c>
      <c r="O132" s="6">
        <f>HYPERLINK("https://docs.wto.org/imrd/directdoc.asp?DDFDocuments/t/G/SPS/NRUS261.DOCX", "https://docs.wto.org/imrd/directdoc.asp?DDFDocuments/t/G/SPS/NRUS261.DOCX")</f>
      </c>
      <c r="P132" s="6">
        <f>HYPERLINK("https://docs.wto.org/imrd/directdoc.asp?DDFDocuments/u/G/SPS/NRUS261.DOCX", "https://docs.wto.org/imrd/directdoc.asp?DDFDocuments/u/G/SPS/NRUS261.DOCX")</f>
      </c>
      <c r="Q132" s="6">
        <f>HYPERLINK("https://docs.wto.org/imrd/directdoc.asp?DDFDocuments/v/G/SPS/NRUS261.DOCX", "https://docs.wto.org/imrd/directdoc.asp?DDFDocuments/v/G/SPS/NRUS261.DOCX")</f>
      </c>
      <c r="R132" s="0" t="s">
        <v>36</v>
      </c>
      <c r="S132" s="0" t="s">
        <v>36</v>
      </c>
      <c r="T132" s="0" t="s">
        <v>36</v>
      </c>
      <c r="U132" s="0" t="s">
        <v>36</v>
      </c>
      <c r="V132" s="0" t="s">
        <v>36</v>
      </c>
      <c r="W132" s="0" t="s">
        <v>36</v>
      </c>
      <c r="X132" s="0" t="s">
        <v>36</v>
      </c>
      <c r="Y132" s="2" t="s">
        <v>36</v>
      </c>
      <c r="Z132" s="0" t="s">
        <v>42</v>
      </c>
      <c r="AA132" s="0" t="s">
        <v>42</v>
      </c>
      <c r="AB132" s="0" t="s">
        <v>43</v>
      </c>
      <c r="AC132" s="0" t="s">
        <v>42</v>
      </c>
      <c r="AD132" s="0" t="s">
        <v>43</v>
      </c>
      <c r="AE132" s="2" t="s">
        <v>36</v>
      </c>
    </row>
    <row r="133">
      <c r="A133" s="6" t="s">
        <v>31</v>
      </c>
      <c r="B133" s="7">
        <v>45002</v>
      </c>
      <c r="C133" s="9">
        <f>HYPERLINK("https://www.epingalert.org/en/Search?viewData= G/SPS/N/RUS/260"," G/SPS/N/RUS/260")</f>
      </c>
      <c r="D133" s="8" t="s">
        <v>699</v>
      </c>
      <c r="E133" s="8" t="s">
        <v>700</v>
      </c>
      <c r="F133" s="8" t="s">
        <v>694</v>
      </c>
      <c r="G133" s="8" t="s">
        <v>695</v>
      </c>
      <c r="H133" s="8" t="s">
        <v>36</v>
      </c>
      <c r="I133" s="8" t="s">
        <v>505</v>
      </c>
      <c r="J133" s="8" t="s">
        <v>701</v>
      </c>
      <c r="K133" s="6" t="s">
        <v>702</v>
      </c>
      <c r="L133" s="7" t="s">
        <v>36</v>
      </c>
      <c r="M133" s="6" t="s">
        <v>40</v>
      </c>
      <c r="N133" s="8" t="s">
        <v>703</v>
      </c>
      <c r="O133" s="6">
        <f>HYPERLINK("https://docs.wto.org/imrd/directdoc.asp?DDFDocuments/t/G/SPS/NRUS260.DOCX", "https://docs.wto.org/imrd/directdoc.asp?DDFDocuments/t/G/SPS/NRUS260.DOCX")</f>
      </c>
      <c r="P133" s="6">
        <f>HYPERLINK("https://docs.wto.org/imrd/directdoc.asp?DDFDocuments/u/G/SPS/NRUS260.DOCX", "https://docs.wto.org/imrd/directdoc.asp?DDFDocuments/u/G/SPS/NRUS260.DOCX")</f>
      </c>
      <c r="Q133" s="6">
        <f>HYPERLINK("https://docs.wto.org/imrd/directdoc.asp?DDFDocuments/v/G/SPS/NRUS260.DOCX", "https://docs.wto.org/imrd/directdoc.asp?DDFDocuments/v/G/SPS/NRUS260.DOCX")</f>
      </c>
      <c r="R133" s="0" t="s">
        <v>36</v>
      </c>
      <c r="S133" s="0" t="s">
        <v>36</v>
      </c>
      <c r="T133" s="0" t="s">
        <v>36</v>
      </c>
      <c r="U133" s="0" t="s">
        <v>36</v>
      </c>
      <c r="V133" s="0" t="s">
        <v>36</v>
      </c>
      <c r="W133" s="0" t="s">
        <v>36</v>
      </c>
      <c r="X133" s="0" t="s">
        <v>36</v>
      </c>
      <c r="Y133" s="2" t="s">
        <v>36</v>
      </c>
      <c r="Z133" s="0" t="s">
        <v>42</v>
      </c>
      <c r="AA133" s="0" t="s">
        <v>42</v>
      </c>
      <c r="AB133" s="0" t="s">
        <v>43</v>
      </c>
      <c r="AC133" s="0" t="s">
        <v>42</v>
      </c>
      <c r="AD133" s="0" t="s">
        <v>43</v>
      </c>
      <c r="AE133" s="2" t="s">
        <v>36</v>
      </c>
    </row>
    <row r="134">
      <c r="A134" s="6" t="s">
        <v>31</v>
      </c>
      <c r="B134" s="7">
        <v>44978</v>
      </c>
      <c r="C134" s="9">
        <f>HYPERLINK("https://www.epingalert.org/en/Search?viewData= G/SPS/N/RUS/259"," G/SPS/N/RUS/259")</f>
      </c>
      <c r="D134" s="8" t="s">
        <v>704</v>
      </c>
      <c r="E134" s="8" t="s">
        <v>705</v>
      </c>
      <c r="F134" s="8" t="s">
        <v>706</v>
      </c>
      <c r="G134" s="8" t="s">
        <v>707</v>
      </c>
      <c r="H134" s="8" t="s">
        <v>36</v>
      </c>
      <c r="I134" s="8" t="s">
        <v>332</v>
      </c>
      <c r="J134" s="8" t="s">
        <v>708</v>
      </c>
      <c r="K134" s="6" t="s">
        <v>709</v>
      </c>
      <c r="L134" s="7" t="s">
        <v>36</v>
      </c>
      <c r="M134" s="6" t="s">
        <v>40</v>
      </c>
      <c r="N134" s="8" t="s">
        <v>710</v>
      </c>
      <c r="O134" s="6">
        <f>HYPERLINK("https://docs.wto.org/imrd/directdoc.asp?DDFDocuments/t/G/SPS/NRUS259.DOCX", "https://docs.wto.org/imrd/directdoc.asp?DDFDocuments/t/G/SPS/NRUS259.DOCX")</f>
      </c>
      <c r="P134" s="6">
        <f>HYPERLINK("https://docs.wto.org/imrd/directdoc.asp?DDFDocuments/u/G/SPS/NRUS259.DOCX", "https://docs.wto.org/imrd/directdoc.asp?DDFDocuments/u/G/SPS/NRUS259.DOCX")</f>
      </c>
      <c r="Q134" s="6">
        <f>HYPERLINK("https://docs.wto.org/imrd/directdoc.asp?DDFDocuments/v/G/SPS/NRUS259.DOCX", "https://docs.wto.org/imrd/directdoc.asp?DDFDocuments/v/G/SPS/NRUS259.DOCX")</f>
      </c>
      <c r="R134" s="0" t="s">
        <v>36</v>
      </c>
      <c r="S134" s="0" t="s">
        <v>36</v>
      </c>
      <c r="T134" s="0" t="s">
        <v>36</v>
      </c>
      <c r="U134" s="0" t="s">
        <v>36</v>
      </c>
      <c r="V134" s="0" t="s">
        <v>36</v>
      </c>
      <c r="W134" s="0" t="s">
        <v>36</v>
      </c>
      <c r="X134" s="0" t="s">
        <v>36</v>
      </c>
      <c r="Y134" s="2" t="s">
        <v>36</v>
      </c>
      <c r="Z134" s="0" t="s">
        <v>42</v>
      </c>
      <c r="AA134" s="0" t="s">
        <v>43</v>
      </c>
      <c r="AB134" s="0" t="s">
        <v>42</v>
      </c>
      <c r="AC134" s="0" t="s">
        <v>42</v>
      </c>
      <c r="AD134" s="0" t="s">
        <v>43</v>
      </c>
      <c r="AE134" s="2" t="s">
        <v>36</v>
      </c>
    </row>
    <row r="135">
      <c r="A135" s="6" t="s">
        <v>31</v>
      </c>
      <c r="B135" s="7">
        <v>44978</v>
      </c>
      <c r="C135" s="9">
        <f>HYPERLINK("https://www.epingalert.org/en/Search?viewData= G/SPS/N/RUS/257"," G/SPS/N/RUS/257")</f>
      </c>
      <c r="D135" s="8" t="s">
        <v>711</v>
      </c>
      <c r="E135" s="8" t="s">
        <v>712</v>
      </c>
      <c r="F135" s="8" t="s">
        <v>706</v>
      </c>
      <c r="G135" s="8" t="s">
        <v>713</v>
      </c>
      <c r="H135" s="8" t="s">
        <v>36</v>
      </c>
      <c r="I135" s="8" t="s">
        <v>332</v>
      </c>
      <c r="J135" s="8" t="s">
        <v>708</v>
      </c>
      <c r="K135" s="6" t="s">
        <v>714</v>
      </c>
      <c r="L135" s="7" t="s">
        <v>36</v>
      </c>
      <c r="M135" s="6" t="s">
        <v>40</v>
      </c>
      <c r="N135" s="8" t="s">
        <v>715</v>
      </c>
      <c r="O135" s="6">
        <f>HYPERLINK("https://docs.wto.org/imrd/directdoc.asp?DDFDocuments/t/G/SPS/NRUS257.DOCX", "https://docs.wto.org/imrd/directdoc.asp?DDFDocuments/t/G/SPS/NRUS257.DOCX")</f>
      </c>
      <c r="P135" s="6">
        <f>HYPERLINK("https://docs.wto.org/imrd/directdoc.asp?DDFDocuments/u/G/SPS/NRUS257.DOCX", "https://docs.wto.org/imrd/directdoc.asp?DDFDocuments/u/G/SPS/NRUS257.DOCX")</f>
      </c>
      <c r="Q135" s="6">
        <f>HYPERLINK("https://docs.wto.org/imrd/directdoc.asp?DDFDocuments/v/G/SPS/NRUS257.DOCX", "https://docs.wto.org/imrd/directdoc.asp?DDFDocuments/v/G/SPS/NRUS257.DOCX")</f>
      </c>
      <c r="R135" s="0" t="s">
        <v>36</v>
      </c>
      <c r="S135" s="0" t="s">
        <v>36</v>
      </c>
      <c r="T135" s="0" t="s">
        <v>36</v>
      </c>
      <c r="U135" s="0" t="s">
        <v>36</v>
      </c>
      <c r="V135" s="0" t="s">
        <v>36</v>
      </c>
      <c r="W135" s="0" t="s">
        <v>36</v>
      </c>
      <c r="X135" s="0" t="s">
        <v>36</v>
      </c>
      <c r="Y135" s="2" t="s">
        <v>36</v>
      </c>
      <c r="Z135" s="0" t="s">
        <v>42</v>
      </c>
      <c r="AA135" s="0" t="s">
        <v>43</v>
      </c>
      <c r="AB135" s="0" t="s">
        <v>42</v>
      </c>
      <c r="AC135" s="0" t="s">
        <v>42</v>
      </c>
      <c r="AD135" s="0" t="s">
        <v>43</v>
      </c>
      <c r="AE135" s="2" t="s">
        <v>36</v>
      </c>
    </row>
    <row r="136">
      <c r="A136" s="6" t="s">
        <v>31</v>
      </c>
      <c r="B136" s="7">
        <v>44978</v>
      </c>
      <c r="C136" s="9">
        <f>HYPERLINK("https://www.epingalert.org/en/Search?viewData= G/SPS/N/RUS/258"," G/SPS/N/RUS/258")</f>
      </c>
      <c r="D136" s="8" t="s">
        <v>716</v>
      </c>
      <c r="E136" s="8" t="s">
        <v>717</v>
      </c>
      <c r="F136" s="8" t="s">
        <v>706</v>
      </c>
      <c r="G136" s="8" t="s">
        <v>718</v>
      </c>
      <c r="H136" s="8" t="s">
        <v>36</v>
      </c>
      <c r="I136" s="8" t="s">
        <v>332</v>
      </c>
      <c r="J136" s="8" t="s">
        <v>719</v>
      </c>
      <c r="K136" s="6" t="s">
        <v>720</v>
      </c>
      <c r="L136" s="7" t="s">
        <v>36</v>
      </c>
      <c r="M136" s="6" t="s">
        <v>40</v>
      </c>
      <c r="N136" s="8" t="s">
        <v>721</v>
      </c>
      <c r="O136" s="6">
        <f>HYPERLINK("https://docs.wto.org/imrd/directdoc.asp?DDFDocuments/t/G/SPS/NRUS258.DOCX", "https://docs.wto.org/imrd/directdoc.asp?DDFDocuments/t/G/SPS/NRUS258.DOCX")</f>
      </c>
      <c r="P136" s="6">
        <f>HYPERLINK("https://docs.wto.org/imrd/directdoc.asp?DDFDocuments/u/G/SPS/NRUS258.DOCX", "https://docs.wto.org/imrd/directdoc.asp?DDFDocuments/u/G/SPS/NRUS258.DOCX")</f>
      </c>
      <c r="Q136" s="6">
        <f>HYPERLINK("https://docs.wto.org/imrd/directdoc.asp?DDFDocuments/v/G/SPS/NRUS258.DOCX", "https://docs.wto.org/imrd/directdoc.asp?DDFDocuments/v/G/SPS/NRUS258.DOCX")</f>
      </c>
      <c r="R136" s="0" t="s">
        <v>36</v>
      </c>
      <c r="S136" s="0" t="s">
        <v>36</v>
      </c>
      <c r="T136" s="0" t="s">
        <v>36</v>
      </c>
      <c r="U136" s="0" t="s">
        <v>36</v>
      </c>
      <c r="V136" s="0" t="s">
        <v>36</v>
      </c>
      <c r="W136" s="0" t="s">
        <v>36</v>
      </c>
      <c r="X136" s="0" t="s">
        <v>36</v>
      </c>
      <c r="Y136" s="2" t="s">
        <v>36</v>
      </c>
      <c r="Z136" s="0" t="s">
        <v>42</v>
      </c>
      <c r="AA136" s="0" t="s">
        <v>43</v>
      </c>
      <c r="AB136" s="0" t="s">
        <v>42</v>
      </c>
      <c r="AC136" s="0" t="s">
        <v>42</v>
      </c>
      <c r="AD136" s="0" t="s">
        <v>43</v>
      </c>
      <c r="AE136" s="2" t="s">
        <v>36</v>
      </c>
    </row>
    <row r="137">
      <c r="A137" s="6" t="s">
        <v>31</v>
      </c>
      <c r="B137" s="7">
        <v>44966</v>
      </c>
      <c r="C137" s="9">
        <f>HYPERLINK("https://www.epingalert.org/en/Search?viewData= G/TBT/N/RUS/139"," G/TBT/N/RUS/139")</f>
      </c>
      <c r="D137" s="8" t="s">
        <v>722</v>
      </c>
      <c r="E137" s="8" t="s">
        <v>723</v>
      </c>
      <c r="F137" s="8" t="s">
        <v>724</v>
      </c>
      <c r="G137" s="8" t="s">
        <v>725</v>
      </c>
      <c r="H137" s="8" t="s">
        <v>36</v>
      </c>
      <c r="I137" s="8" t="s">
        <v>164</v>
      </c>
      <c r="J137" s="8" t="s">
        <v>58</v>
      </c>
      <c r="K137" s="6"/>
      <c r="L137" s="7">
        <v>45026</v>
      </c>
      <c r="M137" s="6" t="s">
        <v>51</v>
      </c>
      <c r="N137" s="6"/>
      <c r="O137" s="6">
        <f>HYPERLINK("https://docs.wto.org/imrd/directdoc.asp?DDFDocuments/t/G/TBTN23/RUS139.DOCX", "https://docs.wto.org/imrd/directdoc.asp?DDFDocuments/t/G/TBTN23/RUS139.DOCX")</f>
      </c>
      <c r="P137" s="6">
        <f>HYPERLINK("https://docs.wto.org/imrd/directdoc.asp?DDFDocuments/u/G/TBTN23/RUS139.DOCX", "https://docs.wto.org/imrd/directdoc.asp?DDFDocuments/u/G/TBTN23/RUS139.DOCX")</f>
      </c>
      <c r="Q137" s="6">
        <f>HYPERLINK("https://docs.wto.org/imrd/directdoc.asp?DDFDocuments/v/G/TBTN23/RUS139.DOCX", "https://docs.wto.org/imrd/directdoc.asp?DDFDocuments/v/G/TBTN23/RUS139.DOCX")</f>
      </c>
      <c r="R137" s="0" t="s">
        <v>43</v>
      </c>
      <c r="S137" s="0" t="s">
        <v>42</v>
      </c>
      <c r="T137" s="0" t="s">
        <v>42</v>
      </c>
      <c r="U137" s="0" t="s">
        <v>42</v>
      </c>
      <c r="V137" s="0" t="s">
        <v>42</v>
      </c>
      <c r="W137" s="0" t="s">
        <v>42</v>
      </c>
      <c r="X137" s="0" t="s">
        <v>42</v>
      </c>
      <c r="Y137" s="2" t="s">
        <v>726</v>
      </c>
      <c r="Z137" s="0" t="s">
        <v>36</v>
      </c>
      <c r="AA137" s="0" t="s">
        <v>36</v>
      </c>
      <c r="AB137" s="0" t="s">
        <v>36</v>
      </c>
      <c r="AC137" s="0" t="s">
        <v>36</v>
      </c>
      <c r="AD137" s="0" t="s">
        <v>36</v>
      </c>
      <c r="AE137" s="2" t="s">
        <v>36</v>
      </c>
    </row>
    <row r="138">
      <c r="A138" s="6" t="s">
        <v>31</v>
      </c>
      <c r="B138" s="7">
        <v>44966</v>
      </c>
      <c r="C138" s="9">
        <f>HYPERLINK("https://www.epingalert.org/en/Search?viewData= G/TBT/N/RUS/138"," G/TBT/N/RUS/138")</f>
      </c>
      <c r="D138" s="8" t="s">
        <v>727</v>
      </c>
      <c r="E138" s="8" t="s">
        <v>728</v>
      </c>
      <c r="F138" s="8" t="s">
        <v>729</v>
      </c>
      <c r="G138" s="8" t="s">
        <v>730</v>
      </c>
      <c r="H138" s="8" t="s">
        <v>36</v>
      </c>
      <c r="I138" s="8" t="s">
        <v>164</v>
      </c>
      <c r="J138" s="8" t="s">
        <v>58</v>
      </c>
      <c r="K138" s="6"/>
      <c r="L138" s="7">
        <v>45026</v>
      </c>
      <c r="M138" s="6" t="s">
        <v>51</v>
      </c>
      <c r="N138" s="6"/>
      <c r="O138" s="6">
        <f>HYPERLINK("https://docs.wto.org/imrd/directdoc.asp?DDFDocuments/t/G/TBTN23/RUS138.DOCX", "https://docs.wto.org/imrd/directdoc.asp?DDFDocuments/t/G/TBTN23/RUS138.DOCX")</f>
      </c>
      <c r="P138" s="6">
        <f>HYPERLINK("https://docs.wto.org/imrd/directdoc.asp?DDFDocuments/u/G/TBTN23/RUS138.DOCX", "https://docs.wto.org/imrd/directdoc.asp?DDFDocuments/u/G/TBTN23/RUS138.DOCX")</f>
      </c>
      <c r="Q138" s="6">
        <f>HYPERLINK("https://docs.wto.org/imrd/directdoc.asp?DDFDocuments/v/G/TBTN23/RUS138.DOCX", "https://docs.wto.org/imrd/directdoc.asp?DDFDocuments/v/G/TBTN23/RUS138.DOCX")</f>
      </c>
      <c r="R138" s="0" t="s">
        <v>43</v>
      </c>
      <c r="S138" s="0" t="s">
        <v>42</v>
      </c>
      <c r="T138" s="0" t="s">
        <v>42</v>
      </c>
      <c r="U138" s="0" t="s">
        <v>42</v>
      </c>
      <c r="V138" s="0" t="s">
        <v>42</v>
      </c>
      <c r="W138" s="0" t="s">
        <v>42</v>
      </c>
      <c r="X138" s="0" t="s">
        <v>42</v>
      </c>
      <c r="Y138" s="2" t="s">
        <v>731</v>
      </c>
      <c r="Z138" s="0" t="s">
        <v>36</v>
      </c>
      <c r="AA138" s="0" t="s">
        <v>36</v>
      </c>
      <c r="AB138" s="0" t="s">
        <v>36</v>
      </c>
      <c r="AC138" s="0" t="s">
        <v>36</v>
      </c>
      <c r="AD138" s="0" t="s">
        <v>36</v>
      </c>
      <c r="AE138" s="2" t="s">
        <v>36</v>
      </c>
    </row>
    <row r="139">
      <c r="A139" s="6" t="s">
        <v>31</v>
      </c>
      <c r="B139" s="7">
        <v>44939</v>
      </c>
      <c r="C139" s="9">
        <f>HYPERLINK("https://www.epingalert.org/en/Search?viewData= G/TBT/N/RUS/137"," G/TBT/N/RUS/137")</f>
      </c>
      <c r="D139" s="8" t="s">
        <v>732</v>
      </c>
      <c r="E139" s="8" t="s">
        <v>733</v>
      </c>
      <c r="F139" s="8" t="s">
        <v>734</v>
      </c>
      <c r="G139" s="8" t="s">
        <v>36</v>
      </c>
      <c r="H139" s="8" t="s">
        <v>735</v>
      </c>
      <c r="I139" s="8" t="s">
        <v>164</v>
      </c>
      <c r="J139" s="8" t="s">
        <v>36</v>
      </c>
      <c r="K139" s="6"/>
      <c r="L139" s="7">
        <v>44999</v>
      </c>
      <c r="M139" s="6" t="s">
        <v>51</v>
      </c>
      <c r="N139" s="8" t="s">
        <v>736</v>
      </c>
      <c r="O139" s="6">
        <f>HYPERLINK("https://docs.wto.org/imrd/directdoc.asp?DDFDocuments/t/G/TBTN23/RUS137.DOCX", "https://docs.wto.org/imrd/directdoc.asp?DDFDocuments/t/G/TBTN23/RUS137.DOCX")</f>
      </c>
      <c r="P139" s="6">
        <f>HYPERLINK("https://docs.wto.org/imrd/directdoc.asp?DDFDocuments/u/G/TBTN23/RUS137.DOCX", "https://docs.wto.org/imrd/directdoc.asp?DDFDocuments/u/G/TBTN23/RUS137.DOCX")</f>
      </c>
      <c r="Q139" s="6">
        <f>HYPERLINK("https://docs.wto.org/imrd/directdoc.asp?DDFDocuments/v/G/TBTN23/RUS137.DOCX", "https://docs.wto.org/imrd/directdoc.asp?DDFDocuments/v/G/TBTN23/RUS137.DOCX")</f>
      </c>
      <c r="R139" s="0" t="s">
        <v>43</v>
      </c>
      <c r="S139" s="0" t="s">
        <v>42</v>
      </c>
      <c r="T139" s="0" t="s">
        <v>42</v>
      </c>
      <c r="U139" s="0" t="s">
        <v>42</v>
      </c>
      <c r="V139" s="0" t="s">
        <v>42</v>
      </c>
      <c r="W139" s="0" t="s">
        <v>42</v>
      </c>
      <c r="X139" s="0" t="s">
        <v>42</v>
      </c>
      <c r="Y139" s="2" t="s">
        <v>737</v>
      </c>
      <c r="Z139" s="0" t="s">
        <v>36</v>
      </c>
      <c r="AA139" s="0" t="s">
        <v>36</v>
      </c>
      <c r="AB139" s="0" t="s">
        <v>36</v>
      </c>
      <c r="AC139" s="0" t="s">
        <v>36</v>
      </c>
      <c r="AD139" s="0" t="s">
        <v>36</v>
      </c>
      <c r="AE139" s="2" t="s">
        <v>36</v>
      </c>
    </row>
    <row r="140">
      <c r="A140" s="6" t="s">
        <v>31</v>
      </c>
      <c r="B140" s="7">
        <v>44900</v>
      </c>
      <c r="C140" s="9">
        <f>HYPERLINK("https://www.epingalert.org/en/Search?viewData= G/SPS/N/RUS/256"," G/SPS/N/RUS/256")</f>
      </c>
      <c r="D140" s="8" t="s">
        <v>685</v>
      </c>
      <c r="E140" s="8" t="s">
        <v>738</v>
      </c>
      <c r="F140" s="8" t="s">
        <v>687</v>
      </c>
      <c r="G140" s="8" t="s">
        <v>739</v>
      </c>
      <c r="H140" s="8" t="s">
        <v>36</v>
      </c>
      <c r="I140" s="8" t="s">
        <v>505</v>
      </c>
      <c r="J140" s="8" t="s">
        <v>506</v>
      </c>
      <c r="K140" s="6" t="s">
        <v>626</v>
      </c>
      <c r="L140" s="7" t="s">
        <v>36</v>
      </c>
      <c r="M140" s="6" t="s">
        <v>40</v>
      </c>
      <c r="N140" s="8" t="s">
        <v>740</v>
      </c>
      <c r="O140" s="6">
        <f>HYPERLINK("https://docs.wto.org/imrd/directdoc.asp?DDFDocuments/t/G/SPS/NRUS256.DOCX", "https://docs.wto.org/imrd/directdoc.asp?DDFDocuments/t/G/SPS/NRUS256.DOCX")</f>
      </c>
      <c r="P140" s="6">
        <f>HYPERLINK("https://docs.wto.org/imrd/directdoc.asp?DDFDocuments/u/G/SPS/NRUS256.DOCX", "https://docs.wto.org/imrd/directdoc.asp?DDFDocuments/u/G/SPS/NRUS256.DOCX")</f>
      </c>
      <c r="Q140" s="6">
        <f>HYPERLINK("https://docs.wto.org/imrd/directdoc.asp?DDFDocuments/v/G/SPS/NRUS256.DOCX", "https://docs.wto.org/imrd/directdoc.asp?DDFDocuments/v/G/SPS/NRUS256.DOCX")</f>
      </c>
      <c r="R140" s="0" t="s">
        <v>36</v>
      </c>
      <c r="S140" s="0" t="s">
        <v>36</v>
      </c>
      <c r="T140" s="0" t="s">
        <v>36</v>
      </c>
      <c r="U140" s="0" t="s">
        <v>36</v>
      </c>
      <c r="V140" s="0" t="s">
        <v>36</v>
      </c>
      <c r="W140" s="0" t="s">
        <v>36</v>
      </c>
      <c r="X140" s="0" t="s">
        <v>36</v>
      </c>
      <c r="Y140" s="2" t="s">
        <v>36</v>
      </c>
      <c r="Z140" s="0" t="s">
        <v>42</v>
      </c>
      <c r="AA140" s="0" t="s">
        <v>42</v>
      </c>
      <c r="AB140" s="0" t="s">
        <v>43</v>
      </c>
      <c r="AC140" s="0" t="s">
        <v>42</v>
      </c>
      <c r="AD140" s="0" t="s">
        <v>43</v>
      </c>
      <c r="AE140" s="2" t="s">
        <v>36</v>
      </c>
    </row>
    <row r="141">
      <c r="A141" s="6" t="s">
        <v>31</v>
      </c>
      <c r="B141" s="7">
        <v>44795</v>
      </c>
      <c r="C141" s="9">
        <f>HYPERLINK("https://www.epingalert.org/en/Search?viewData= G/SPS/N/RUS/255"," G/SPS/N/RUS/255")</f>
      </c>
      <c r="D141" s="8" t="s">
        <v>741</v>
      </c>
      <c r="E141" s="8" t="s">
        <v>742</v>
      </c>
      <c r="F141" s="8" t="s">
        <v>408</v>
      </c>
      <c r="G141" s="8" t="s">
        <v>36</v>
      </c>
      <c r="H141" s="8" t="s">
        <v>36</v>
      </c>
      <c r="I141" s="8" t="s">
        <v>65</v>
      </c>
      <c r="J141" s="8" t="s">
        <v>72</v>
      </c>
      <c r="K141" s="6" t="s">
        <v>36</v>
      </c>
      <c r="L141" s="7">
        <v>44848</v>
      </c>
      <c r="M141" s="6" t="s">
        <v>51</v>
      </c>
      <c r="N141" s="8" t="s">
        <v>743</v>
      </c>
      <c r="O141" s="6">
        <f>HYPERLINK("https://docs.wto.org/imrd/directdoc.asp?DDFDocuments/t/G/SPS/NRUS255.DOCX", "https://docs.wto.org/imrd/directdoc.asp?DDFDocuments/t/G/SPS/NRUS255.DOCX")</f>
      </c>
      <c r="P141" s="6">
        <f>HYPERLINK("https://docs.wto.org/imrd/directdoc.asp?DDFDocuments/u/G/SPS/NRUS255.DOCX", "https://docs.wto.org/imrd/directdoc.asp?DDFDocuments/u/G/SPS/NRUS255.DOCX")</f>
      </c>
      <c r="Q141" s="6">
        <f>HYPERLINK("https://docs.wto.org/imrd/directdoc.asp?DDFDocuments/v/G/SPS/NRUS255.DOCX", "https://docs.wto.org/imrd/directdoc.asp?DDFDocuments/v/G/SPS/NRUS255.DOCX")</f>
      </c>
      <c r="R141" s="0" t="s">
        <v>36</v>
      </c>
      <c r="S141" s="0" t="s">
        <v>36</v>
      </c>
      <c r="T141" s="0" t="s">
        <v>36</v>
      </c>
      <c r="U141" s="0" t="s">
        <v>36</v>
      </c>
      <c r="V141" s="0" t="s">
        <v>36</v>
      </c>
      <c r="W141" s="0" t="s">
        <v>36</v>
      </c>
      <c r="X141" s="0" t="s">
        <v>36</v>
      </c>
      <c r="Y141" s="2" t="s">
        <v>36</v>
      </c>
      <c r="Z141" s="0" t="s">
        <v>42</v>
      </c>
      <c r="AA141" s="0" t="s">
        <v>42</v>
      </c>
      <c r="AB141" s="0" t="s">
        <v>43</v>
      </c>
      <c r="AC141" s="0" t="s">
        <v>42</v>
      </c>
      <c r="AD141" s="0" t="s">
        <v>43</v>
      </c>
      <c r="AE141" s="2" t="s">
        <v>36</v>
      </c>
    </row>
    <row r="142">
      <c r="A142" s="6" t="s">
        <v>31</v>
      </c>
      <c r="B142" s="7">
        <v>44795</v>
      </c>
      <c r="C142" s="9">
        <f>HYPERLINK("https://www.epingalert.org/en/Search?viewData= G/TBT/N/RUS/136"," G/TBT/N/RUS/136")</f>
      </c>
      <c r="D142" s="8" t="s">
        <v>744</v>
      </c>
      <c r="E142" s="8" t="s">
        <v>745</v>
      </c>
      <c r="F142" s="8" t="s">
        <v>746</v>
      </c>
      <c r="G142" s="8" t="s">
        <v>36</v>
      </c>
      <c r="H142" s="8" t="s">
        <v>595</v>
      </c>
      <c r="I142" s="8" t="s">
        <v>164</v>
      </c>
      <c r="J142" s="8" t="s">
        <v>58</v>
      </c>
      <c r="K142" s="6"/>
      <c r="L142" s="7">
        <v>44895</v>
      </c>
      <c r="M142" s="6" t="s">
        <v>51</v>
      </c>
      <c r="N142" s="8" t="s">
        <v>747</v>
      </c>
      <c r="O142" s="6">
        <f>HYPERLINK("https://docs.wto.org/imrd/directdoc.asp?DDFDocuments/t/G/TBTN22/RUS136.DOCX", "https://docs.wto.org/imrd/directdoc.asp?DDFDocuments/t/G/TBTN22/RUS136.DOCX")</f>
      </c>
      <c r="P142" s="6">
        <f>HYPERLINK("https://docs.wto.org/imrd/directdoc.asp?DDFDocuments/u/G/TBTN22/RUS136.DOCX", "https://docs.wto.org/imrd/directdoc.asp?DDFDocuments/u/G/TBTN22/RUS136.DOCX")</f>
      </c>
      <c r="Q142" s="6">
        <f>HYPERLINK("https://docs.wto.org/imrd/directdoc.asp?DDFDocuments/v/G/TBTN22/RUS136.DOCX", "https://docs.wto.org/imrd/directdoc.asp?DDFDocuments/v/G/TBTN22/RUS136.DOCX")</f>
      </c>
      <c r="R142" s="0" t="s">
        <v>43</v>
      </c>
      <c r="S142" s="0" t="s">
        <v>42</v>
      </c>
      <c r="T142" s="0" t="s">
        <v>42</v>
      </c>
      <c r="U142" s="0" t="s">
        <v>42</v>
      </c>
      <c r="V142" s="0" t="s">
        <v>42</v>
      </c>
      <c r="W142" s="0" t="s">
        <v>42</v>
      </c>
      <c r="X142" s="0" t="s">
        <v>42</v>
      </c>
      <c r="Y142" s="2" t="s">
        <v>748</v>
      </c>
      <c r="Z142" s="0" t="s">
        <v>36</v>
      </c>
      <c r="AA142" s="0" t="s">
        <v>36</v>
      </c>
      <c r="AB142" s="0" t="s">
        <v>36</v>
      </c>
      <c r="AC142" s="0" t="s">
        <v>36</v>
      </c>
      <c r="AD142" s="0" t="s">
        <v>36</v>
      </c>
      <c r="AE142" s="2" t="s">
        <v>36</v>
      </c>
    </row>
    <row r="143">
      <c r="A143" s="6" t="s">
        <v>31</v>
      </c>
      <c r="B143" s="7">
        <v>44753</v>
      </c>
      <c r="C143" s="9">
        <f>HYPERLINK("https://www.epingalert.org/en/Search?viewData= G/TBT/N/RUS/135"," G/TBT/N/RUS/135")</f>
      </c>
      <c r="D143" s="8" t="s">
        <v>749</v>
      </c>
      <c r="E143" s="8" t="s">
        <v>750</v>
      </c>
      <c r="F143" s="8" t="s">
        <v>751</v>
      </c>
      <c r="G143" s="8" t="s">
        <v>752</v>
      </c>
      <c r="H143" s="8" t="s">
        <v>36</v>
      </c>
      <c r="I143" s="8" t="s">
        <v>753</v>
      </c>
      <c r="J143" s="8" t="s">
        <v>58</v>
      </c>
      <c r="K143" s="6"/>
      <c r="L143" s="7">
        <v>44838</v>
      </c>
      <c r="M143" s="6" t="s">
        <v>51</v>
      </c>
      <c r="N143" s="6"/>
      <c r="O143" s="6">
        <f>HYPERLINK("https://docs.wto.org/imrd/directdoc.asp?DDFDocuments/t/G/TBTN22/RUS135.DOCX", "https://docs.wto.org/imrd/directdoc.asp?DDFDocuments/t/G/TBTN22/RUS135.DOCX")</f>
      </c>
      <c r="P143" s="6">
        <f>HYPERLINK("https://docs.wto.org/imrd/directdoc.asp?DDFDocuments/u/G/TBTN22/RUS135.DOCX", "https://docs.wto.org/imrd/directdoc.asp?DDFDocuments/u/G/TBTN22/RUS135.DOCX")</f>
      </c>
      <c r="Q143" s="6">
        <f>HYPERLINK("https://docs.wto.org/imrd/directdoc.asp?DDFDocuments/v/G/TBTN22/RUS135.DOCX", "https://docs.wto.org/imrd/directdoc.asp?DDFDocuments/v/G/TBTN22/RUS135.DOCX")</f>
      </c>
      <c r="R143" s="0" t="s">
        <v>43</v>
      </c>
      <c r="S143" s="0" t="s">
        <v>42</v>
      </c>
      <c r="T143" s="0" t="s">
        <v>42</v>
      </c>
      <c r="U143" s="0" t="s">
        <v>42</v>
      </c>
      <c r="V143" s="0" t="s">
        <v>42</v>
      </c>
      <c r="W143" s="0" t="s">
        <v>42</v>
      </c>
      <c r="X143" s="0" t="s">
        <v>42</v>
      </c>
      <c r="Y143" s="2" t="s">
        <v>754</v>
      </c>
      <c r="Z143" s="0" t="s">
        <v>36</v>
      </c>
      <c r="AA143" s="0" t="s">
        <v>36</v>
      </c>
      <c r="AB143" s="0" t="s">
        <v>36</v>
      </c>
      <c r="AC143" s="0" t="s">
        <v>36</v>
      </c>
      <c r="AD143" s="0" t="s">
        <v>36</v>
      </c>
      <c r="AE143" s="2" t="s">
        <v>36</v>
      </c>
    </row>
    <row r="144">
      <c r="A144" s="6" t="s">
        <v>31</v>
      </c>
      <c r="B144" s="7">
        <v>44749</v>
      </c>
      <c r="C144" s="9">
        <f>HYPERLINK("https://www.epingalert.org/en/Search?viewData= G/SPS/N/RUS/254"," G/SPS/N/RUS/254")</f>
      </c>
      <c r="D144" s="8" t="s">
        <v>755</v>
      </c>
      <c r="E144" s="8" t="s">
        <v>756</v>
      </c>
      <c r="F144" s="8" t="s">
        <v>757</v>
      </c>
      <c r="G144" s="8" t="s">
        <v>36</v>
      </c>
      <c r="H144" s="8" t="s">
        <v>36</v>
      </c>
      <c r="I144" s="8" t="s">
        <v>37</v>
      </c>
      <c r="J144" s="8" t="s">
        <v>38</v>
      </c>
      <c r="K144" s="6" t="s">
        <v>36</v>
      </c>
      <c r="L144" s="7">
        <v>44794</v>
      </c>
      <c r="M144" s="6" t="s">
        <v>51</v>
      </c>
      <c r="N144" s="8" t="s">
        <v>758</v>
      </c>
      <c r="O144" s="6">
        <f>HYPERLINK("https://docs.wto.org/imrd/directdoc.asp?DDFDocuments/t/G/SPS/NRUS254.DOCX", "https://docs.wto.org/imrd/directdoc.asp?DDFDocuments/t/G/SPS/NRUS254.DOCX")</f>
      </c>
      <c r="P144" s="6">
        <f>HYPERLINK("https://docs.wto.org/imrd/directdoc.asp?DDFDocuments/u/G/SPS/NRUS254.DOCX", "https://docs.wto.org/imrd/directdoc.asp?DDFDocuments/u/G/SPS/NRUS254.DOCX")</f>
      </c>
      <c r="Q144" s="6">
        <f>HYPERLINK("https://docs.wto.org/imrd/directdoc.asp?DDFDocuments/v/G/SPS/NRUS254.DOCX", "https://docs.wto.org/imrd/directdoc.asp?DDFDocuments/v/G/SPS/NRUS254.DOCX")</f>
      </c>
      <c r="R144" s="0" t="s">
        <v>36</v>
      </c>
      <c r="S144" s="0" t="s">
        <v>36</v>
      </c>
      <c r="T144" s="0" t="s">
        <v>36</v>
      </c>
      <c r="U144" s="0" t="s">
        <v>36</v>
      </c>
      <c r="V144" s="0" t="s">
        <v>36</v>
      </c>
      <c r="W144" s="0" t="s">
        <v>36</v>
      </c>
      <c r="X144" s="0" t="s">
        <v>36</v>
      </c>
      <c r="Y144" s="2" t="s">
        <v>36</v>
      </c>
      <c r="Z144" s="0" t="s">
        <v>42</v>
      </c>
      <c r="AA144" s="0" t="s">
        <v>43</v>
      </c>
      <c r="AB144" s="0" t="s">
        <v>42</v>
      </c>
      <c r="AC144" s="0" t="s">
        <v>42</v>
      </c>
      <c r="AD144" s="0" t="s">
        <v>43</v>
      </c>
      <c r="AE144" s="2" t="s">
        <v>36</v>
      </c>
    </row>
    <row r="145">
      <c r="A145" s="6" t="s">
        <v>31</v>
      </c>
      <c r="B145" s="7">
        <v>44735</v>
      </c>
      <c r="C145" s="9">
        <f>HYPERLINK("https://www.epingalert.org/en/Search?viewData= G/TBT/N/RUS/134"," G/TBT/N/RUS/134")</f>
      </c>
      <c r="D145" s="8" t="s">
        <v>759</v>
      </c>
      <c r="E145" s="8" t="s">
        <v>760</v>
      </c>
      <c r="F145" s="8" t="s">
        <v>761</v>
      </c>
      <c r="G145" s="8" t="s">
        <v>762</v>
      </c>
      <c r="H145" s="8" t="s">
        <v>36</v>
      </c>
      <c r="I145" s="8" t="s">
        <v>164</v>
      </c>
      <c r="J145" s="8" t="s">
        <v>58</v>
      </c>
      <c r="K145" s="6"/>
      <c r="L145" s="7">
        <v>44822</v>
      </c>
      <c r="M145" s="6" t="s">
        <v>51</v>
      </c>
      <c r="N145" s="8" t="s">
        <v>763</v>
      </c>
      <c r="O145" s="6">
        <f>HYPERLINK("https://docs.wto.org/imrd/directdoc.asp?DDFDocuments/t/G/TBTN22/RUS134.DOCX", "https://docs.wto.org/imrd/directdoc.asp?DDFDocuments/t/G/TBTN22/RUS134.DOCX")</f>
      </c>
      <c r="P145" s="6">
        <f>HYPERLINK("https://docs.wto.org/imrd/directdoc.asp?DDFDocuments/u/G/TBTN22/RUS134.DOCX", "https://docs.wto.org/imrd/directdoc.asp?DDFDocuments/u/G/TBTN22/RUS134.DOCX")</f>
      </c>
      <c r="Q145" s="6">
        <f>HYPERLINK("https://docs.wto.org/imrd/directdoc.asp?DDFDocuments/v/G/TBTN22/RUS134.DOCX", "https://docs.wto.org/imrd/directdoc.asp?DDFDocuments/v/G/TBTN22/RUS134.DOCX")</f>
      </c>
      <c r="R145" s="0" t="s">
        <v>43</v>
      </c>
      <c r="S145" s="0" t="s">
        <v>42</v>
      </c>
      <c r="T145" s="0" t="s">
        <v>43</v>
      </c>
      <c r="U145" s="0" t="s">
        <v>42</v>
      </c>
      <c r="V145" s="0" t="s">
        <v>42</v>
      </c>
      <c r="W145" s="0" t="s">
        <v>42</v>
      </c>
      <c r="X145" s="0" t="s">
        <v>42</v>
      </c>
      <c r="Y145" s="2" t="s">
        <v>764</v>
      </c>
      <c r="Z145" s="0" t="s">
        <v>36</v>
      </c>
      <c r="AA145" s="0" t="s">
        <v>36</v>
      </c>
      <c r="AB145" s="0" t="s">
        <v>36</v>
      </c>
      <c r="AC145" s="0" t="s">
        <v>36</v>
      </c>
      <c r="AD145" s="0" t="s">
        <v>36</v>
      </c>
      <c r="AE145" s="2" t="s">
        <v>36</v>
      </c>
    </row>
    <row r="146">
      <c r="A146" s="6" t="s">
        <v>31</v>
      </c>
      <c r="B146" s="7">
        <v>44728</v>
      </c>
      <c r="C146" s="9">
        <f>HYPERLINK("https://www.epingalert.org/en/Search?viewData= G/SPS/N/RUS/252"," G/SPS/N/RUS/252")</f>
      </c>
      <c r="D146" s="8" t="s">
        <v>765</v>
      </c>
      <c r="E146" s="8" t="s">
        <v>766</v>
      </c>
      <c r="F146" s="8" t="s">
        <v>767</v>
      </c>
      <c r="G146" s="8" t="s">
        <v>768</v>
      </c>
      <c r="H146" s="8" t="s">
        <v>36</v>
      </c>
      <c r="I146" s="8" t="s">
        <v>769</v>
      </c>
      <c r="J146" s="8" t="s">
        <v>770</v>
      </c>
      <c r="K146" s="6" t="s">
        <v>36</v>
      </c>
      <c r="L146" s="7" t="s">
        <v>36</v>
      </c>
      <c r="M146" s="6" t="s">
        <v>40</v>
      </c>
      <c r="N146" s="8" t="s">
        <v>771</v>
      </c>
      <c r="O146" s="6">
        <f>HYPERLINK("https://docs.wto.org/imrd/directdoc.asp?DDFDocuments/t/G/SPS/NRUS252.DOCX", "https://docs.wto.org/imrd/directdoc.asp?DDFDocuments/t/G/SPS/NRUS252.DOCX")</f>
      </c>
      <c r="P146" s="6">
        <f>HYPERLINK("https://docs.wto.org/imrd/directdoc.asp?DDFDocuments/u/G/SPS/NRUS252.DOCX", "https://docs.wto.org/imrd/directdoc.asp?DDFDocuments/u/G/SPS/NRUS252.DOCX")</f>
      </c>
      <c r="Q146" s="6">
        <f>HYPERLINK("https://docs.wto.org/imrd/directdoc.asp?DDFDocuments/v/G/SPS/NRUS252.DOCX", "https://docs.wto.org/imrd/directdoc.asp?DDFDocuments/v/G/SPS/NRUS252.DOCX")</f>
      </c>
      <c r="R146" s="0" t="s">
        <v>36</v>
      </c>
      <c r="S146" s="0" t="s">
        <v>36</v>
      </c>
      <c r="T146" s="0" t="s">
        <v>36</v>
      </c>
      <c r="U146" s="0" t="s">
        <v>36</v>
      </c>
      <c r="V146" s="0" t="s">
        <v>36</v>
      </c>
      <c r="W146" s="0" t="s">
        <v>36</v>
      </c>
      <c r="X146" s="0" t="s">
        <v>36</v>
      </c>
      <c r="Y146" s="2" t="s">
        <v>36</v>
      </c>
      <c r="Z146" s="0" t="s">
        <v>42</v>
      </c>
      <c r="AA146" s="0" t="s">
        <v>42</v>
      </c>
      <c r="AB146" s="0" t="s">
        <v>42</v>
      </c>
      <c r="AC146" s="0" t="s">
        <v>43</v>
      </c>
      <c r="AD146" s="0" t="s">
        <v>107</v>
      </c>
      <c r="AE146" s="2" t="s">
        <v>772</v>
      </c>
    </row>
    <row r="147">
      <c r="A147" s="6" t="s">
        <v>31</v>
      </c>
      <c r="B147" s="7">
        <v>44728</v>
      </c>
      <c r="C147" s="9">
        <f>HYPERLINK("https://www.epingalert.org/en/Search?viewData= G/SPS/N/RUS/253"," G/SPS/N/RUS/253")</f>
      </c>
      <c r="D147" s="8" t="s">
        <v>773</v>
      </c>
      <c r="E147" s="8" t="s">
        <v>774</v>
      </c>
      <c r="F147" s="8" t="s">
        <v>408</v>
      </c>
      <c r="G147" s="8" t="s">
        <v>36</v>
      </c>
      <c r="H147" s="8" t="s">
        <v>36</v>
      </c>
      <c r="I147" s="8" t="s">
        <v>65</v>
      </c>
      <c r="J147" s="8" t="s">
        <v>409</v>
      </c>
      <c r="K147" s="6" t="s">
        <v>36</v>
      </c>
      <c r="L147" s="7">
        <v>44789</v>
      </c>
      <c r="M147" s="6" t="s">
        <v>51</v>
      </c>
      <c r="N147" s="8" t="s">
        <v>775</v>
      </c>
      <c r="O147" s="6">
        <f>HYPERLINK("https://docs.wto.org/imrd/directdoc.asp?DDFDocuments/t/G/SPS/NRUS253.DOCX", "https://docs.wto.org/imrd/directdoc.asp?DDFDocuments/t/G/SPS/NRUS253.DOCX")</f>
      </c>
      <c r="P147" s="6">
        <f>HYPERLINK("https://docs.wto.org/imrd/directdoc.asp?DDFDocuments/u/G/SPS/NRUS253.DOCX", "https://docs.wto.org/imrd/directdoc.asp?DDFDocuments/u/G/SPS/NRUS253.DOCX")</f>
      </c>
      <c r="Q147" s="6">
        <f>HYPERLINK("https://docs.wto.org/imrd/directdoc.asp?DDFDocuments/v/G/SPS/NRUS253.DOCX", "https://docs.wto.org/imrd/directdoc.asp?DDFDocuments/v/G/SPS/NRUS253.DOCX")</f>
      </c>
      <c r="R147" s="0" t="s">
        <v>36</v>
      </c>
      <c r="S147" s="0" t="s">
        <v>36</v>
      </c>
      <c r="T147" s="0" t="s">
        <v>36</v>
      </c>
      <c r="U147" s="0" t="s">
        <v>36</v>
      </c>
      <c r="V147" s="0" t="s">
        <v>36</v>
      </c>
      <c r="W147" s="0" t="s">
        <v>36</v>
      </c>
      <c r="X147" s="0" t="s">
        <v>36</v>
      </c>
      <c r="Y147" s="2" t="s">
        <v>36</v>
      </c>
      <c r="Z147" s="0" t="s">
        <v>42</v>
      </c>
      <c r="AA147" s="0" t="s">
        <v>42</v>
      </c>
      <c r="AB147" s="0" t="s">
        <v>43</v>
      </c>
      <c r="AC147" s="0" t="s">
        <v>42</v>
      </c>
      <c r="AD147" s="0" t="s">
        <v>43</v>
      </c>
      <c r="AE147" s="2" t="s">
        <v>36</v>
      </c>
    </row>
    <row r="148">
      <c r="A148" s="6" t="s">
        <v>31</v>
      </c>
      <c r="B148" s="7">
        <v>44705</v>
      </c>
      <c r="C148" s="9">
        <f>HYPERLINK("https://www.epingalert.org/en/Search?viewData= G/TBT/N/RUS/133"," G/TBT/N/RUS/133")</f>
      </c>
      <c r="D148" s="8" t="s">
        <v>776</v>
      </c>
      <c r="E148" s="8" t="s">
        <v>777</v>
      </c>
      <c r="F148" s="8" t="s">
        <v>498</v>
      </c>
      <c r="G148" s="8" t="s">
        <v>36</v>
      </c>
      <c r="H148" s="8" t="s">
        <v>141</v>
      </c>
      <c r="I148" s="8" t="s">
        <v>778</v>
      </c>
      <c r="J148" s="8" t="s">
        <v>58</v>
      </c>
      <c r="K148" s="6"/>
      <c r="L148" s="7">
        <v>44729</v>
      </c>
      <c r="M148" s="6" t="s">
        <v>51</v>
      </c>
      <c r="N148" s="8" t="s">
        <v>779</v>
      </c>
      <c r="O148" s="6">
        <f>HYPERLINK("https://docs.wto.org/imrd/directdoc.asp?DDFDocuments/t/G/TBTN22/RUS133.DOCX", "https://docs.wto.org/imrd/directdoc.asp?DDFDocuments/t/G/TBTN22/RUS133.DOCX")</f>
      </c>
      <c r="P148" s="6">
        <f>HYPERLINK("https://docs.wto.org/imrd/directdoc.asp?DDFDocuments/u/G/TBTN22/RUS133.DOCX", "https://docs.wto.org/imrd/directdoc.asp?DDFDocuments/u/G/TBTN22/RUS133.DOCX")</f>
      </c>
      <c r="Q148" s="6">
        <f>HYPERLINK("https://docs.wto.org/imrd/directdoc.asp?DDFDocuments/v/G/TBTN22/RUS133.DOCX", "https://docs.wto.org/imrd/directdoc.asp?DDFDocuments/v/G/TBTN22/RUS133.DOCX")</f>
      </c>
      <c r="R148" s="0" t="s">
        <v>42</v>
      </c>
      <c r="S148" s="0" t="s">
        <v>42</v>
      </c>
      <c r="T148" s="0" t="s">
        <v>43</v>
      </c>
      <c r="U148" s="0" t="s">
        <v>42</v>
      </c>
      <c r="V148" s="0" t="s">
        <v>42</v>
      </c>
      <c r="W148" s="0" t="s">
        <v>42</v>
      </c>
      <c r="X148" s="0" t="s">
        <v>42</v>
      </c>
      <c r="Y148" s="2" t="s">
        <v>776</v>
      </c>
      <c r="Z148" s="0" t="s">
        <v>36</v>
      </c>
      <c r="AA148" s="0" t="s">
        <v>36</v>
      </c>
      <c r="AB148" s="0" t="s">
        <v>36</v>
      </c>
      <c r="AC148" s="0" t="s">
        <v>36</v>
      </c>
      <c r="AD148" s="0" t="s">
        <v>36</v>
      </c>
      <c r="AE148" s="2" t="s">
        <v>36</v>
      </c>
    </row>
    <row r="149">
      <c r="A149" s="6" t="s">
        <v>31</v>
      </c>
      <c r="B149" s="7">
        <v>44694</v>
      </c>
      <c r="C149" s="9">
        <f>HYPERLINK("https://www.epingalert.org/en/Search?viewData= G/TBT/N/RUS/132"," G/TBT/N/RUS/132")</f>
      </c>
      <c r="D149" s="8" t="s">
        <v>780</v>
      </c>
      <c r="E149" s="8" t="s">
        <v>781</v>
      </c>
      <c r="F149" s="8" t="s">
        <v>782</v>
      </c>
      <c r="G149" s="8" t="s">
        <v>36</v>
      </c>
      <c r="H149" s="8" t="s">
        <v>783</v>
      </c>
      <c r="I149" s="8" t="s">
        <v>164</v>
      </c>
      <c r="J149" s="8" t="s">
        <v>36</v>
      </c>
      <c r="K149" s="6"/>
      <c r="L149" s="7">
        <v>44788</v>
      </c>
      <c r="M149" s="6" t="s">
        <v>51</v>
      </c>
      <c r="N149" s="8" t="s">
        <v>784</v>
      </c>
      <c r="O149" s="6">
        <f>HYPERLINK("https://docs.wto.org/imrd/directdoc.asp?DDFDocuments/t/G/TBTN22/RUS132.DOCX", "https://docs.wto.org/imrd/directdoc.asp?DDFDocuments/t/G/TBTN22/RUS132.DOCX")</f>
      </c>
      <c r="P149" s="6">
        <f>HYPERLINK("https://docs.wto.org/imrd/directdoc.asp?DDFDocuments/u/G/TBTN22/RUS132.DOCX", "https://docs.wto.org/imrd/directdoc.asp?DDFDocuments/u/G/TBTN22/RUS132.DOCX")</f>
      </c>
      <c r="Q149" s="6">
        <f>HYPERLINK("https://docs.wto.org/imrd/directdoc.asp?DDFDocuments/v/G/TBTN22/RUS132.DOCX", "https://docs.wto.org/imrd/directdoc.asp?DDFDocuments/v/G/TBTN22/RUS132.DOCX")</f>
      </c>
      <c r="R149" s="0" t="s">
        <v>43</v>
      </c>
      <c r="S149" s="0" t="s">
        <v>42</v>
      </c>
      <c r="T149" s="0" t="s">
        <v>42</v>
      </c>
      <c r="U149" s="0" t="s">
        <v>42</v>
      </c>
      <c r="V149" s="0" t="s">
        <v>42</v>
      </c>
      <c r="W149" s="0" t="s">
        <v>42</v>
      </c>
      <c r="X149" s="0" t="s">
        <v>42</v>
      </c>
      <c r="Y149" s="2" t="s">
        <v>780</v>
      </c>
      <c r="Z149" s="0" t="s">
        <v>36</v>
      </c>
      <c r="AA149" s="0" t="s">
        <v>36</v>
      </c>
      <c r="AB149" s="0" t="s">
        <v>36</v>
      </c>
      <c r="AC149" s="0" t="s">
        <v>36</v>
      </c>
      <c r="AD149" s="0" t="s">
        <v>36</v>
      </c>
      <c r="AE149" s="2" t="s">
        <v>36</v>
      </c>
    </row>
    <row r="150">
      <c r="A150" s="6" t="s">
        <v>31</v>
      </c>
      <c r="B150" s="7">
        <v>44692</v>
      </c>
      <c r="C150" s="9">
        <f>HYPERLINK("https://www.epingalert.org/en/Search?viewData= G/SPS/N/RUS/251"," G/SPS/N/RUS/251")</f>
      </c>
      <c r="D150" s="8" t="s">
        <v>785</v>
      </c>
      <c r="E150" s="8" t="s">
        <v>786</v>
      </c>
      <c r="F150" s="8" t="s">
        <v>787</v>
      </c>
      <c r="G150" s="8" t="s">
        <v>484</v>
      </c>
      <c r="H150" s="8" t="s">
        <v>36</v>
      </c>
      <c r="I150" s="8" t="s">
        <v>37</v>
      </c>
      <c r="J150" s="8" t="s">
        <v>788</v>
      </c>
      <c r="K150" s="6"/>
      <c r="L150" s="7">
        <v>44752</v>
      </c>
      <c r="M150" s="6" t="s">
        <v>51</v>
      </c>
      <c r="N150" s="8" t="s">
        <v>789</v>
      </c>
      <c r="O150" s="6">
        <f>HYPERLINK("https://docs.wto.org/imrd/directdoc.asp?DDFDocuments/t/G/SPS/NRUS251.DOCX", "https://docs.wto.org/imrd/directdoc.asp?DDFDocuments/t/G/SPS/NRUS251.DOCX")</f>
      </c>
      <c r="P150" s="6">
        <f>HYPERLINK("https://docs.wto.org/imrd/directdoc.asp?DDFDocuments/u/G/SPS/NRUS251.DOCX", "https://docs.wto.org/imrd/directdoc.asp?DDFDocuments/u/G/SPS/NRUS251.DOCX")</f>
      </c>
      <c r="Q150" s="6">
        <f>HYPERLINK("https://docs.wto.org/imrd/directdoc.asp?DDFDocuments/v/G/SPS/NRUS251.DOCX", "https://docs.wto.org/imrd/directdoc.asp?DDFDocuments/v/G/SPS/NRUS251.DOCX")</f>
      </c>
      <c r="R150" s="0" t="s">
        <v>36</v>
      </c>
      <c r="S150" s="0" t="s">
        <v>36</v>
      </c>
      <c r="T150" s="0" t="s">
        <v>36</v>
      </c>
      <c r="U150" s="0" t="s">
        <v>36</v>
      </c>
      <c r="V150" s="0" t="s">
        <v>36</v>
      </c>
      <c r="W150" s="0" t="s">
        <v>36</v>
      </c>
      <c r="X150" s="0" t="s">
        <v>36</v>
      </c>
      <c r="Y150" s="2" t="s">
        <v>36</v>
      </c>
      <c r="Z150" s="0" t="s">
        <v>42</v>
      </c>
      <c r="AA150" s="0" t="s">
        <v>43</v>
      </c>
      <c r="AB150" s="0" t="s">
        <v>42</v>
      </c>
      <c r="AC150" s="0" t="s">
        <v>42</v>
      </c>
      <c r="AD150" s="0" t="s">
        <v>43</v>
      </c>
      <c r="AE150" s="2" t="s">
        <v>36</v>
      </c>
    </row>
    <row r="151">
      <c r="A151" s="6" t="s">
        <v>31</v>
      </c>
      <c r="B151" s="7">
        <v>44685</v>
      </c>
      <c r="C151" s="9">
        <f>HYPERLINK("https://www.epingalert.org/en/Search?viewData= G/TBT/N/RUS/131"," G/TBT/N/RUS/131")</f>
      </c>
      <c r="D151" s="8" t="s">
        <v>790</v>
      </c>
      <c r="E151" s="8" t="s">
        <v>791</v>
      </c>
      <c r="F151" s="8" t="s">
        <v>498</v>
      </c>
      <c r="G151" s="8" t="s">
        <v>36</v>
      </c>
      <c r="H151" s="8" t="s">
        <v>141</v>
      </c>
      <c r="I151" s="8" t="s">
        <v>792</v>
      </c>
      <c r="J151" s="8" t="s">
        <v>58</v>
      </c>
      <c r="K151" s="6"/>
      <c r="L151" s="7">
        <v>44702</v>
      </c>
      <c r="M151" s="6" t="s">
        <v>51</v>
      </c>
      <c r="N151" s="8" t="s">
        <v>793</v>
      </c>
      <c r="O151" s="6">
        <f>HYPERLINK("https://docs.wto.org/imrd/directdoc.asp?DDFDocuments/t/G/TBTN22/RUS131.DOCX", "https://docs.wto.org/imrd/directdoc.asp?DDFDocuments/t/G/TBTN22/RUS131.DOCX")</f>
      </c>
      <c r="P151" s="6">
        <f>HYPERLINK("https://docs.wto.org/imrd/directdoc.asp?DDFDocuments/u/G/TBTN22/RUS131.DOCX", "https://docs.wto.org/imrd/directdoc.asp?DDFDocuments/u/G/TBTN22/RUS131.DOCX")</f>
      </c>
      <c r="Q151" s="6">
        <f>HYPERLINK("https://docs.wto.org/imrd/directdoc.asp?DDFDocuments/v/G/TBTN22/RUS131.DOCX", "https://docs.wto.org/imrd/directdoc.asp?DDFDocuments/v/G/TBTN22/RUS131.DOCX")</f>
      </c>
      <c r="R151" s="0" t="s">
        <v>42</v>
      </c>
      <c r="S151" s="0" t="s">
        <v>43</v>
      </c>
      <c r="T151" s="0" t="s">
        <v>42</v>
      </c>
      <c r="U151" s="0" t="s">
        <v>42</v>
      </c>
      <c r="V151" s="0" t="s">
        <v>42</v>
      </c>
      <c r="W151" s="0" t="s">
        <v>42</v>
      </c>
      <c r="X151" s="0" t="s">
        <v>42</v>
      </c>
      <c r="Y151" s="2" t="s">
        <v>790</v>
      </c>
      <c r="Z151" s="0" t="s">
        <v>36</v>
      </c>
      <c r="AA151" s="0" t="s">
        <v>36</v>
      </c>
      <c r="AB151" s="0" t="s">
        <v>36</v>
      </c>
      <c r="AC151" s="0" t="s">
        <v>36</v>
      </c>
      <c r="AD151" s="0" t="s">
        <v>36</v>
      </c>
      <c r="AE151" s="2" t="s">
        <v>36</v>
      </c>
    </row>
    <row r="152">
      <c r="A152" s="6" t="s">
        <v>31</v>
      </c>
      <c r="B152" s="7">
        <v>44680</v>
      </c>
      <c r="C152" s="9">
        <f>HYPERLINK("https://www.epingalert.org/en/Search?viewData= G/TBT/N/RUS/130"," G/TBT/N/RUS/130")</f>
      </c>
      <c r="D152" s="8" t="s">
        <v>794</v>
      </c>
      <c r="E152" s="8" t="s">
        <v>795</v>
      </c>
      <c r="F152" s="8" t="s">
        <v>782</v>
      </c>
      <c r="G152" s="8" t="s">
        <v>36</v>
      </c>
      <c r="H152" s="8" t="s">
        <v>36</v>
      </c>
      <c r="I152" s="8" t="s">
        <v>796</v>
      </c>
      <c r="J152" s="8" t="s">
        <v>36</v>
      </c>
      <c r="K152" s="6"/>
      <c r="L152" s="7">
        <v>44740</v>
      </c>
      <c r="M152" s="6" t="s">
        <v>51</v>
      </c>
      <c r="N152" s="8" t="s">
        <v>797</v>
      </c>
      <c r="O152" s="6">
        <f>HYPERLINK("https://docs.wto.org/imrd/directdoc.asp?DDFDocuments/t/G/TBTN22/RUS130.DOCX", "https://docs.wto.org/imrd/directdoc.asp?DDFDocuments/t/G/TBTN22/RUS130.DOCX")</f>
      </c>
      <c r="P152" s="6">
        <f>HYPERLINK("https://docs.wto.org/imrd/directdoc.asp?DDFDocuments/u/G/TBTN22/RUS130.DOCX", "https://docs.wto.org/imrd/directdoc.asp?DDFDocuments/u/G/TBTN22/RUS130.DOCX")</f>
      </c>
      <c r="Q152" s="6">
        <f>HYPERLINK("https://docs.wto.org/imrd/directdoc.asp?DDFDocuments/v/G/TBTN22/RUS130.DOCX", "https://docs.wto.org/imrd/directdoc.asp?DDFDocuments/v/G/TBTN22/RUS130.DOCX")</f>
      </c>
      <c r="R152" s="0" t="s">
        <v>43</v>
      </c>
      <c r="S152" s="0" t="s">
        <v>42</v>
      </c>
      <c r="T152" s="0" t="s">
        <v>42</v>
      </c>
      <c r="U152" s="0" t="s">
        <v>42</v>
      </c>
      <c r="V152" s="0" t="s">
        <v>42</v>
      </c>
      <c r="W152" s="0" t="s">
        <v>42</v>
      </c>
      <c r="X152" s="0" t="s">
        <v>42</v>
      </c>
      <c r="Y152" s="2" t="s">
        <v>798</v>
      </c>
      <c r="Z152" s="0" t="s">
        <v>36</v>
      </c>
      <c r="AA152" s="0" t="s">
        <v>36</v>
      </c>
      <c r="AB152" s="0" t="s">
        <v>36</v>
      </c>
      <c r="AC152" s="0" t="s">
        <v>36</v>
      </c>
      <c r="AD152" s="0" t="s">
        <v>36</v>
      </c>
      <c r="AE152" s="2" t="s">
        <v>36</v>
      </c>
    </row>
    <row r="153">
      <c r="A153" s="6" t="s">
        <v>31</v>
      </c>
      <c r="B153" s="7">
        <v>44664</v>
      </c>
      <c r="C153" s="9">
        <f>HYPERLINK("https://www.epingalert.org/en/Search?viewData= G/SPS/N/RUS/250"," G/SPS/N/RUS/250")</f>
      </c>
      <c r="D153" s="8" t="s">
        <v>799</v>
      </c>
      <c r="E153" s="8" t="s">
        <v>800</v>
      </c>
      <c r="F153" s="8" t="s">
        <v>801</v>
      </c>
      <c r="G153" s="8" t="s">
        <v>802</v>
      </c>
      <c r="H153" s="8" t="s">
        <v>36</v>
      </c>
      <c r="I153" s="8" t="s">
        <v>37</v>
      </c>
      <c r="J153" s="8" t="s">
        <v>803</v>
      </c>
      <c r="K153" s="6"/>
      <c r="L153" s="7">
        <v>44722</v>
      </c>
      <c r="M153" s="6" t="s">
        <v>51</v>
      </c>
      <c r="N153" s="8" t="s">
        <v>804</v>
      </c>
      <c r="O153" s="6">
        <f>HYPERLINK("https://docs.wto.org/imrd/directdoc.asp?DDFDocuments/t/G/SPS/NRUS250.DOCX", "https://docs.wto.org/imrd/directdoc.asp?DDFDocuments/t/G/SPS/NRUS250.DOCX")</f>
      </c>
      <c r="P153" s="6">
        <f>HYPERLINK("https://docs.wto.org/imrd/directdoc.asp?DDFDocuments/u/G/SPS/NRUS250.DOCX", "https://docs.wto.org/imrd/directdoc.asp?DDFDocuments/u/G/SPS/NRUS250.DOCX")</f>
      </c>
      <c r="Q153" s="6">
        <f>HYPERLINK("https://docs.wto.org/imrd/directdoc.asp?DDFDocuments/v/G/SPS/NRUS250.DOCX", "https://docs.wto.org/imrd/directdoc.asp?DDFDocuments/v/G/SPS/NRUS250.DOCX")</f>
      </c>
      <c r="R153" s="0" t="s">
        <v>36</v>
      </c>
      <c r="S153" s="0" t="s">
        <v>36</v>
      </c>
      <c r="T153" s="0" t="s">
        <v>36</v>
      </c>
      <c r="U153" s="0" t="s">
        <v>36</v>
      </c>
      <c r="V153" s="0" t="s">
        <v>36</v>
      </c>
      <c r="W153" s="0" t="s">
        <v>36</v>
      </c>
      <c r="X153" s="0" t="s">
        <v>36</v>
      </c>
      <c r="Y153" s="2" t="s">
        <v>36</v>
      </c>
      <c r="Z153" s="0" t="s">
        <v>42</v>
      </c>
      <c r="AA153" s="0" t="s">
        <v>43</v>
      </c>
      <c r="AB153" s="0" t="s">
        <v>42</v>
      </c>
      <c r="AC153" s="0" t="s">
        <v>42</v>
      </c>
      <c r="AD153" s="0" t="s">
        <v>43</v>
      </c>
      <c r="AE153" s="2" t="s">
        <v>36</v>
      </c>
    </row>
    <row r="154">
      <c r="A154" s="6" t="s">
        <v>31</v>
      </c>
      <c r="B154" s="7">
        <v>44662</v>
      </c>
      <c r="C154" s="9">
        <f>HYPERLINK("https://www.epingalert.org/en/Search?viewData= G/SPS/N/RUS/249"," G/SPS/N/RUS/249")</f>
      </c>
      <c r="D154" s="8" t="s">
        <v>805</v>
      </c>
      <c r="E154" s="8" t="s">
        <v>806</v>
      </c>
      <c r="F154" s="8" t="s">
        <v>807</v>
      </c>
      <c r="G154" s="8" t="s">
        <v>36</v>
      </c>
      <c r="H154" s="8" t="s">
        <v>36</v>
      </c>
      <c r="I154" s="8" t="s">
        <v>808</v>
      </c>
      <c r="J154" s="8" t="s">
        <v>809</v>
      </c>
      <c r="K154" s="6" t="s">
        <v>36</v>
      </c>
      <c r="L154" s="7">
        <v>44716</v>
      </c>
      <c r="M154" s="6" t="s">
        <v>51</v>
      </c>
      <c r="N154" s="8" t="s">
        <v>810</v>
      </c>
      <c r="O154" s="6">
        <f>HYPERLINK("https://docs.wto.org/imrd/directdoc.asp?DDFDocuments/t/G/SPS/NRUS249.DOCX", "https://docs.wto.org/imrd/directdoc.asp?DDFDocuments/t/G/SPS/NRUS249.DOCX")</f>
      </c>
      <c r="P154" s="6">
        <f>HYPERLINK("https://docs.wto.org/imrd/directdoc.asp?DDFDocuments/u/G/SPS/NRUS249.DOCX", "https://docs.wto.org/imrd/directdoc.asp?DDFDocuments/u/G/SPS/NRUS249.DOCX")</f>
      </c>
      <c r="Q154" s="6">
        <f>HYPERLINK("https://docs.wto.org/imrd/directdoc.asp?DDFDocuments/v/G/SPS/NRUS249.DOCX", "https://docs.wto.org/imrd/directdoc.asp?DDFDocuments/v/G/SPS/NRUS249.DOCX")</f>
      </c>
      <c r="R154" s="0" t="s">
        <v>36</v>
      </c>
      <c r="S154" s="0" t="s">
        <v>36</v>
      </c>
      <c r="T154" s="0" t="s">
        <v>36</v>
      </c>
      <c r="U154" s="0" t="s">
        <v>36</v>
      </c>
      <c r="V154" s="0" t="s">
        <v>36</v>
      </c>
      <c r="W154" s="0" t="s">
        <v>36</v>
      </c>
      <c r="X154" s="0" t="s">
        <v>36</v>
      </c>
      <c r="Y154" s="2" t="s">
        <v>36</v>
      </c>
      <c r="Z154" s="0" t="s">
        <v>42</v>
      </c>
      <c r="AA154" s="0" t="s">
        <v>42</v>
      </c>
      <c r="AB154" s="0" t="s">
        <v>42</v>
      </c>
      <c r="AC154" s="0" t="s">
        <v>43</v>
      </c>
      <c r="AD154" s="0" t="s">
        <v>107</v>
      </c>
      <c r="AE154" s="2" t="s">
        <v>36</v>
      </c>
    </row>
    <row r="155">
      <c r="A155" s="6" t="s">
        <v>31</v>
      </c>
      <c r="B155" s="7">
        <v>44637</v>
      </c>
      <c r="C155" s="9">
        <f>HYPERLINK("https://www.epingalert.org/en/Search?viewData= G/SPS/N/RUS/248"," G/SPS/N/RUS/248")</f>
      </c>
      <c r="D155" s="8" t="s">
        <v>811</v>
      </c>
      <c r="E155" s="8" t="s">
        <v>812</v>
      </c>
      <c r="F155" s="8" t="s">
        <v>813</v>
      </c>
      <c r="G155" s="8" t="s">
        <v>36</v>
      </c>
      <c r="H155" s="8" t="s">
        <v>36</v>
      </c>
      <c r="I155" s="8" t="s">
        <v>814</v>
      </c>
      <c r="J155" s="8" t="s">
        <v>605</v>
      </c>
      <c r="K155" s="6"/>
      <c r="L155" s="7">
        <v>44695</v>
      </c>
      <c r="M155" s="6" t="s">
        <v>51</v>
      </c>
      <c r="N155" s="8" t="s">
        <v>815</v>
      </c>
      <c r="O155" s="6">
        <f>HYPERLINK("https://docs.wto.org/imrd/directdoc.asp?DDFDocuments/t/G/SPS/NRUS248.DOCX", "https://docs.wto.org/imrd/directdoc.asp?DDFDocuments/t/G/SPS/NRUS248.DOCX")</f>
      </c>
      <c r="P155" s="6">
        <f>HYPERLINK("https://docs.wto.org/imrd/directdoc.asp?DDFDocuments/u/G/SPS/NRUS248.DOCX", "https://docs.wto.org/imrd/directdoc.asp?DDFDocuments/u/G/SPS/NRUS248.DOCX")</f>
      </c>
      <c r="Q155" s="6">
        <f>HYPERLINK("https://docs.wto.org/imrd/directdoc.asp?DDFDocuments/v/G/SPS/NRUS248.DOCX", "https://docs.wto.org/imrd/directdoc.asp?DDFDocuments/v/G/SPS/NRUS248.DOCX")</f>
      </c>
      <c r="R155" s="0" t="s">
        <v>36</v>
      </c>
      <c r="S155" s="0" t="s">
        <v>36</v>
      </c>
      <c r="T155" s="0" t="s">
        <v>36</v>
      </c>
      <c r="U155" s="0" t="s">
        <v>36</v>
      </c>
      <c r="V155" s="0" t="s">
        <v>36</v>
      </c>
      <c r="W155" s="0" t="s">
        <v>36</v>
      </c>
      <c r="X155" s="0" t="s">
        <v>36</v>
      </c>
      <c r="Y155" s="2" t="s">
        <v>36</v>
      </c>
      <c r="Z155" s="0" t="s">
        <v>42</v>
      </c>
      <c r="AA155" s="0" t="s">
        <v>42</v>
      </c>
      <c r="AB155" s="0" t="s">
        <v>43</v>
      </c>
      <c r="AC155" s="0" t="s">
        <v>42</v>
      </c>
      <c r="AD155" s="0" t="s">
        <v>43</v>
      </c>
      <c r="AE155" s="2" t="s">
        <v>36</v>
      </c>
    </row>
    <row r="156">
      <c r="A156" s="6" t="s">
        <v>31</v>
      </c>
      <c r="B156" s="7">
        <v>44637</v>
      </c>
      <c r="C156" s="9">
        <f>HYPERLINK("https://www.epingalert.org/en/Search?viewData= G/TBT/N/RUS/129"," G/TBT/N/RUS/129")</f>
      </c>
      <c r="D156" s="8" t="s">
        <v>816</v>
      </c>
      <c r="E156" s="8" t="s">
        <v>817</v>
      </c>
      <c r="F156" s="8" t="s">
        <v>498</v>
      </c>
      <c r="G156" s="8" t="s">
        <v>36</v>
      </c>
      <c r="H156" s="8" t="s">
        <v>36</v>
      </c>
      <c r="I156" s="8" t="s">
        <v>818</v>
      </c>
      <c r="J156" s="8" t="s">
        <v>36</v>
      </c>
      <c r="K156" s="6"/>
      <c r="L156" s="7">
        <v>44660</v>
      </c>
      <c r="M156" s="6" t="s">
        <v>51</v>
      </c>
      <c r="N156" s="6"/>
      <c r="O156" s="6">
        <f>HYPERLINK("https://docs.wto.org/imrd/directdoc.asp?DDFDocuments/t/G/TBTN22/RUS129.pdf", "https://docs.wto.org/imrd/directdoc.asp?DDFDocuments/t/G/TBTN22/RUS129.pdf")</f>
      </c>
      <c r="P156" s="6">
        <f>HYPERLINK("https://docs.wto.org/imrd/directdoc.asp?DDFDocuments/u/G/TBTN22/RUS129.pdf", "https://docs.wto.org/imrd/directdoc.asp?DDFDocuments/u/G/TBTN22/RUS129.pdf")</f>
      </c>
      <c r="Q156" s="6">
        <f>HYPERLINK("https://docs.wto.org/imrd/directdoc.asp?DDFDocuments/v/G/TBTN22/RUS129.pdf", "https://docs.wto.org/imrd/directdoc.asp?DDFDocuments/v/G/TBTN22/RUS129.pdf")</f>
      </c>
      <c r="R156" s="0" t="s">
        <v>42</v>
      </c>
      <c r="S156" s="0" t="s">
        <v>42</v>
      </c>
      <c r="T156" s="0" t="s">
        <v>43</v>
      </c>
      <c r="U156" s="0" t="s">
        <v>42</v>
      </c>
      <c r="V156" s="0" t="s">
        <v>42</v>
      </c>
      <c r="W156" s="0" t="s">
        <v>42</v>
      </c>
      <c r="X156" s="0" t="s">
        <v>42</v>
      </c>
      <c r="Y156" s="2" t="s">
        <v>819</v>
      </c>
      <c r="Z156" s="0" t="s">
        <v>36</v>
      </c>
      <c r="AA156" s="0" t="s">
        <v>36</v>
      </c>
      <c r="AB156" s="0" t="s">
        <v>36</v>
      </c>
      <c r="AC156" s="0" t="s">
        <v>36</v>
      </c>
      <c r="AD156" s="0" t="s">
        <v>36</v>
      </c>
      <c r="AE156" s="2" t="s">
        <v>36</v>
      </c>
    </row>
    <row r="157">
      <c r="A157" s="6" t="s">
        <v>31</v>
      </c>
      <c r="B157" s="7">
        <v>44635</v>
      </c>
      <c r="C157" s="9">
        <f>HYPERLINK("https://www.epingalert.org/en/Search?viewData= G/TBT/N/RUS/128"," G/TBT/N/RUS/128")</f>
      </c>
      <c r="D157" s="8" t="s">
        <v>820</v>
      </c>
      <c r="E157" s="8" t="s">
        <v>821</v>
      </c>
      <c r="F157" s="8" t="s">
        <v>822</v>
      </c>
      <c r="G157" s="8" t="s">
        <v>823</v>
      </c>
      <c r="H157" s="8" t="s">
        <v>824</v>
      </c>
      <c r="I157" s="8" t="s">
        <v>825</v>
      </c>
      <c r="J157" s="8" t="s">
        <v>36</v>
      </c>
      <c r="K157" s="6"/>
      <c r="L157" s="7">
        <v>44589</v>
      </c>
      <c r="M157" s="6" t="s">
        <v>51</v>
      </c>
      <c r="N157" s="8" t="s">
        <v>826</v>
      </c>
      <c r="O157" s="6">
        <f>HYPERLINK("https://docs.wto.org/imrd/directdoc.asp?DDFDocuments/t/G/TBTN22/RUS128.DOCX", "https://docs.wto.org/imrd/directdoc.asp?DDFDocuments/t/G/TBTN22/RUS128.DOCX")</f>
      </c>
      <c r="P157" s="6">
        <f>HYPERLINK("https://docs.wto.org/imrd/directdoc.asp?DDFDocuments/u/G/TBTN22/RUS128.DOCX", "https://docs.wto.org/imrd/directdoc.asp?DDFDocuments/u/G/TBTN22/RUS128.DOCX")</f>
      </c>
      <c r="Q157" s="6">
        <f>HYPERLINK("https://docs.wto.org/imrd/directdoc.asp?DDFDocuments/v/G/TBTN22/RUS128.DOCX", "https://docs.wto.org/imrd/directdoc.asp?DDFDocuments/v/G/TBTN22/RUS128.DOCX")</f>
      </c>
      <c r="R157" s="0" t="s">
        <v>42</v>
      </c>
      <c r="S157" s="0" t="s">
        <v>42</v>
      </c>
      <c r="T157" s="0" t="s">
        <v>42</v>
      </c>
      <c r="U157" s="0" t="s">
        <v>43</v>
      </c>
      <c r="V157" s="0" t="s">
        <v>42</v>
      </c>
      <c r="W157" s="0" t="s">
        <v>42</v>
      </c>
      <c r="X157" s="0" t="s">
        <v>42</v>
      </c>
      <c r="Y157" s="2" t="s">
        <v>827</v>
      </c>
      <c r="Z157" s="0" t="s">
        <v>36</v>
      </c>
      <c r="AA157" s="0" t="s">
        <v>36</v>
      </c>
      <c r="AB157" s="0" t="s">
        <v>36</v>
      </c>
      <c r="AC157" s="0" t="s">
        <v>36</v>
      </c>
      <c r="AD157" s="0" t="s">
        <v>36</v>
      </c>
      <c r="AE157" s="2" t="s">
        <v>36</v>
      </c>
    </row>
    <row r="158">
      <c r="A158" s="6" t="s">
        <v>31</v>
      </c>
      <c r="B158" s="7">
        <v>44627</v>
      </c>
      <c r="C158" s="9">
        <f>HYPERLINK("https://www.epingalert.org/en/Search?viewData= G/SPS/N/RUS/176/Add.2"," G/SPS/N/RUS/176/Add.2")</f>
      </c>
      <c r="D158" s="8" t="s">
        <v>828</v>
      </c>
      <c r="E158" s="8" t="s">
        <v>829</v>
      </c>
      <c r="F158" s="8"/>
      <c r="G158" s="8" t="s">
        <v>830</v>
      </c>
      <c r="H158" s="8" t="s">
        <v>36</v>
      </c>
      <c r="I158" s="8" t="s">
        <v>814</v>
      </c>
      <c r="J158" s="8" t="s">
        <v>831</v>
      </c>
      <c r="K158" s="6"/>
      <c r="L158" s="7" t="s">
        <v>36</v>
      </c>
      <c r="M158" s="6" t="s">
        <v>179</v>
      </c>
      <c r="N158" s="6"/>
      <c r="O158" s="6">
        <f>HYPERLINK("https://docs.wto.org/imrd/directdoc.asp?DDFDocuments/t/G/SPS/NRUS176A2.DOCX", "https://docs.wto.org/imrd/directdoc.asp?DDFDocuments/t/G/SPS/NRUS176A2.DOCX")</f>
      </c>
      <c r="P158" s="6">
        <f>HYPERLINK("https://docs.wto.org/imrd/directdoc.asp?DDFDocuments/u/G/SPS/NRUS176A2.DOCX", "https://docs.wto.org/imrd/directdoc.asp?DDFDocuments/u/G/SPS/NRUS176A2.DOCX")</f>
      </c>
      <c r="Q158" s="6">
        <f>HYPERLINK("https://docs.wto.org/imrd/directdoc.asp?DDFDocuments/v/G/SPS/NRUS176A2.DOCX", "https://docs.wto.org/imrd/directdoc.asp?DDFDocuments/v/G/SPS/NRUS176A2.DOCX")</f>
      </c>
      <c r="R158" s="0" t="s">
        <v>36</v>
      </c>
      <c r="S158" s="0" t="s">
        <v>36</v>
      </c>
      <c r="T158" s="0" t="s">
        <v>36</v>
      </c>
      <c r="U158" s="0" t="s">
        <v>36</v>
      </c>
      <c r="V158" s="0" t="s">
        <v>36</v>
      </c>
      <c r="W158" s="0" t="s">
        <v>36</v>
      </c>
      <c r="X158" s="0" t="s">
        <v>36</v>
      </c>
      <c r="Y158" s="2" t="s">
        <v>36</v>
      </c>
      <c r="Z158" s="0" t="s">
        <v>36</v>
      </c>
      <c r="AA158" s="0" t="s">
        <v>36</v>
      </c>
      <c r="AB158" s="0" t="s">
        <v>36</v>
      </c>
      <c r="AC158" s="0" t="s">
        <v>36</v>
      </c>
      <c r="AD158" s="0" t="s">
        <v>36</v>
      </c>
      <c r="AE158" s="2" t="s">
        <v>36</v>
      </c>
    </row>
    <row r="159">
      <c r="A159" s="6" t="s">
        <v>31</v>
      </c>
      <c r="B159" s="7">
        <v>44627</v>
      </c>
      <c r="C159" s="9">
        <f>HYPERLINK("https://www.epingalert.org/en/Search?viewData= G/SPS/N/RUS/165/Add.1"," G/SPS/N/RUS/165/Add.1")</f>
      </c>
      <c r="D159" s="8" t="s">
        <v>832</v>
      </c>
      <c r="E159" s="8" t="s">
        <v>833</v>
      </c>
      <c r="F159" s="8"/>
      <c r="G159" s="8" t="s">
        <v>834</v>
      </c>
      <c r="H159" s="8" t="s">
        <v>36</v>
      </c>
      <c r="I159" s="8" t="s">
        <v>505</v>
      </c>
      <c r="J159" s="8" t="s">
        <v>835</v>
      </c>
      <c r="K159" s="6"/>
      <c r="L159" s="7" t="s">
        <v>36</v>
      </c>
      <c r="M159" s="6" t="s">
        <v>179</v>
      </c>
      <c r="N159" s="6"/>
      <c r="O159" s="6">
        <f>HYPERLINK("https://docs.wto.org/imrd/directdoc.asp?DDFDocuments/t/G/SPS/NRUS165A1.DOCX", "https://docs.wto.org/imrd/directdoc.asp?DDFDocuments/t/G/SPS/NRUS165A1.DOCX")</f>
      </c>
      <c r="P159" s="6">
        <f>HYPERLINK("https://docs.wto.org/imrd/directdoc.asp?DDFDocuments/u/G/SPS/NRUS165A1.DOCX", "https://docs.wto.org/imrd/directdoc.asp?DDFDocuments/u/G/SPS/NRUS165A1.DOCX")</f>
      </c>
      <c r="Q159" s="6">
        <f>HYPERLINK("https://docs.wto.org/imrd/directdoc.asp?DDFDocuments/v/G/SPS/NRUS165A1.DOCX", "https://docs.wto.org/imrd/directdoc.asp?DDFDocuments/v/G/SPS/NRUS165A1.DOCX")</f>
      </c>
      <c r="R159" s="0" t="s">
        <v>36</v>
      </c>
      <c r="S159" s="0" t="s">
        <v>36</v>
      </c>
      <c r="T159" s="0" t="s">
        <v>36</v>
      </c>
      <c r="U159" s="0" t="s">
        <v>36</v>
      </c>
      <c r="V159" s="0" t="s">
        <v>36</v>
      </c>
      <c r="W159" s="0" t="s">
        <v>36</v>
      </c>
      <c r="X159" s="0" t="s">
        <v>36</v>
      </c>
      <c r="Y159" s="2" t="s">
        <v>36</v>
      </c>
      <c r="Z159" s="0" t="s">
        <v>36</v>
      </c>
      <c r="AA159" s="0" t="s">
        <v>36</v>
      </c>
      <c r="AB159" s="0" t="s">
        <v>36</v>
      </c>
      <c r="AC159" s="0" t="s">
        <v>36</v>
      </c>
      <c r="AD159" s="0" t="s">
        <v>36</v>
      </c>
      <c r="AE159" s="2" t="s">
        <v>36</v>
      </c>
    </row>
    <row r="160">
      <c r="A160" s="6" t="s">
        <v>31</v>
      </c>
      <c r="B160" s="7">
        <v>44621</v>
      </c>
      <c r="C160" s="9">
        <f>HYPERLINK("https://www.epingalert.org/en/Search?viewData= G/SPS/N/RUS/247"," G/SPS/N/RUS/247")</f>
      </c>
      <c r="D160" s="8" t="s">
        <v>755</v>
      </c>
      <c r="E160" s="8" t="s">
        <v>836</v>
      </c>
      <c r="F160" s="8" t="s">
        <v>837</v>
      </c>
      <c r="G160" s="8" t="s">
        <v>838</v>
      </c>
      <c r="H160" s="8" t="s">
        <v>36</v>
      </c>
      <c r="I160" s="8" t="s">
        <v>37</v>
      </c>
      <c r="J160" s="8" t="s">
        <v>157</v>
      </c>
      <c r="K160" s="6"/>
      <c r="L160" s="7">
        <v>44676</v>
      </c>
      <c r="M160" s="6" t="s">
        <v>51</v>
      </c>
      <c r="N160" s="8" t="s">
        <v>839</v>
      </c>
      <c r="O160" s="6">
        <f>HYPERLINK("https://docs.wto.org/imrd/directdoc.asp?DDFDocuments/t/G/SPS/NRUS247.DOCX", "https://docs.wto.org/imrd/directdoc.asp?DDFDocuments/t/G/SPS/NRUS247.DOCX")</f>
      </c>
      <c r="P160" s="6">
        <f>HYPERLINK("https://docs.wto.org/imrd/directdoc.asp?DDFDocuments/u/G/SPS/NRUS247.DOCX", "https://docs.wto.org/imrd/directdoc.asp?DDFDocuments/u/G/SPS/NRUS247.DOCX")</f>
      </c>
      <c r="Q160" s="6">
        <f>HYPERLINK("https://docs.wto.org/imrd/directdoc.asp?DDFDocuments/v/G/SPS/NRUS247.DOCX", "https://docs.wto.org/imrd/directdoc.asp?DDFDocuments/v/G/SPS/NRUS247.DOCX")</f>
      </c>
      <c r="R160" s="0" t="s">
        <v>36</v>
      </c>
      <c r="S160" s="0" t="s">
        <v>36</v>
      </c>
      <c r="T160" s="0" t="s">
        <v>36</v>
      </c>
      <c r="U160" s="0" t="s">
        <v>36</v>
      </c>
      <c r="V160" s="0" t="s">
        <v>36</v>
      </c>
      <c r="W160" s="0" t="s">
        <v>36</v>
      </c>
      <c r="X160" s="0" t="s">
        <v>36</v>
      </c>
      <c r="Y160" s="2" t="s">
        <v>36</v>
      </c>
      <c r="Z160" s="0" t="s">
        <v>42</v>
      </c>
      <c r="AA160" s="0" t="s">
        <v>43</v>
      </c>
      <c r="AB160" s="0" t="s">
        <v>42</v>
      </c>
      <c r="AC160" s="0" t="s">
        <v>42</v>
      </c>
      <c r="AD160" s="0" t="s">
        <v>43</v>
      </c>
      <c r="AE160" s="2" t="s">
        <v>36</v>
      </c>
    </row>
    <row r="161">
      <c r="A161" s="6" t="s">
        <v>31</v>
      </c>
      <c r="B161" s="7">
        <v>44621</v>
      </c>
      <c r="C161" s="9">
        <f>HYPERLINK("https://www.epingalert.org/en/Search?viewData= G/SPS/N/RUS/200/Add.1"," G/SPS/N/RUS/200/Add.1")</f>
      </c>
      <c r="D161" s="8" t="s">
        <v>840</v>
      </c>
      <c r="E161" s="8" t="s">
        <v>841</v>
      </c>
      <c r="F161" s="8"/>
      <c r="G161" s="8" t="s">
        <v>842</v>
      </c>
      <c r="H161" s="8" t="s">
        <v>36</v>
      </c>
      <c r="I161" s="8" t="s">
        <v>505</v>
      </c>
      <c r="J161" s="8" t="s">
        <v>843</v>
      </c>
      <c r="K161" s="6"/>
      <c r="L161" s="7" t="s">
        <v>36</v>
      </c>
      <c r="M161" s="6" t="s">
        <v>179</v>
      </c>
      <c r="N161" s="6"/>
      <c r="O161" s="6">
        <f>HYPERLINK("https://docs.wto.org/imrd/directdoc.asp?DDFDocuments/t/G/SPS/NRUS200A1.DOCX", "https://docs.wto.org/imrd/directdoc.asp?DDFDocuments/t/G/SPS/NRUS200A1.DOCX")</f>
      </c>
      <c r="P161" s="6">
        <f>HYPERLINK("https://docs.wto.org/imrd/directdoc.asp?DDFDocuments/u/G/SPS/NRUS200A1.DOCX", "https://docs.wto.org/imrd/directdoc.asp?DDFDocuments/u/G/SPS/NRUS200A1.DOCX")</f>
      </c>
      <c r="Q161" s="6">
        <f>HYPERLINK("https://docs.wto.org/imrd/directdoc.asp?DDFDocuments/v/G/SPS/NRUS200A1.DOCX", "https://docs.wto.org/imrd/directdoc.asp?DDFDocuments/v/G/SPS/NRUS200A1.DOCX")</f>
      </c>
      <c r="R161" s="0" t="s">
        <v>36</v>
      </c>
      <c r="S161" s="0" t="s">
        <v>36</v>
      </c>
      <c r="T161" s="0" t="s">
        <v>36</v>
      </c>
      <c r="U161" s="0" t="s">
        <v>36</v>
      </c>
      <c r="V161" s="0" t="s">
        <v>36</v>
      </c>
      <c r="W161" s="0" t="s">
        <v>36</v>
      </c>
      <c r="X161" s="0" t="s">
        <v>36</v>
      </c>
      <c r="Y161" s="2" t="s">
        <v>36</v>
      </c>
      <c r="Z161" s="0" t="s">
        <v>36</v>
      </c>
      <c r="AA161" s="0" t="s">
        <v>36</v>
      </c>
      <c r="AB161" s="0" t="s">
        <v>36</v>
      </c>
      <c r="AC161" s="0" t="s">
        <v>36</v>
      </c>
      <c r="AD161" s="0" t="s">
        <v>36</v>
      </c>
      <c r="AE161" s="2" t="s">
        <v>36</v>
      </c>
    </row>
    <row r="162">
      <c r="A162" s="6" t="s">
        <v>31</v>
      </c>
      <c r="B162" s="7">
        <v>44606</v>
      </c>
      <c r="C162" s="9">
        <f>HYPERLINK("https://www.epingalert.org/en/Search?viewData= G/SPS/N/RUS/246"," G/SPS/N/RUS/246")</f>
      </c>
      <c r="D162" s="8" t="s">
        <v>844</v>
      </c>
      <c r="E162" s="8" t="s">
        <v>845</v>
      </c>
      <c r="F162" s="8" t="s">
        <v>846</v>
      </c>
      <c r="G162" s="8" t="s">
        <v>847</v>
      </c>
      <c r="H162" s="8" t="s">
        <v>36</v>
      </c>
      <c r="I162" s="8" t="s">
        <v>37</v>
      </c>
      <c r="J162" s="8" t="s">
        <v>38</v>
      </c>
      <c r="K162" s="6"/>
      <c r="L162" s="7">
        <v>44662</v>
      </c>
      <c r="M162" s="6" t="s">
        <v>51</v>
      </c>
      <c r="N162" s="8" t="s">
        <v>848</v>
      </c>
      <c r="O162" s="6">
        <f>HYPERLINK("https://docs.wto.org/imrd/directdoc.asp?DDFDocuments/t/G/SPS/NRUS246.DOCX", "https://docs.wto.org/imrd/directdoc.asp?DDFDocuments/t/G/SPS/NRUS246.DOCX")</f>
      </c>
      <c r="P162" s="6">
        <f>HYPERLINK("https://docs.wto.org/imrd/directdoc.asp?DDFDocuments/u/G/SPS/NRUS246.DOCX", "https://docs.wto.org/imrd/directdoc.asp?DDFDocuments/u/G/SPS/NRUS246.DOCX")</f>
      </c>
      <c r="Q162" s="6">
        <f>HYPERLINK("https://docs.wto.org/imrd/directdoc.asp?DDFDocuments/v/G/SPS/NRUS246.DOCX", "https://docs.wto.org/imrd/directdoc.asp?DDFDocuments/v/G/SPS/NRUS246.DOCX")</f>
      </c>
      <c r="R162" s="0" t="s">
        <v>36</v>
      </c>
      <c r="S162" s="0" t="s">
        <v>36</v>
      </c>
      <c r="T162" s="0" t="s">
        <v>36</v>
      </c>
      <c r="U162" s="0" t="s">
        <v>36</v>
      </c>
      <c r="V162" s="0" t="s">
        <v>36</v>
      </c>
      <c r="W162" s="0" t="s">
        <v>36</v>
      </c>
      <c r="X162" s="0" t="s">
        <v>36</v>
      </c>
      <c r="Y162" s="2" t="s">
        <v>36</v>
      </c>
      <c r="Z162" s="0" t="s">
        <v>42</v>
      </c>
      <c r="AA162" s="0" t="s">
        <v>43</v>
      </c>
      <c r="AB162" s="0" t="s">
        <v>42</v>
      </c>
      <c r="AC162" s="0" t="s">
        <v>42</v>
      </c>
      <c r="AD162" s="0" t="s">
        <v>43</v>
      </c>
      <c r="AE162" s="2" t="s">
        <v>36</v>
      </c>
    </row>
    <row r="163">
      <c r="A163" s="6" t="s">
        <v>31</v>
      </c>
      <c r="B163" s="7">
        <v>44601</v>
      </c>
      <c r="C163" s="9">
        <f>HYPERLINK("https://www.epingalert.org/en/Search?viewData= G/SPS/N/RUS/245"," G/SPS/N/RUS/245")</f>
      </c>
      <c r="D163" s="8" t="s">
        <v>849</v>
      </c>
      <c r="E163" s="8" t="s">
        <v>850</v>
      </c>
      <c r="F163" s="8" t="s">
        <v>408</v>
      </c>
      <c r="G163" s="8" t="s">
        <v>36</v>
      </c>
      <c r="H163" s="8" t="s">
        <v>36</v>
      </c>
      <c r="I163" s="8" t="s">
        <v>505</v>
      </c>
      <c r="J163" s="8" t="s">
        <v>851</v>
      </c>
      <c r="K163" s="6"/>
      <c r="L163" s="7">
        <v>44663</v>
      </c>
      <c r="M163" s="6" t="s">
        <v>51</v>
      </c>
      <c r="N163" s="8" t="s">
        <v>852</v>
      </c>
      <c r="O163" s="6">
        <f>HYPERLINK("https://docs.wto.org/imrd/directdoc.asp?DDFDocuments/t/G/SPS/NRUS245.DOCX", "https://docs.wto.org/imrd/directdoc.asp?DDFDocuments/t/G/SPS/NRUS245.DOCX")</f>
      </c>
      <c r="P163" s="6">
        <f>HYPERLINK("https://docs.wto.org/imrd/directdoc.asp?DDFDocuments/u/G/SPS/NRUS245.DOCX", "https://docs.wto.org/imrd/directdoc.asp?DDFDocuments/u/G/SPS/NRUS245.DOCX")</f>
      </c>
      <c r="Q163" s="6">
        <f>HYPERLINK("https://docs.wto.org/imrd/directdoc.asp?DDFDocuments/v/G/SPS/NRUS245.DOCX", "https://docs.wto.org/imrd/directdoc.asp?DDFDocuments/v/G/SPS/NRUS245.DOCX")</f>
      </c>
      <c r="R163" s="0" t="s">
        <v>36</v>
      </c>
      <c r="S163" s="0" t="s">
        <v>36</v>
      </c>
      <c r="T163" s="0" t="s">
        <v>36</v>
      </c>
      <c r="U163" s="0" t="s">
        <v>36</v>
      </c>
      <c r="V163" s="0" t="s">
        <v>36</v>
      </c>
      <c r="W163" s="0" t="s">
        <v>36</v>
      </c>
      <c r="X163" s="0" t="s">
        <v>36</v>
      </c>
      <c r="Y163" s="2" t="s">
        <v>36</v>
      </c>
      <c r="Z163" s="0" t="s">
        <v>42</v>
      </c>
      <c r="AA163" s="0" t="s">
        <v>42</v>
      </c>
      <c r="AB163" s="0" t="s">
        <v>43</v>
      </c>
      <c r="AC163" s="0" t="s">
        <v>42</v>
      </c>
      <c r="AD163" s="0" t="s">
        <v>43</v>
      </c>
      <c r="AE163" s="2" t="s">
        <v>36</v>
      </c>
    </row>
    <row r="164">
      <c r="A164" s="6" t="s">
        <v>31</v>
      </c>
      <c r="B164" s="7">
        <v>44599</v>
      </c>
      <c r="C164" s="9">
        <f>HYPERLINK("https://www.epingalert.org/en/Search?viewData= G/SPS/N/RUS/244"," G/SPS/N/RUS/244")</f>
      </c>
      <c r="D164" s="8" t="s">
        <v>853</v>
      </c>
      <c r="E164" s="8" t="s">
        <v>854</v>
      </c>
      <c r="F164" s="8" t="s">
        <v>555</v>
      </c>
      <c r="G164" s="8" t="s">
        <v>36</v>
      </c>
      <c r="H164" s="8" t="s">
        <v>36</v>
      </c>
      <c r="I164" s="8" t="s">
        <v>648</v>
      </c>
      <c r="J164" s="8" t="s">
        <v>855</v>
      </c>
      <c r="K164" s="6"/>
      <c r="L164" s="7">
        <v>44659</v>
      </c>
      <c r="M164" s="6" t="s">
        <v>51</v>
      </c>
      <c r="N164" s="8" t="s">
        <v>856</v>
      </c>
      <c r="O164" s="6">
        <f>HYPERLINK("https://docs.wto.org/imrd/directdoc.asp?DDFDocuments/t/G/SPS/NRUS244.DOCX", "https://docs.wto.org/imrd/directdoc.asp?DDFDocuments/t/G/SPS/NRUS244.DOCX")</f>
      </c>
      <c r="P164" s="6">
        <f>HYPERLINK("https://docs.wto.org/imrd/directdoc.asp?DDFDocuments/u/G/SPS/NRUS244.DOCX", "https://docs.wto.org/imrd/directdoc.asp?DDFDocuments/u/G/SPS/NRUS244.DOCX")</f>
      </c>
      <c r="Q164" s="6">
        <f>HYPERLINK("https://docs.wto.org/imrd/directdoc.asp?DDFDocuments/v/G/SPS/NRUS244.DOCX", "https://docs.wto.org/imrd/directdoc.asp?DDFDocuments/v/G/SPS/NRUS244.DOCX")</f>
      </c>
      <c r="R164" s="0" t="s">
        <v>36</v>
      </c>
      <c r="S164" s="0" t="s">
        <v>36</v>
      </c>
      <c r="T164" s="0" t="s">
        <v>36</v>
      </c>
      <c r="U164" s="0" t="s">
        <v>36</v>
      </c>
      <c r="V164" s="0" t="s">
        <v>36</v>
      </c>
      <c r="W164" s="0" t="s">
        <v>36</v>
      </c>
      <c r="X164" s="0" t="s">
        <v>36</v>
      </c>
      <c r="Y164" s="2" t="s">
        <v>36</v>
      </c>
      <c r="Z164" s="0" t="s">
        <v>42</v>
      </c>
      <c r="AA164" s="0" t="s">
        <v>42</v>
      </c>
      <c r="AB164" s="0" t="s">
        <v>43</v>
      </c>
      <c r="AC164" s="0" t="s">
        <v>42</v>
      </c>
      <c r="AD164" s="0" t="s">
        <v>43</v>
      </c>
      <c r="AE164" s="2" t="s">
        <v>36</v>
      </c>
    </row>
    <row r="165">
      <c r="A165" s="6" t="s">
        <v>31</v>
      </c>
      <c r="B165" s="7">
        <v>44579</v>
      </c>
      <c r="C165" s="9">
        <f>HYPERLINK("https://www.epingalert.org/en/Search?viewData= G/SPS/N/RUS/243"," G/SPS/N/RUS/243")</f>
      </c>
      <c r="D165" s="8" t="s">
        <v>857</v>
      </c>
      <c r="E165" s="8" t="s">
        <v>858</v>
      </c>
      <c r="F165" s="8" t="s">
        <v>408</v>
      </c>
      <c r="G165" s="8" t="s">
        <v>36</v>
      </c>
      <c r="H165" s="8" t="s">
        <v>36</v>
      </c>
      <c r="I165" s="8" t="s">
        <v>505</v>
      </c>
      <c r="J165" s="8" t="s">
        <v>605</v>
      </c>
      <c r="K165" s="6"/>
      <c r="L165" s="7">
        <v>44627</v>
      </c>
      <c r="M165" s="6" t="s">
        <v>51</v>
      </c>
      <c r="N165" s="8" t="s">
        <v>859</v>
      </c>
      <c r="O165" s="6">
        <f>HYPERLINK("https://docs.wto.org/imrd/directdoc.asp?DDFDocuments/t/G/SPS/NRUS243.DOCX", "https://docs.wto.org/imrd/directdoc.asp?DDFDocuments/t/G/SPS/NRUS243.DOCX")</f>
      </c>
      <c r="P165" s="6">
        <f>HYPERLINK("https://docs.wto.org/imrd/directdoc.asp?DDFDocuments/u/G/SPS/NRUS243.DOCX", "https://docs.wto.org/imrd/directdoc.asp?DDFDocuments/u/G/SPS/NRUS243.DOCX")</f>
      </c>
      <c r="Q165" s="6">
        <f>HYPERLINK("https://docs.wto.org/imrd/directdoc.asp?DDFDocuments/v/G/SPS/NRUS243.DOCX", "https://docs.wto.org/imrd/directdoc.asp?DDFDocuments/v/G/SPS/NRUS243.DOCX")</f>
      </c>
      <c r="R165" s="0" t="s">
        <v>36</v>
      </c>
      <c r="S165" s="0" t="s">
        <v>36</v>
      </c>
      <c r="T165" s="0" t="s">
        <v>36</v>
      </c>
      <c r="U165" s="0" t="s">
        <v>36</v>
      </c>
      <c r="V165" s="0" t="s">
        <v>36</v>
      </c>
      <c r="W165" s="0" t="s">
        <v>36</v>
      </c>
      <c r="X165" s="0" t="s">
        <v>36</v>
      </c>
      <c r="Y165" s="2" t="s">
        <v>36</v>
      </c>
      <c r="Z165" s="0" t="s">
        <v>42</v>
      </c>
      <c r="AA165" s="0" t="s">
        <v>42</v>
      </c>
      <c r="AB165" s="0" t="s">
        <v>43</v>
      </c>
      <c r="AC165" s="0" t="s">
        <v>42</v>
      </c>
      <c r="AD165" s="0" t="s">
        <v>43</v>
      </c>
      <c r="AE165" s="2" t="s">
        <v>36</v>
      </c>
    </row>
    <row r="166">
      <c r="A166" s="6" t="s">
        <v>31</v>
      </c>
      <c r="B166" s="7">
        <v>44567</v>
      </c>
      <c r="C166" s="9">
        <f>HYPERLINK("https://www.epingalert.org/en/Search?viewData= G/SPS/N/RUS/242"," G/SPS/N/RUS/242")</f>
      </c>
      <c r="D166" s="8" t="s">
        <v>860</v>
      </c>
      <c r="E166" s="8" t="s">
        <v>861</v>
      </c>
      <c r="F166" s="8" t="s">
        <v>862</v>
      </c>
      <c r="G166" s="8" t="s">
        <v>36</v>
      </c>
      <c r="H166" s="8" t="s">
        <v>36</v>
      </c>
      <c r="I166" s="8" t="s">
        <v>97</v>
      </c>
      <c r="J166" s="8" t="s">
        <v>105</v>
      </c>
      <c r="K166" s="6"/>
      <c r="L166" s="7">
        <v>44613</v>
      </c>
      <c r="M166" s="6" t="s">
        <v>51</v>
      </c>
      <c r="N166" s="8" t="s">
        <v>863</v>
      </c>
      <c r="O166" s="6">
        <f>HYPERLINK("https://docs.wto.org/imrd/directdoc.asp?DDFDocuments/t/G/SPS/NRUS242.DOCX", "https://docs.wto.org/imrd/directdoc.asp?DDFDocuments/t/G/SPS/NRUS242.DOCX")</f>
      </c>
      <c r="P166" s="6">
        <f>HYPERLINK("https://docs.wto.org/imrd/directdoc.asp?DDFDocuments/u/G/SPS/NRUS242.DOCX", "https://docs.wto.org/imrd/directdoc.asp?DDFDocuments/u/G/SPS/NRUS242.DOCX")</f>
      </c>
      <c r="Q166" s="6">
        <f>HYPERLINK("https://docs.wto.org/imrd/directdoc.asp?DDFDocuments/v/G/SPS/NRUS242.DOCX", "https://docs.wto.org/imrd/directdoc.asp?DDFDocuments/v/G/SPS/NRUS242.DOCX")</f>
      </c>
      <c r="R166" s="0" t="s">
        <v>36</v>
      </c>
      <c r="S166" s="0" t="s">
        <v>36</v>
      </c>
      <c r="T166" s="0" t="s">
        <v>36</v>
      </c>
      <c r="U166" s="0" t="s">
        <v>36</v>
      </c>
      <c r="V166" s="0" t="s">
        <v>36</v>
      </c>
      <c r="W166" s="0" t="s">
        <v>36</v>
      </c>
      <c r="X166" s="0" t="s">
        <v>36</v>
      </c>
      <c r="Y166" s="2" t="s">
        <v>36</v>
      </c>
      <c r="Z166" s="0" t="s">
        <v>43</v>
      </c>
      <c r="AA166" s="0" t="s">
        <v>42</v>
      </c>
      <c r="AB166" s="0" t="s">
        <v>42</v>
      </c>
      <c r="AC166" s="0" t="s">
        <v>42</v>
      </c>
      <c r="AD166" s="0" t="s">
        <v>43</v>
      </c>
      <c r="AE166" s="2" t="s">
        <v>36</v>
      </c>
    </row>
    <row r="167">
      <c r="A167" s="6" t="s">
        <v>31</v>
      </c>
      <c r="B167" s="7">
        <v>44544</v>
      </c>
      <c r="C167" s="9">
        <f>HYPERLINK("https://www.epingalert.org/en/Search?viewData= G/TBT/N/RUS/127"," G/TBT/N/RUS/127")</f>
      </c>
      <c r="D167" s="8" t="s">
        <v>864</v>
      </c>
      <c r="E167" s="8" t="s">
        <v>865</v>
      </c>
      <c r="F167" s="8" t="s">
        <v>498</v>
      </c>
      <c r="G167" s="8" t="s">
        <v>36</v>
      </c>
      <c r="H167" s="8" t="s">
        <v>141</v>
      </c>
      <c r="I167" s="8" t="s">
        <v>164</v>
      </c>
      <c r="J167" s="8" t="s">
        <v>36</v>
      </c>
      <c r="K167" s="6"/>
      <c r="L167" s="7">
        <v>44604</v>
      </c>
      <c r="M167" s="6" t="s">
        <v>51</v>
      </c>
      <c r="N167" s="8" t="s">
        <v>866</v>
      </c>
      <c r="O167" s="6">
        <f>HYPERLINK("https://docs.wto.org/imrd/directdoc.asp?DDFDocuments/t/G/TBTN21/RUS127.DOCX", "https://docs.wto.org/imrd/directdoc.asp?DDFDocuments/t/G/TBTN21/RUS127.DOCX")</f>
      </c>
      <c r="P167" s="6">
        <f>HYPERLINK("https://docs.wto.org/imrd/directdoc.asp?DDFDocuments/u/G/TBTN21/RUS127.DOCX", "https://docs.wto.org/imrd/directdoc.asp?DDFDocuments/u/G/TBTN21/RUS127.DOCX")</f>
      </c>
      <c r="Q167" s="6">
        <f>HYPERLINK("https://docs.wto.org/imrd/directdoc.asp?DDFDocuments/v/G/TBTN21/RUS127.DOCX", "https://docs.wto.org/imrd/directdoc.asp?DDFDocuments/v/G/TBTN21/RUS127.DOCX")</f>
      </c>
      <c r="R167" s="0" t="s">
        <v>43</v>
      </c>
      <c r="S167" s="0" t="s">
        <v>42</v>
      </c>
      <c r="T167" s="0" t="s">
        <v>42</v>
      </c>
      <c r="U167" s="0" t="s">
        <v>42</v>
      </c>
      <c r="V167" s="0" t="s">
        <v>42</v>
      </c>
      <c r="W167" s="0" t="s">
        <v>42</v>
      </c>
      <c r="X167" s="0" t="s">
        <v>42</v>
      </c>
      <c r="Y167" s="2" t="s">
        <v>867</v>
      </c>
      <c r="Z167" s="0" t="s">
        <v>36</v>
      </c>
      <c r="AA167" s="0" t="s">
        <v>36</v>
      </c>
      <c r="AB167" s="0" t="s">
        <v>36</v>
      </c>
      <c r="AC167" s="0" t="s">
        <v>36</v>
      </c>
      <c r="AD167" s="0" t="s">
        <v>36</v>
      </c>
      <c r="AE167" s="2" t="s">
        <v>36</v>
      </c>
    </row>
    <row r="168">
      <c r="A168" s="6" t="s">
        <v>31</v>
      </c>
      <c r="B168" s="7">
        <v>44543</v>
      </c>
      <c r="C168" s="9">
        <f>HYPERLINK("https://www.epingalert.org/en/Search?viewData= G/SPS/N/RUS/176/Add.1"," G/SPS/N/RUS/176/Add.1")</f>
      </c>
      <c r="D168" s="8" t="s">
        <v>868</v>
      </c>
      <c r="E168" s="8" t="s">
        <v>869</v>
      </c>
      <c r="F168" s="8"/>
      <c r="G168" s="8" t="s">
        <v>830</v>
      </c>
      <c r="H168" s="8" t="s">
        <v>36</v>
      </c>
      <c r="I168" s="8" t="s">
        <v>814</v>
      </c>
      <c r="J168" s="8" t="s">
        <v>870</v>
      </c>
      <c r="K168" s="6"/>
      <c r="L168" s="7" t="s">
        <v>36</v>
      </c>
      <c r="M168" s="6" t="s">
        <v>179</v>
      </c>
      <c r="N168" s="6"/>
      <c r="O168" s="6">
        <f>HYPERLINK("https://docs.wto.org/imrd/directdoc.asp?DDFDocuments/t/G/SPS/NRUS176A1.DOCX", "https://docs.wto.org/imrd/directdoc.asp?DDFDocuments/t/G/SPS/NRUS176A1.DOCX")</f>
      </c>
      <c r="P168" s="6">
        <f>HYPERLINK("https://docs.wto.org/imrd/directdoc.asp?DDFDocuments/u/G/SPS/NRUS176A1.DOCX", "https://docs.wto.org/imrd/directdoc.asp?DDFDocuments/u/G/SPS/NRUS176A1.DOCX")</f>
      </c>
      <c r="Q168" s="6">
        <f>HYPERLINK("https://docs.wto.org/imrd/directdoc.asp?DDFDocuments/v/G/SPS/NRUS176A1.DOCX", "https://docs.wto.org/imrd/directdoc.asp?DDFDocuments/v/G/SPS/NRUS176A1.DOCX")</f>
      </c>
      <c r="R168" s="0" t="s">
        <v>36</v>
      </c>
      <c r="S168" s="0" t="s">
        <v>36</v>
      </c>
      <c r="T168" s="0" t="s">
        <v>36</v>
      </c>
      <c r="U168" s="0" t="s">
        <v>36</v>
      </c>
      <c r="V168" s="0" t="s">
        <v>36</v>
      </c>
      <c r="W168" s="0" t="s">
        <v>36</v>
      </c>
      <c r="X168" s="0" t="s">
        <v>36</v>
      </c>
      <c r="Y168" s="2" t="s">
        <v>36</v>
      </c>
      <c r="Z168" s="0" t="s">
        <v>36</v>
      </c>
      <c r="AA168" s="0" t="s">
        <v>36</v>
      </c>
      <c r="AB168" s="0" t="s">
        <v>36</v>
      </c>
      <c r="AC168" s="0" t="s">
        <v>36</v>
      </c>
      <c r="AD168" s="0" t="s">
        <v>36</v>
      </c>
      <c r="AE168" s="2" t="s">
        <v>36</v>
      </c>
    </row>
    <row r="169">
      <c r="A169" s="6" t="s">
        <v>31</v>
      </c>
      <c r="B169" s="7">
        <v>44536</v>
      </c>
      <c r="C169" s="9">
        <f>HYPERLINK("https://www.epingalert.org/en/Search?viewData= G/TBT/N/RUS/126"," G/TBT/N/RUS/126")</f>
      </c>
      <c r="D169" s="8" t="s">
        <v>871</v>
      </c>
      <c r="E169" s="8" t="s">
        <v>872</v>
      </c>
      <c r="F169" s="8" t="s">
        <v>873</v>
      </c>
      <c r="G169" s="8" t="s">
        <v>36</v>
      </c>
      <c r="H169" s="8" t="s">
        <v>874</v>
      </c>
      <c r="I169" s="8" t="s">
        <v>164</v>
      </c>
      <c r="J169" s="8" t="s">
        <v>36</v>
      </c>
      <c r="K169" s="6"/>
      <c r="L169" s="7">
        <v>44617</v>
      </c>
      <c r="M169" s="6" t="s">
        <v>51</v>
      </c>
      <c r="N169" s="8" t="s">
        <v>875</v>
      </c>
      <c r="O169" s="6">
        <f>HYPERLINK("https://docs.wto.org/imrd/directdoc.asp?DDFDocuments/t/G/TBTN21/RUS126.DOCX", "https://docs.wto.org/imrd/directdoc.asp?DDFDocuments/t/G/TBTN21/RUS126.DOCX")</f>
      </c>
      <c r="P169" s="6">
        <f>HYPERLINK("https://docs.wto.org/imrd/directdoc.asp?DDFDocuments/u/G/TBTN21/RUS126.DOCX", "https://docs.wto.org/imrd/directdoc.asp?DDFDocuments/u/G/TBTN21/RUS126.DOCX")</f>
      </c>
      <c r="Q169" s="6">
        <f>HYPERLINK("https://docs.wto.org/imrd/directdoc.asp?DDFDocuments/v/G/TBTN21/RUS126.DOCX", "https://docs.wto.org/imrd/directdoc.asp?DDFDocuments/v/G/TBTN21/RUS126.DOCX")</f>
      </c>
      <c r="R169" s="0" t="s">
        <v>43</v>
      </c>
      <c r="S169" s="0" t="s">
        <v>42</v>
      </c>
      <c r="T169" s="0" t="s">
        <v>42</v>
      </c>
      <c r="U169" s="0" t="s">
        <v>42</v>
      </c>
      <c r="V169" s="0" t="s">
        <v>42</v>
      </c>
      <c r="W169" s="0" t="s">
        <v>42</v>
      </c>
      <c r="X169" s="0" t="s">
        <v>42</v>
      </c>
      <c r="Y169" s="2" t="s">
        <v>876</v>
      </c>
      <c r="Z169" s="0" t="s">
        <v>36</v>
      </c>
      <c r="AA169" s="0" t="s">
        <v>36</v>
      </c>
      <c r="AB169" s="0" t="s">
        <v>36</v>
      </c>
      <c r="AC169" s="0" t="s">
        <v>36</v>
      </c>
      <c r="AD169" s="0" t="s">
        <v>36</v>
      </c>
      <c r="AE169" s="2" t="s">
        <v>36</v>
      </c>
    </row>
    <row r="170">
      <c r="A170" s="6" t="s">
        <v>31</v>
      </c>
      <c r="B170" s="7">
        <v>44532</v>
      </c>
      <c r="C170" s="9">
        <f>HYPERLINK("https://www.epingalert.org/en/Search?viewData= G/SPS/N/RUS/241"," G/SPS/N/RUS/241")</f>
      </c>
      <c r="D170" s="8" t="s">
        <v>877</v>
      </c>
      <c r="E170" s="8" t="s">
        <v>878</v>
      </c>
      <c r="F170" s="8" t="s">
        <v>408</v>
      </c>
      <c r="G170" s="8" t="s">
        <v>36</v>
      </c>
      <c r="H170" s="8" t="s">
        <v>36</v>
      </c>
      <c r="I170" s="8" t="s">
        <v>505</v>
      </c>
      <c r="J170" s="8" t="s">
        <v>605</v>
      </c>
      <c r="K170" s="6"/>
      <c r="L170" s="7">
        <v>44596</v>
      </c>
      <c r="M170" s="6" t="s">
        <v>51</v>
      </c>
      <c r="N170" s="8" t="s">
        <v>879</v>
      </c>
      <c r="O170" s="6">
        <f>HYPERLINK("https://docs.wto.org/imrd/directdoc.asp?DDFDocuments/t/G/SPS/NRUS241.DOCX", "https://docs.wto.org/imrd/directdoc.asp?DDFDocuments/t/G/SPS/NRUS241.DOCX")</f>
      </c>
      <c r="P170" s="6">
        <f>HYPERLINK("https://docs.wto.org/imrd/directdoc.asp?DDFDocuments/u/G/SPS/NRUS241.DOCX", "https://docs.wto.org/imrd/directdoc.asp?DDFDocuments/u/G/SPS/NRUS241.DOCX")</f>
      </c>
      <c r="Q170" s="6">
        <f>HYPERLINK("https://docs.wto.org/imrd/directdoc.asp?DDFDocuments/v/G/SPS/NRUS241.DOCX", "https://docs.wto.org/imrd/directdoc.asp?DDFDocuments/v/G/SPS/NRUS241.DOCX")</f>
      </c>
      <c r="R170" s="0" t="s">
        <v>36</v>
      </c>
      <c r="S170" s="0" t="s">
        <v>36</v>
      </c>
      <c r="T170" s="0" t="s">
        <v>36</v>
      </c>
      <c r="U170" s="0" t="s">
        <v>36</v>
      </c>
      <c r="V170" s="0" t="s">
        <v>36</v>
      </c>
      <c r="W170" s="0" t="s">
        <v>36</v>
      </c>
      <c r="X170" s="0" t="s">
        <v>36</v>
      </c>
      <c r="Y170" s="2" t="s">
        <v>36</v>
      </c>
      <c r="Z170" s="0" t="s">
        <v>42</v>
      </c>
      <c r="AA170" s="0" t="s">
        <v>42</v>
      </c>
      <c r="AB170" s="0" t="s">
        <v>43</v>
      </c>
      <c r="AC170" s="0" t="s">
        <v>42</v>
      </c>
      <c r="AD170" s="0" t="s">
        <v>43</v>
      </c>
      <c r="AE170" s="2" t="s">
        <v>36</v>
      </c>
    </row>
    <row r="171">
      <c r="A171" s="6" t="s">
        <v>31</v>
      </c>
      <c r="B171" s="7">
        <v>44502</v>
      </c>
      <c r="C171" s="9">
        <f>HYPERLINK("https://www.epingalert.org/en/Search?viewData= G/TBT/N/RUS/123"," G/TBT/N/RUS/123")</f>
      </c>
      <c r="D171" s="8" t="s">
        <v>880</v>
      </c>
      <c r="E171" s="8" t="s">
        <v>881</v>
      </c>
      <c r="F171" s="8" t="s">
        <v>882</v>
      </c>
      <c r="G171" s="8" t="s">
        <v>36</v>
      </c>
      <c r="H171" s="8" t="s">
        <v>883</v>
      </c>
      <c r="I171" s="8" t="s">
        <v>164</v>
      </c>
      <c r="J171" s="8" t="s">
        <v>36</v>
      </c>
      <c r="K171" s="6"/>
      <c r="L171" s="7">
        <v>44591</v>
      </c>
      <c r="M171" s="6" t="s">
        <v>51</v>
      </c>
      <c r="N171" s="8" t="s">
        <v>884</v>
      </c>
      <c r="O171" s="6">
        <f>HYPERLINK("https://docs.wto.org/imrd/directdoc.asp?DDFDocuments/t/G/TBTN21/RUS123.DOCX", "https://docs.wto.org/imrd/directdoc.asp?DDFDocuments/t/G/TBTN21/RUS123.DOCX")</f>
      </c>
      <c r="P171" s="6">
        <f>HYPERLINK("https://docs.wto.org/imrd/directdoc.asp?DDFDocuments/u/G/TBTN21/RUS123.DOCX", "https://docs.wto.org/imrd/directdoc.asp?DDFDocuments/u/G/TBTN21/RUS123.DOCX")</f>
      </c>
      <c r="Q171" s="6">
        <f>HYPERLINK("https://docs.wto.org/imrd/directdoc.asp?DDFDocuments/v/G/TBTN21/RUS123.DOCX", "https://docs.wto.org/imrd/directdoc.asp?DDFDocuments/v/G/TBTN21/RUS123.DOCX")</f>
      </c>
      <c r="R171" s="0" t="s">
        <v>43</v>
      </c>
      <c r="S171" s="0" t="s">
        <v>42</v>
      </c>
      <c r="T171" s="0" t="s">
        <v>42</v>
      </c>
      <c r="U171" s="0" t="s">
        <v>42</v>
      </c>
      <c r="V171" s="0" t="s">
        <v>42</v>
      </c>
      <c r="W171" s="0" t="s">
        <v>42</v>
      </c>
      <c r="X171" s="0" t="s">
        <v>42</v>
      </c>
      <c r="Y171" s="2" t="s">
        <v>885</v>
      </c>
      <c r="Z171" s="0" t="s">
        <v>36</v>
      </c>
      <c r="AA171" s="0" t="s">
        <v>36</v>
      </c>
      <c r="AB171" s="0" t="s">
        <v>36</v>
      </c>
      <c r="AC171" s="0" t="s">
        <v>36</v>
      </c>
      <c r="AD171" s="0" t="s">
        <v>36</v>
      </c>
      <c r="AE171" s="2" t="s">
        <v>36</v>
      </c>
    </row>
    <row r="172">
      <c r="A172" s="6" t="s">
        <v>31</v>
      </c>
      <c r="B172" s="7">
        <v>44502</v>
      </c>
      <c r="C172" s="9">
        <f>HYPERLINK("https://www.epingalert.org/en/Search?viewData= G/TBT/N/RUS/124"," G/TBT/N/RUS/124")</f>
      </c>
      <c r="D172" s="8" t="s">
        <v>886</v>
      </c>
      <c r="E172" s="8" t="s">
        <v>887</v>
      </c>
      <c r="F172" s="8" t="s">
        <v>888</v>
      </c>
      <c r="G172" s="8" t="s">
        <v>36</v>
      </c>
      <c r="H172" s="8" t="s">
        <v>889</v>
      </c>
      <c r="I172" s="8" t="s">
        <v>164</v>
      </c>
      <c r="J172" s="8" t="s">
        <v>36</v>
      </c>
      <c r="K172" s="6"/>
      <c r="L172" s="7">
        <v>44591</v>
      </c>
      <c r="M172" s="6" t="s">
        <v>51</v>
      </c>
      <c r="N172" s="8" t="s">
        <v>890</v>
      </c>
      <c r="O172" s="6">
        <f>HYPERLINK("https://docs.wto.org/imrd/directdoc.asp?DDFDocuments/t/G/TBTN21/RUS124.DOCX", "https://docs.wto.org/imrd/directdoc.asp?DDFDocuments/t/G/TBTN21/RUS124.DOCX")</f>
      </c>
      <c r="P172" s="6">
        <f>HYPERLINK("https://docs.wto.org/imrd/directdoc.asp?DDFDocuments/u/G/TBTN21/RUS124.DOCX", "https://docs.wto.org/imrd/directdoc.asp?DDFDocuments/u/G/TBTN21/RUS124.DOCX")</f>
      </c>
      <c r="Q172" s="6">
        <f>HYPERLINK("https://docs.wto.org/imrd/directdoc.asp?DDFDocuments/v/G/TBTN21/RUS124.DOCX", "https://docs.wto.org/imrd/directdoc.asp?DDFDocuments/v/G/TBTN21/RUS124.DOCX")</f>
      </c>
      <c r="R172" s="0" t="s">
        <v>43</v>
      </c>
      <c r="S172" s="0" t="s">
        <v>42</v>
      </c>
      <c r="T172" s="0" t="s">
        <v>42</v>
      </c>
      <c r="U172" s="0" t="s">
        <v>42</v>
      </c>
      <c r="V172" s="0" t="s">
        <v>42</v>
      </c>
      <c r="W172" s="0" t="s">
        <v>42</v>
      </c>
      <c r="X172" s="0" t="s">
        <v>42</v>
      </c>
      <c r="Y172" s="2" t="s">
        <v>891</v>
      </c>
      <c r="Z172" s="0" t="s">
        <v>36</v>
      </c>
      <c r="AA172" s="0" t="s">
        <v>36</v>
      </c>
      <c r="AB172" s="0" t="s">
        <v>36</v>
      </c>
      <c r="AC172" s="0" t="s">
        <v>36</v>
      </c>
      <c r="AD172" s="0" t="s">
        <v>36</v>
      </c>
      <c r="AE172" s="2" t="s">
        <v>36</v>
      </c>
    </row>
    <row r="173">
      <c r="A173" s="6" t="s">
        <v>31</v>
      </c>
      <c r="B173" s="7">
        <v>44502</v>
      </c>
      <c r="C173" s="9">
        <f>HYPERLINK("https://www.epingalert.org/en/Search?viewData= G/TBT/N/RUS/125"," G/TBT/N/RUS/125")</f>
      </c>
      <c r="D173" s="8" t="s">
        <v>892</v>
      </c>
      <c r="E173" s="8" t="s">
        <v>893</v>
      </c>
      <c r="F173" s="8" t="s">
        <v>894</v>
      </c>
      <c r="G173" s="8" t="s">
        <v>36</v>
      </c>
      <c r="H173" s="8" t="s">
        <v>895</v>
      </c>
      <c r="I173" s="8" t="s">
        <v>164</v>
      </c>
      <c r="J173" s="8" t="s">
        <v>36</v>
      </c>
      <c r="K173" s="6"/>
      <c r="L173" s="7">
        <v>44591</v>
      </c>
      <c r="M173" s="6" t="s">
        <v>51</v>
      </c>
      <c r="N173" s="8" t="s">
        <v>896</v>
      </c>
      <c r="O173" s="6">
        <f>HYPERLINK("https://docs.wto.org/imrd/directdoc.asp?DDFDocuments/t/G/TBTN21/RUS125.DOCX", "https://docs.wto.org/imrd/directdoc.asp?DDFDocuments/t/G/TBTN21/RUS125.DOCX")</f>
      </c>
      <c r="P173" s="6">
        <f>HYPERLINK("https://docs.wto.org/imrd/directdoc.asp?DDFDocuments/u/G/TBTN21/RUS125.DOCX", "https://docs.wto.org/imrd/directdoc.asp?DDFDocuments/u/G/TBTN21/RUS125.DOCX")</f>
      </c>
      <c r="Q173" s="6">
        <f>HYPERLINK("https://docs.wto.org/imrd/directdoc.asp?DDFDocuments/v/G/TBTN21/RUS125.DOCX", "https://docs.wto.org/imrd/directdoc.asp?DDFDocuments/v/G/TBTN21/RUS125.DOCX")</f>
      </c>
      <c r="R173" s="0" t="s">
        <v>43</v>
      </c>
      <c r="S173" s="0" t="s">
        <v>42</v>
      </c>
      <c r="T173" s="0" t="s">
        <v>42</v>
      </c>
      <c r="U173" s="0" t="s">
        <v>42</v>
      </c>
      <c r="V173" s="0" t="s">
        <v>42</v>
      </c>
      <c r="W173" s="0" t="s">
        <v>42</v>
      </c>
      <c r="X173" s="0" t="s">
        <v>42</v>
      </c>
      <c r="Y173" s="2" t="s">
        <v>897</v>
      </c>
      <c r="Z173" s="0" t="s">
        <v>36</v>
      </c>
      <c r="AA173" s="0" t="s">
        <v>36</v>
      </c>
      <c r="AB173" s="0" t="s">
        <v>36</v>
      </c>
      <c r="AC173" s="0" t="s">
        <v>36</v>
      </c>
      <c r="AD173" s="0" t="s">
        <v>36</v>
      </c>
      <c r="AE173" s="2" t="s">
        <v>36</v>
      </c>
    </row>
    <row r="174">
      <c r="A174" s="6" t="s">
        <v>31</v>
      </c>
      <c r="B174" s="7">
        <v>44501</v>
      </c>
      <c r="C174" s="9">
        <f>HYPERLINK("https://www.epingalert.org/en/Search?viewData= G/TBT/N/RUS/122"," G/TBT/N/RUS/122")</f>
      </c>
      <c r="D174" s="8" t="s">
        <v>898</v>
      </c>
      <c r="E174" s="8" t="s">
        <v>899</v>
      </c>
      <c r="F174" s="8" t="s">
        <v>900</v>
      </c>
      <c r="G174" s="8" t="s">
        <v>36</v>
      </c>
      <c r="H174" s="8" t="s">
        <v>901</v>
      </c>
      <c r="I174" s="8" t="s">
        <v>902</v>
      </c>
      <c r="J174" s="8" t="s">
        <v>36</v>
      </c>
      <c r="K174" s="6"/>
      <c r="L174" s="7">
        <v>44581</v>
      </c>
      <c r="M174" s="6" t="s">
        <v>51</v>
      </c>
      <c r="N174" s="6"/>
      <c r="O174" s="6">
        <f>HYPERLINK("https://docs.wto.org/imrd/directdoc.asp?DDFDocuments/t/G/TBTN21/RUS122.DOCX", "https://docs.wto.org/imrd/directdoc.asp?DDFDocuments/t/G/TBTN21/RUS122.DOCX")</f>
      </c>
      <c r="P174" s="6">
        <f>HYPERLINK("https://docs.wto.org/imrd/directdoc.asp?DDFDocuments/u/G/TBTN21/RUS122.DOCX", "https://docs.wto.org/imrd/directdoc.asp?DDFDocuments/u/G/TBTN21/RUS122.DOCX")</f>
      </c>
      <c r="Q174" s="6">
        <f>HYPERLINK("https://docs.wto.org/imrd/directdoc.asp?DDFDocuments/v/G/TBTN21/RUS122.DOCX", "https://docs.wto.org/imrd/directdoc.asp?DDFDocuments/v/G/TBTN21/RUS122.DOCX")</f>
      </c>
      <c r="R174" s="0" t="s">
        <v>43</v>
      </c>
      <c r="S174" s="0" t="s">
        <v>42</v>
      </c>
      <c r="T174" s="0" t="s">
        <v>42</v>
      </c>
      <c r="U174" s="0" t="s">
        <v>42</v>
      </c>
      <c r="V174" s="0" t="s">
        <v>42</v>
      </c>
      <c r="W174" s="0" t="s">
        <v>42</v>
      </c>
      <c r="X174" s="0" t="s">
        <v>42</v>
      </c>
      <c r="Y174" s="2" t="s">
        <v>903</v>
      </c>
      <c r="Z174" s="0" t="s">
        <v>36</v>
      </c>
      <c r="AA174" s="0" t="s">
        <v>36</v>
      </c>
      <c r="AB174" s="0" t="s">
        <v>36</v>
      </c>
      <c r="AC174" s="0" t="s">
        <v>36</v>
      </c>
      <c r="AD174" s="0" t="s">
        <v>36</v>
      </c>
      <c r="AE174" s="2" t="s">
        <v>36</v>
      </c>
    </row>
    <row r="175">
      <c r="A175" s="6" t="s">
        <v>31</v>
      </c>
      <c r="B175" s="7">
        <v>44481</v>
      </c>
      <c r="C175" s="9">
        <f>HYPERLINK("https://www.epingalert.org/en/Search?viewData= G/SPS/N/RUS/240"," G/SPS/N/RUS/240")</f>
      </c>
      <c r="D175" s="8" t="s">
        <v>904</v>
      </c>
      <c r="E175" s="8" t="s">
        <v>905</v>
      </c>
      <c r="F175" s="8" t="s">
        <v>906</v>
      </c>
      <c r="G175" s="8" t="s">
        <v>36</v>
      </c>
      <c r="H175" s="8" t="s">
        <v>36</v>
      </c>
      <c r="I175" s="8" t="s">
        <v>97</v>
      </c>
      <c r="J175" s="8" t="s">
        <v>907</v>
      </c>
      <c r="K175" s="6"/>
      <c r="L175" s="7">
        <v>44536</v>
      </c>
      <c r="M175" s="6" t="s">
        <v>51</v>
      </c>
      <c r="N175" s="8" t="s">
        <v>908</v>
      </c>
      <c r="O175" s="6">
        <f>HYPERLINK("https://docs.wto.org/imrd/directdoc.asp?DDFDocuments/t/G/SPS/NRUS240.DOCX", "https://docs.wto.org/imrd/directdoc.asp?DDFDocuments/t/G/SPS/NRUS240.DOCX")</f>
      </c>
      <c r="P175" s="6">
        <f>HYPERLINK("https://docs.wto.org/imrd/directdoc.asp?DDFDocuments/u/G/SPS/NRUS240.DOCX", "https://docs.wto.org/imrd/directdoc.asp?DDFDocuments/u/G/SPS/NRUS240.DOCX")</f>
      </c>
      <c r="Q175" s="6">
        <f>HYPERLINK("https://docs.wto.org/imrd/directdoc.asp?DDFDocuments/v/G/SPS/NRUS240.DOCX", "https://docs.wto.org/imrd/directdoc.asp?DDFDocuments/v/G/SPS/NRUS240.DOCX")</f>
      </c>
      <c r="R175" s="0" t="s">
        <v>36</v>
      </c>
      <c r="S175" s="0" t="s">
        <v>36</v>
      </c>
      <c r="T175" s="0" t="s">
        <v>36</v>
      </c>
      <c r="U175" s="0" t="s">
        <v>36</v>
      </c>
      <c r="V175" s="0" t="s">
        <v>36</v>
      </c>
      <c r="W175" s="0" t="s">
        <v>36</v>
      </c>
      <c r="X175" s="0" t="s">
        <v>36</v>
      </c>
      <c r="Y175" s="2" t="s">
        <v>36</v>
      </c>
      <c r="Z175" s="0" t="s">
        <v>43</v>
      </c>
      <c r="AA175" s="0" t="s">
        <v>42</v>
      </c>
      <c r="AB175" s="0" t="s">
        <v>42</v>
      </c>
      <c r="AC175" s="0" t="s">
        <v>42</v>
      </c>
      <c r="AD175" s="0" t="s">
        <v>43</v>
      </c>
      <c r="AE175" s="2" t="s">
        <v>36</v>
      </c>
    </row>
    <row r="176">
      <c r="A176" s="6" t="s">
        <v>31</v>
      </c>
      <c r="B176" s="7">
        <v>44433</v>
      </c>
      <c r="C176" s="9">
        <f>HYPERLINK("https://www.epingalert.org/en/Search?viewData= G/TBT/N/RUS/121"," G/TBT/N/RUS/121")</f>
      </c>
      <c r="D176" s="8" t="s">
        <v>909</v>
      </c>
      <c r="E176" s="8" t="s">
        <v>910</v>
      </c>
      <c r="F176" s="8" t="s">
        <v>498</v>
      </c>
      <c r="G176" s="8" t="s">
        <v>36</v>
      </c>
      <c r="H176" s="8" t="s">
        <v>141</v>
      </c>
      <c r="I176" s="8" t="s">
        <v>164</v>
      </c>
      <c r="J176" s="8" t="s">
        <v>36</v>
      </c>
      <c r="K176" s="6"/>
      <c r="L176" s="7">
        <v>44456</v>
      </c>
      <c r="M176" s="6" t="s">
        <v>51</v>
      </c>
      <c r="N176" s="8" t="s">
        <v>911</v>
      </c>
      <c r="O176" s="6">
        <f>HYPERLINK("https://docs.wto.org/imrd/directdoc.asp?DDFDocuments/t/G/TBTN21/RUS121.DOCX", "https://docs.wto.org/imrd/directdoc.asp?DDFDocuments/t/G/TBTN21/RUS121.DOCX")</f>
      </c>
      <c r="P176" s="6">
        <f>HYPERLINK("https://docs.wto.org/imrd/directdoc.asp?DDFDocuments/u/G/TBTN21/RUS121.DOCX", "https://docs.wto.org/imrd/directdoc.asp?DDFDocuments/u/G/TBTN21/RUS121.DOCX")</f>
      </c>
      <c r="Q176" s="6">
        <f>HYPERLINK("https://docs.wto.org/imrd/directdoc.asp?DDFDocuments/v/G/TBTN21/RUS121.DOCX", "https://docs.wto.org/imrd/directdoc.asp?DDFDocuments/v/G/TBTN21/RUS121.DOCX")</f>
      </c>
      <c r="R176" s="0" t="s">
        <v>43</v>
      </c>
      <c r="S176" s="0" t="s">
        <v>42</v>
      </c>
      <c r="T176" s="0" t="s">
        <v>42</v>
      </c>
      <c r="U176" s="0" t="s">
        <v>42</v>
      </c>
      <c r="V176" s="0" t="s">
        <v>42</v>
      </c>
      <c r="W176" s="0" t="s">
        <v>42</v>
      </c>
      <c r="X176" s="0" t="s">
        <v>42</v>
      </c>
      <c r="Y176" s="2" t="s">
        <v>912</v>
      </c>
      <c r="Z176" s="0" t="s">
        <v>36</v>
      </c>
      <c r="AA176" s="0" t="s">
        <v>36</v>
      </c>
      <c r="AB176" s="0" t="s">
        <v>36</v>
      </c>
      <c r="AC176" s="0" t="s">
        <v>36</v>
      </c>
      <c r="AD176" s="0" t="s">
        <v>36</v>
      </c>
      <c r="AE176" s="2" t="s">
        <v>36</v>
      </c>
    </row>
    <row r="177">
      <c r="A177" s="6" t="s">
        <v>31</v>
      </c>
      <c r="B177" s="7">
        <v>44427</v>
      </c>
      <c r="C177" s="9">
        <f>HYPERLINK("https://www.epingalert.org/en/Search?viewData= G/SPS/N/RUS/234/Add.2"," G/SPS/N/RUS/234/Add.2")</f>
      </c>
      <c r="D177" s="8" t="s">
        <v>913</v>
      </c>
      <c r="E177" s="8" t="s">
        <v>914</v>
      </c>
      <c r="F177" s="8"/>
      <c r="G177" s="8" t="s">
        <v>842</v>
      </c>
      <c r="H177" s="8" t="s">
        <v>36</v>
      </c>
      <c r="I177" s="8" t="s">
        <v>505</v>
      </c>
      <c r="J177" s="8" t="s">
        <v>915</v>
      </c>
      <c r="K177" s="6"/>
      <c r="L177" s="7" t="s">
        <v>36</v>
      </c>
      <c r="M177" s="6" t="s">
        <v>179</v>
      </c>
      <c r="N177" s="6"/>
      <c r="O177" s="6">
        <f>HYPERLINK("https://docs.wto.org/imrd/directdoc.asp?DDFDocuments/t/G/SPS/NRUS234A2.DOCX", "https://docs.wto.org/imrd/directdoc.asp?DDFDocuments/t/G/SPS/NRUS234A2.DOCX")</f>
      </c>
      <c r="P177" s="6">
        <f>HYPERLINK("https://docs.wto.org/imrd/directdoc.asp?DDFDocuments/u/G/SPS/NRUS234A2.DOCX", "https://docs.wto.org/imrd/directdoc.asp?DDFDocuments/u/G/SPS/NRUS234A2.DOCX")</f>
      </c>
      <c r="Q177" s="6">
        <f>HYPERLINK("https://docs.wto.org/imrd/directdoc.asp?DDFDocuments/v/G/SPS/NRUS234A2.DOCX", "https://docs.wto.org/imrd/directdoc.asp?DDFDocuments/v/G/SPS/NRUS234A2.DOCX")</f>
      </c>
      <c r="R177" s="0" t="s">
        <v>36</v>
      </c>
      <c r="S177" s="0" t="s">
        <v>36</v>
      </c>
      <c r="T177" s="0" t="s">
        <v>36</v>
      </c>
      <c r="U177" s="0" t="s">
        <v>36</v>
      </c>
      <c r="V177" s="0" t="s">
        <v>36</v>
      </c>
      <c r="W177" s="0" t="s">
        <v>36</v>
      </c>
      <c r="X177" s="0" t="s">
        <v>36</v>
      </c>
      <c r="Y177" s="2" t="s">
        <v>36</v>
      </c>
      <c r="Z177" s="0" t="s">
        <v>36</v>
      </c>
      <c r="AA177" s="0" t="s">
        <v>36</v>
      </c>
      <c r="AB177" s="0" t="s">
        <v>36</v>
      </c>
      <c r="AC177" s="0" t="s">
        <v>36</v>
      </c>
      <c r="AD177" s="0" t="s">
        <v>36</v>
      </c>
      <c r="AE177" s="2" t="s">
        <v>36</v>
      </c>
    </row>
    <row r="178">
      <c r="A178" s="6" t="s">
        <v>31</v>
      </c>
      <c r="B178" s="7">
        <v>44427</v>
      </c>
      <c r="C178" s="9">
        <f>HYPERLINK("https://www.epingalert.org/en/Search?viewData= G/SPS/N/RUS/234/Add.1"," G/SPS/N/RUS/234/Add.1")</f>
      </c>
      <c r="D178" s="8" t="s">
        <v>916</v>
      </c>
      <c r="E178" s="8" t="s">
        <v>917</v>
      </c>
      <c r="F178" s="8"/>
      <c r="G178" s="8" t="s">
        <v>36</v>
      </c>
      <c r="H178" s="8" t="s">
        <v>36</v>
      </c>
      <c r="I178" s="8" t="s">
        <v>505</v>
      </c>
      <c r="J178" s="8" t="s">
        <v>918</v>
      </c>
      <c r="K178" s="6"/>
      <c r="L178" s="7" t="s">
        <v>36</v>
      </c>
      <c r="M178" s="6" t="s">
        <v>179</v>
      </c>
      <c r="N178" s="6"/>
      <c r="O178" s="6">
        <f>HYPERLINK("https://docs.wto.org/imrd/directdoc.asp?DDFDocuments/t/G/SPS/NRUS234A1.DOCX", "https://docs.wto.org/imrd/directdoc.asp?DDFDocuments/t/G/SPS/NRUS234A1.DOCX")</f>
      </c>
      <c r="P178" s="6">
        <f>HYPERLINK("https://docs.wto.org/imrd/directdoc.asp?DDFDocuments/u/G/SPS/NRUS234A1.DOCX", "https://docs.wto.org/imrd/directdoc.asp?DDFDocuments/u/G/SPS/NRUS234A1.DOCX")</f>
      </c>
      <c r="Q178" s="6">
        <f>HYPERLINK("https://docs.wto.org/imrd/directdoc.asp?DDFDocuments/v/G/SPS/NRUS234A1.DOCX", "https://docs.wto.org/imrd/directdoc.asp?DDFDocuments/v/G/SPS/NRUS234A1.DOCX")</f>
      </c>
      <c r="R178" s="0" t="s">
        <v>36</v>
      </c>
      <c r="S178" s="0" t="s">
        <v>36</v>
      </c>
      <c r="T178" s="0" t="s">
        <v>36</v>
      </c>
      <c r="U178" s="0" t="s">
        <v>36</v>
      </c>
      <c r="V178" s="0" t="s">
        <v>36</v>
      </c>
      <c r="W178" s="0" t="s">
        <v>36</v>
      </c>
      <c r="X178" s="0" t="s">
        <v>36</v>
      </c>
      <c r="Y178" s="2" t="s">
        <v>36</v>
      </c>
      <c r="Z178" s="0" t="s">
        <v>36</v>
      </c>
      <c r="AA178" s="0" t="s">
        <v>36</v>
      </c>
      <c r="AB178" s="0" t="s">
        <v>36</v>
      </c>
      <c r="AC178" s="0" t="s">
        <v>36</v>
      </c>
      <c r="AD178" s="0" t="s">
        <v>36</v>
      </c>
      <c r="AE178" s="2" t="s">
        <v>36</v>
      </c>
    </row>
    <row r="179">
      <c r="A179" s="6" t="s">
        <v>31</v>
      </c>
      <c r="B179" s="7">
        <v>44427</v>
      </c>
      <c r="C179" s="9">
        <f>HYPERLINK("https://www.epingalert.org/en/Search?viewData= G/SPS/N/RUS/234/Add.3"," G/SPS/N/RUS/234/Add.3")</f>
      </c>
      <c r="D179" s="8" t="s">
        <v>919</v>
      </c>
      <c r="E179" s="8" t="s">
        <v>920</v>
      </c>
      <c r="F179" s="8"/>
      <c r="G179" s="8" t="s">
        <v>842</v>
      </c>
      <c r="H179" s="8" t="s">
        <v>36</v>
      </c>
      <c r="I179" s="8" t="s">
        <v>505</v>
      </c>
      <c r="J179" s="8" t="s">
        <v>918</v>
      </c>
      <c r="K179" s="6"/>
      <c r="L179" s="7" t="s">
        <v>36</v>
      </c>
      <c r="M179" s="6" t="s">
        <v>179</v>
      </c>
      <c r="N179" s="6"/>
      <c r="O179" s="6">
        <f>HYPERLINK("https://docs.wto.org/imrd/directdoc.asp?DDFDocuments/t/G/SPS/NRUS234A3.DOCX", "https://docs.wto.org/imrd/directdoc.asp?DDFDocuments/t/G/SPS/NRUS234A3.DOCX")</f>
      </c>
      <c r="P179" s="6">
        <f>HYPERLINK("https://docs.wto.org/imrd/directdoc.asp?DDFDocuments/u/G/SPS/NRUS234A3.DOCX", "https://docs.wto.org/imrd/directdoc.asp?DDFDocuments/u/G/SPS/NRUS234A3.DOCX")</f>
      </c>
      <c r="Q179" s="6">
        <f>HYPERLINK("https://docs.wto.org/imrd/directdoc.asp?DDFDocuments/v/G/SPS/NRUS234A3.DOCX", "https://docs.wto.org/imrd/directdoc.asp?DDFDocuments/v/G/SPS/NRUS234A3.DOCX")</f>
      </c>
      <c r="R179" s="0" t="s">
        <v>36</v>
      </c>
      <c r="S179" s="0" t="s">
        <v>36</v>
      </c>
      <c r="T179" s="0" t="s">
        <v>36</v>
      </c>
      <c r="U179" s="0" t="s">
        <v>36</v>
      </c>
      <c r="V179" s="0" t="s">
        <v>36</v>
      </c>
      <c r="W179" s="0" t="s">
        <v>36</v>
      </c>
      <c r="X179" s="0" t="s">
        <v>36</v>
      </c>
      <c r="Y179" s="2" t="s">
        <v>36</v>
      </c>
      <c r="Z179" s="0" t="s">
        <v>36</v>
      </c>
      <c r="AA179" s="0" t="s">
        <v>36</v>
      </c>
      <c r="AB179" s="0" t="s">
        <v>36</v>
      </c>
      <c r="AC179" s="0" t="s">
        <v>36</v>
      </c>
      <c r="AD179" s="0" t="s">
        <v>36</v>
      </c>
      <c r="AE179" s="2" t="s">
        <v>36</v>
      </c>
    </row>
    <row r="180">
      <c r="A180" s="6" t="s">
        <v>31</v>
      </c>
      <c r="B180" s="7">
        <v>44425</v>
      </c>
      <c r="C180" s="9">
        <f>HYPERLINK("https://www.epingalert.org/en/Search?viewData= G/SPS/N/RUS/239"," G/SPS/N/RUS/239")</f>
      </c>
      <c r="D180" s="8" t="s">
        <v>921</v>
      </c>
      <c r="E180" s="8" t="s">
        <v>922</v>
      </c>
      <c r="F180" s="8" t="s">
        <v>923</v>
      </c>
      <c r="G180" s="8" t="s">
        <v>924</v>
      </c>
      <c r="H180" s="8" t="s">
        <v>36</v>
      </c>
      <c r="I180" s="8" t="s">
        <v>37</v>
      </c>
      <c r="J180" s="8" t="s">
        <v>38</v>
      </c>
      <c r="K180" s="6" t="s">
        <v>925</v>
      </c>
      <c r="L180" s="7" t="s">
        <v>36</v>
      </c>
      <c r="M180" s="6" t="s">
        <v>40</v>
      </c>
      <c r="N180" s="8" t="s">
        <v>926</v>
      </c>
      <c r="O180" s="6">
        <f>HYPERLINK("https://docs.wto.org/imrd/directdoc.asp?DDFDocuments/t/G/SPS/NRUS239.DOCX", "https://docs.wto.org/imrd/directdoc.asp?DDFDocuments/t/G/SPS/NRUS239.DOCX")</f>
      </c>
      <c r="P180" s="6">
        <f>HYPERLINK("https://docs.wto.org/imrd/directdoc.asp?DDFDocuments/u/G/SPS/NRUS239.DOCX", "https://docs.wto.org/imrd/directdoc.asp?DDFDocuments/u/G/SPS/NRUS239.DOCX")</f>
      </c>
      <c r="Q180" s="6">
        <f>HYPERLINK("https://docs.wto.org/imrd/directdoc.asp?DDFDocuments/v/G/SPS/NRUS239.DOCX", "https://docs.wto.org/imrd/directdoc.asp?DDFDocuments/v/G/SPS/NRUS239.DOCX")</f>
      </c>
      <c r="R180" s="0" t="s">
        <v>36</v>
      </c>
      <c r="S180" s="0" t="s">
        <v>36</v>
      </c>
      <c r="T180" s="0" t="s">
        <v>36</v>
      </c>
      <c r="U180" s="0" t="s">
        <v>36</v>
      </c>
      <c r="V180" s="0" t="s">
        <v>36</v>
      </c>
      <c r="W180" s="0" t="s">
        <v>36</v>
      </c>
      <c r="X180" s="0" t="s">
        <v>36</v>
      </c>
      <c r="Y180" s="2" t="s">
        <v>36</v>
      </c>
      <c r="Z180" s="0" t="s">
        <v>42</v>
      </c>
      <c r="AA180" s="0" t="s">
        <v>43</v>
      </c>
      <c r="AB180" s="0" t="s">
        <v>42</v>
      </c>
      <c r="AC180" s="0" t="s">
        <v>42</v>
      </c>
      <c r="AD180" s="0" t="s">
        <v>43</v>
      </c>
      <c r="AE180" s="2" t="s">
        <v>36</v>
      </c>
    </row>
    <row r="181">
      <c r="A181" s="6" t="s">
        <v>31</v>
      </c>
      <c r="B181" s="7">
        <v>44413</v>
      </c>
      <c r="C181" s="9">
        <f>HYPERLINK("https://www.epingalert.org/en/Search?viewData= G/SPS/N/RUS/237"," G/SPS/N/RUS/237")</f>
      </c>
      <c r="D181" s="8" t="s">
        <v>927</v>
      </c>
      <c r="E181" s="8" t="s">
        <v>928</v>
      </c>
      <c r="F181" s="8" t="s">
        <v>324</v>
      </c>
      <c r="G181" s="8" t="s">
        <v>929</v>
      </c>
      <c r="H181" s="8" t="s">
        <v>36</v>
      </c>
      <c r="I181" s="8" t="s">
        <v>37</v>
      </c>
      <c r="J181" s="8" t="s">
        <v>930</v>
      </c>
      <c r="K181" s="6" t="s">
        <v>931</v>
      </c>
      <c r="L181" s="7" t="s">
        <v>36</v>
      </c>
      <c r="M181" s="6" t="s">
        <v>40</v>
      </c>
      <c r="N181" s="8" t="s">
        <v>932</v>
      </c>
      <c r="O181" s="6">
        <f>HYPERLINK("https://docs.wto.org/imrd/directdoc.asp?DDFDocuments/t/G/SPS/NRUS237.DOCX", "https://docs.wto.org/imrd/directdoc.asp?DDFDocuments/t/G/SPS/NRUS237.DOCX")</f>
      </c>
      <c r="P181" s="6">
        <f>HYPERLINK("https://docs.wto.org/imrd/directdoc.asp?DDFDocuments/u/G/SPS/NRUS237.DOCX", "https://docs.wto.org/imrd/directdoc.asp?DDFDocuments/u/G/SPS/NRUS237.DOCX")</f>
      </c>
      <c r="Q181" s="6">
        <f>HYPERLINK("https://docs.wto.org/imrd/directdoc.asp?DDFDocuments/v/G/SPS/NRUS237.DOCX", "https://docs.wto.org/imrd/directdoc.asp?DDFDocuments/v/G/SPS/NRUS237.DOCX")</f>
      </c>
      <c r="R181" s="0" t="s">
        <v>36</v>
      </c>
      <c r="S181" s="0" t="s">
        <v>36</v>
      </c>
      <c r="T181" s="0" t="s">
        <v>36</v>
      </c>
      <c r="U181" s="0" t="s">
        <v>36</v>
      </c>
      <c r="V181" s="0" t="s">
        <v>36</v>
      </c>
      <c r="W181" s="0" t="s">
        <v>36</v>
      </c>
      <c r="X181" s="0" t="s">
        <v>36</v>
      </c>
      <c r="Y181" s="2" t="s">
        <v>36</v>
      </c>
      <c r="Z181" s="0" t="s">
        <v>42</v>
      </c>
      <c r="AA181" s="0" t="s">
        <v>43</v>
      </c>
      <c r="AB181" s="0" t="s">
        <v>42</v>
      </c>
      <c r="AC181" s="0" t="s">
        <v>42</v>
      </c>
      <c r="AD181" s="0" t="s">
        <v>43</v>
      </c>
      <c r="AE181" s="2" t="s">
        <v>36</v>
      </c>
    </row>
    <row r="182">
      <c r="A182" s="6" t="s">
        <v>31</v>
      </c>
      <c r="B182" s="7">
        <v>44413</v>
      </c>
      <c r="C182" s="9">
        <f>HYPERLINK("https://www.epingalert.org/en/Search?viewData= G/SPS/N/RUS/236"," G/SPS/N/RUS/236")</f>
      </c>
      <c r="D182" s="8" t="s">
        <v>933</v>
      </c>
      <c r="E182" s="8" t="s">
        <v>934</v>
      </c>
      <c r="F182" s="8" t="s">
        <v>935</v>
      </c>
      <c r="G182" s="8" t="s">
        <v>936</v>
      </c>
      <c r="H182" s="8" t="s">
        <v>36</v>
      </c>
      <c r="I182" s="8" t="s">
        <v>37</v>
      </c>
      <c r="J182" s="8" t="s">
        <v>937</v>
      </c>
      <c r="K182" s="6" t="s">
        <v>938</v>
      </c>
      <c r="L182" s="7" t="s">
        <v>36</v>
      </c>
      <c r="M182" s="6" t="s">
        <v>40</v>
      </c>
      <c r="N182" s="8" t="s">
        <v>939</v>
      </c>
      <c r="O182" s="6">
        <f>HYPERLINK("https://docs.wto.org/imrd/directdoc.asp?DDFDocuments/t/G/SPS/NRUS236.DOCX", "https://docs.wto.org/imrd/directdoc.asp?DDFDocuments/t/G/SPS/NRUS236.DOCX")</f>
      </c>
      <c r="P182" s="6">
        <f>HYPERLINK("https://docs.wto.org/imrd/directdoc.asp?DDFDocuments/u/G/SPS/NRUS236.DOCX", "https://docs.wto.org/imrd/directdoc.asp?DDFDocuments/u/G/SPS/NRUS236.DOCX")</f>
      </c>
      <c r="Q182" s="6">
        <f>HYPERLINK("https://docs.wto.org/imrd/directdoc.asp?DDFDocuments/v/G/SPS/NRUS236.DOCX", "https://docs.wto.org/imrd/directdoc.asp?DDFDocuments/v/G/SPS/NRUS236.DOCX")</f>
      </c>
      <c r="R182" s="0" t="s">
        <v>36</v>
      </c>
      <c r="S182" s="0" t="s">
        <v>36</v>
      </c>
      <c r="T182" s="0" t="s">
        <v>36</v>
      </c>
      <c r="U182" s="0" t="s">
        <v>36</v>
      </c>
      <c r="V182" s="0" t="s">
        <v>36</v>
      </c>
      <c r="W182" s="0" t="s">
        <v>36</v>
      </c>
      <c r="X182" s="0" t="s">
        <v>36</v>
      </c>
      <c r="Y182" s="2" t="s">
        <v>36</v>
      </c>
      <c r="Z182" s="0" t="s">
        <v>42</v>
      </c>
      <c r="AA182" s="0" t="s">
        <v>43</v>
      </c>
      <c r="AB182" s="0" t="s">
        <v>42</v>
      </c>
      <c r="AC182" s="0" t="s">
        <v>42</v>
      </c>
      <c r="AD182" s="0" t="s">
        <v>43</v>
      </c>
      <c r="AE182" s="2" t="s">
        <v>36</v>
      </c>
    </row>
    <row r="183">
      <c r="A183" s="6" t="s">
        <v>31</v>
      </c>
      <c r="B183" s="7">
        <v>44413</v>
      </c>
      <c r="C183" s="9">
        <f>HYPERLINK("https://www.epingalert.org/en/Search?viewData= G/SPS/N/RUS/238"," G/SPS/N/RUS/238")</f>
      </c>
      <c r="D183" s="8" t="s">
        <v>940</v>
      </c>
      <c r="E183" s="8" t="s">
        <v>941</v>
      </c>
      <c r="F183" s="8" t="s">
        <v>942</v>
      </c>
      <c r="G183" s="8" t="s">
        <v>924</v>
      </c>
      <c r="H183" s="8" t="s">
        <v>36</v>
      </c>
      <c r="I183" s="8" t="s">
        <v>37</v>
      </c>
      <c r="J183" s="8" t="s">
        <v>943</v>
      </c>
      <c r="K183" s="6" t="s">
        <v>944</v>
      </c>
      <c r="L183" s="7" t="s">
        <v>36</v>
      </c>
      <c r="M183" s="6" t="s">
        <v>40</v>
      </c>
      <c r="N183" s="8" t="s">
        <v>945</v>
      </c>
      <c r="O183" s="6">
        <f>HYPERLINK("https://docs.wto.org/imrd/directdoc.asp?DDFDocuments/t/G/SPS/NRUS238.DOCX", "https://docs.wto.org/imrd/directdoc.asp?DDFDocuments/t/G/SPS/NRUS238.DOCX")</f>
      </c>
      <c r="P183" s="6">
        <f>HYPERLINK("https://docs.wto.org/imrd/directdoc.asp?DDFDocuments/u/G/SPS/NRUS238.DOCX", "https://docs.wto.org/imrd/directdoc.asp?DDFDocuments/u/G/SPS/NRUS238.DOCX")</f>
      </c>
      <c r="Q183" s="6">
        <f>HYPERLINK("https://docs.wto.org/imrd/directdoc.asp?DDFDocuments/v/G/SPS/NRUS238.DOCX", "https://docs.wto.org/imrd/directdoc.asp?DDFDocuments/v/G/SPS/NRUS238.DOCX")</f>
      </c>
      <c r="R183" s="0" t="s">
        <v>36</v>
      </c>
      <c r="S183" s="0" t="s">
        <v>36</v>
      </c>
      <c r="T183" s="0" t="s">
        <v>36</v>
      </c>
      <c r="U183" s="0" t="s">
        <v>36</v>
      </c>
      <c r="V183" s="0" t="s">
        <v>36</v>
      </c>
      <c r="W183" s="0" t="s">
        <v>36</v>
      </c>
      <c r="X183" s="0" t="s">
        <v>36</v>
      </c>
      <c r="Y183" s="2" t="s">
        <v>36</v>
      </c>
      <c r="Z183" s="0" t="s">
        <v>42</v>
      </c>
      <c r="AA183" s="0" t="s">
        <v>43</v>
      </c>
      <c r="AB183" s="0" t="s">
        <v>42</v>
      </c>
      <c r="AC183" s="0" t="s">
        <v>42</v>
      </c>
      <c r="AD183" s="0" t="s">
        <v>43</v>
      </c>
      <c r="AE183" s="2" t="s">
        <v>36</v>
      </c>
    </row>
    <row r="184">
      <c r="A184" s="6" t="s">
        <v>31</v>
      </c>
      <c r="B184" s="7">
        <v>44413</v>
      </c>
      <c r="C184" s="9">
        <f>HYPERLINK("https://www.epingalert.org/en/Search?viewData= G/SPS/N/RUS/235"," G/SPS/N/RUS/235")</f>
      </c>
      <c r="D184" s="8" t="s">
        <v>946</v>
      </c>
      <c r="E184" s="8" t="s">
        <v>947</v>
      </c>
      <c r="F184" s="8" t="s">
        <v>948</v>
      </c>
      <c r="G184" s="8" t="s">
        <v>949</v>
      </c>
      <c r="H184" s="8" t="s">
        <v>36</v>
      </c>
      <c r="I184" s="8" t="s">
        <v>37</v>
      </c>
      <c r="J184" s="8" t="s">
        <v>950</v>
      </c>
      <c r="K184" s="6" t="s">
        <v>951</v>
      </c>
      <c r="L184" s="7" t="s">
        <v>36</v>
      </c>
      <c r="M184" s="6" t="s">
        <v>40</v>
      </c>
      <c r="N184" s="8" t="s">
        <v>952</v>
      </c>
      <c r="O184" s="6">
        <f>HYPERLINK("https://docs.wto.org/imrd/directdoc.asp?DDFDocuments/t/G/SPS/NRUS235.DOCX", "https://docs.wto.org/imrd/directdoc.asp?DDFDocuments/t/G/SPS/NRUS235.DOCX")</f>
      </c>
      <c r="P184" s="6">
        <f>HYPERLINK("https://docs.wto.org/imrd/directdoc.asp?DDFDocuments/u/G/SPS/NRUS235.DOCX", "https://docs.wto.org/imrd/directdoc.asp?DDFDocuments/u/G/SPS/NRUS235.DOCX")</f>
      </c>
      <c r="Q184" s="6">
        <f>HYPERLINK("https://docs.wto.org/imrd/directdoc.asp?DDFDocuments/v/G/SPS/NRUS235.DOCX", "https://docs.wto.org/imrd/directdoc.asp?DDFDocuments/v/G/SPS/NRUS235.DOCX")</f>
      </c>
      <c r="R184" s="0" t="s">
        <v>36</v>
      </c>
      <c r="S184" s="0" t="s">
        <v>36</v>
      </c>
      <c r="T184" s="0" t="s">
        <v>36</v>
      </c>
      <c r="U184" s="0" t="s">
        <v>36</v>
      </c>
      <c r="V184" s="0" t="s">
        <v>36</v>
      </c>
      <c r="W184" s="0" t="s">
        <v>36</v>
      </c>
      <c r="X184" s="0" t="s">
        <v>36</v>
      </c>
      <c r="Y184" s="2" t="s">
        <v>36</v>
      </c>
      <c r="Z184" s="0" t="s">
        <v>42</v>
      </c>
      <c r="AA184" s="0" t="s">
        <v>43</v>
      </c>
      <c r="AB184" s="0" t="s">
        <v>42</v>
      </c>
      <c r="AC184" s="0" t="s">
        <v>42</v>
      </c>
      <c r="AD184" s="0" t="s">
        <v>43</v>
      </c>
      <c r="AE184" s="2" t="s">
        <v>36</v>
      </c>
    </row>
    <row r="185">
      <c r="A185" s="6" t="s">
        <v>31</v>
      </c>
      <c r="B185" s="7">
        <v>44407</v>
      </c>
      <c r="C185" s="9">
        <f>HYPERLINK("https://www.epingalert.org/en/Search?viewData= G/TBT/N/RUS/120"," G/TBT/N/RUS/120")</f>
      </c>
      <c r="D185" s="8" t="s">
        <v>953</v>
      </c>
      <c r="E185" s="8" t="s">
        <v>954</v>
      </c>
      <c r="F185" s="8" t="s">
        <v>498</v>
      </c>
      <c r="G185" s="8" t="s">
        <v>36</v>
      </c>
      <c r="H185" s="8" t="s">
        <v>36</v>
      </c>
      <c r="I185" s="8" t="s">
        <v>164</v>
      </c>
      <c r="J185" s="8" t="s">
        <v>36</v>
      </c>
      <c r="K185" s="6"/>
      <c r="L185" s="7">
        <v>44436</v>
      </c>
      <c r="M185" s="6" t="s">
        <v>51</v>
      </c>
      <c r="N185" s="8" t="s">
        <v>955</v>
      </c>
      <c r="O185" s="6">
        <f>HYPERLINK("https://docs.wto.org/imrd/directdoc.asp?DDFDocuments/t/G/TBTN21/RUS120.DOCX", "https://docs.wto.org/imrd/directdoc.asp?DDFDocuments/t/G/TBTN21/RUS120.DOCX")</f>
      </c>
      <c r="P185" s="6">
        <f>HYPERLINK("https://docs.wto.org/imrd/directdoc.asp?DDFDocuments/u/G/TBTN21/RUS120.DOCX", "https://docs.wto.org/imrd/directdoc.asp?DDFDocuments/u/G/TBTN21/RUS120.DOCX")</f>
      </c>
      <c r="Q185" s="6">
        <f>HYPERLINK("https://docs.wto.org/imrd/directdoc.asp?DDFDocuments/v/G/TBTN21/RUS120.DOCX", "https://docs.wto.org/imrd/directdoc.asp?DDFDocuments/v/G/TBTN21/RUS120.DOCX")</f>
      </c>
      <c r="R185" s="0" t="s">
        <v>43</v>
      </c>
      <c r="S185" s="0" t="s">
        <v>42</v>
      </c>
      <c r="T185" s="0" t="s">
        <v>42</v>
      </c>
      <c r="U185" s="0" t="s">
        <v>42</v>
      </c>
      <c r="V185" s="0" t="s">
        <v>42</v>
      </c>
      <c r="W185" s="0" t="s">
        <v>42</v>
      </c>
      <c r="X185" s="0" t="s">
        <v>42</v>
      </c>
      <c r="Y185" s="2" t="s">
        <v>956</v>
      </c>
      <c r="Z185" s="0" t="s">
        <v>36</v>
      </c>
      <c r="AA185" s="0" t="s">
        <v>36</v>
      </c>
      <c r="AB185" s="0" t="s">
        <v>36</v>
      </c>
      <c r="AC185" s="0" t="s">
        <v>36</v>
      </c>
      <c r="AD185" s="0" t="s">
        <v>36</v>
      </c>
      <c r="AE185" s="2" t="s">
        <v>36</v>
      </c>
    </row>
    <row r="186">
      <c r="A186" s="6" t="s">
        <v>31</v>
      </c>
      <c r="B186" s="7">
        <v>44403</v>
      </c>
      <c r="C186" s="9">
        <f>HYPERLINK("https://www.epingalert.org/en/Search?viewData= G/SPS/N/RUS/234"," G/SPS/N/RUS/234")</f>
      </c>
      <c r="D186" s="8" t="s">
        <v>957</v>
      </c>
      <c r="E186" s="8" t="s">
        <v>958</v>
      </c>
      <c r="F186" s="8" t="s">
        <v>959</v>
      </c>
      <c r="G186" s="8" t="s">
        <v>842</v>
      </c>
      <c r="H186" s="8" t="s">
        <v>36</v>
      </c>
      <c r="I186" s="8" t="s">
        <v>505</v>
      </c>
      <c r="J186" s="8" t="s">
        <v>960</v>
      </c>
      <c r="K186" s="6" t="s">
        <v>961</v>
      </c>
      <c r="L186" s="7" t="s">
        <v>36</v>
      </c>
      <c r="M186" s="6" t="s">
        <v>40</v>
      </c>
      <c r="N186" s="8" t="s">
        <v>962</v>
      </c>
      <c r="O186" s="6">
        <f>HYPERLINK("https://docs.wto.org/imrd/directdoc.asp?DDFDocuments/t/G/SPS/NRUS234.DOCX", "https://docs.wto.org/imrd/directdoc.asp?DDFDocuments/t/G/SPS/NRUS234.DOCX")</f>
      </c>
      <c r="P186" s="6">
        <f>HYPERLINK("https://docs.wto.org/imrd/directdoc.asp?DDFDocuments/u/G/SPS/NRUS234.DOCX", "https://docs.wto.org/imrd/directdoc.asp?DDFDocuments/u/G/SPS/NRUS234.DOCX")</f>
      </c>
      <c r="Q186" s="6">
        <f>HYPERLINK("https://docs.wto.org/imrd/directdoc.asp?DDFDocuments/v/G/SPS/NRUS234.DOCX", "https://docs.wto.org/imrd/directdoc.asp?DDFDocuments/v/G/SPS/NRUS234.DOCX")</f>
      </c>
      <c r="R186" s="0" t="s">
        <v>36</v>
      </c>
      <c r="S186" s="0" t="s">
        <v>36</v>
      </c>
      <c r="T186" s="0" t="s">
        <v>36</v>
      </c>
      <c r="U186" s="0" t="s">
        <v>36</v>
      </c>
      <c r="V186" s="0" t="s">
        <v>36</v>
      </c>
      <c r="W186" s="0" t="s">
        <v>36</v>
      </c>
      <c r="X186" s="0" t="s">
        <v>36</v>
      </c>
      <c r="Y186" s="2" t="s">
        <v>36</v>
      </c>
      <c r="Z186" s="0" t="s">
        <v>42</v>
      </c>
      <c r="AA186" s="0" t="s">
        <v>42</v>
      </c>
      <c r="AB186" s="0" t="s">
        <v>43</v>
      </c>
      <c r="AC186" s="0" t="s">
        <v>42</v>
      </c>
      <c r="AD186" s="0" t="s">
        <v>43</v>
      </c>
      <c r="AE186" s="2" t="s">
        <v>36</v>
      </c>
    </row>
    <row r="187">
      <c r="A187" s="6" t="s">
        <v>31</v>
      </c>
      <c r="B187" s="7">
        <v>44384</v>
      </c>
      <c r="C187" s="9">
        <f>HYPERLINK("https://www.epingalert.org/en/Search?viewData= G/SPS/N/RUS/233"," G/SPS/N/RUS/233")</f>
      </c>
      <c r="D187" s="8" t="s">
        <v>963</v>
      </c>
      <c r="E187" s="8" t="s">
        <v>964</v>
      </c>
      <c r="F187" s="8" t="s">
        <v>923</v>
      </c>
      <c r="G187" s="8" t="s">
        <v>924</v>
      </c>
      <c r="H187" s="8" t="s">
        <v>36</v>
      </c>
      <c r="I187" s="8" t="s">
        <v>37</v>
      </c>
      <c r="J187" s="8" t="s">
        <v>965</v>
      </c>
      <c r="K187" s="6" t="s">
        <v>966</v>
      </c>
      <c r="L187" s="7" t="s">
        <v>36</v>
      </c>
      <c r="M187" s="6" t="s">
        <v>40</v>
      </c>
      <c r="N187" s="8" t="s">
        <v>967</v>
      </c>
      <c r="O187" s="6">
        <f>HYPERLINK("https://docs.wto.org/imrd/directdoc.asp?DDFDocuments/t/G/SPS/NRUS233.DOCX", "https://docs.wto.org/imrd/directdoc.asp?DDFDocuments/t/G/SPS/NRUS233.DOCX")</f>
      </c>
      <c r="P187" s="6">
        <f>HYPERLINK("https://docs.wto.org/imrd/directdoc.asp?DDFDocuments/u/G/SPS/NRUS233.DOCX", "https://docs.wto.org/imrd/directdoc.asp?DDFDocuments/u/G/SPS/NRUS233.DOCX")</f>
      </c>
      <c r="Q187" s="6">
        <f>HYPERLINK("https://docs.wto.org/imrd/directdoc.asp?DDFDocuments/v/G/SPS/NRUS233.DOCX", "https://docs.wto.org/imrd/directdoc.asp?DDFDocuments/v/G/SPS/NRUS233.DOCX")</f>
      </c>
      <c r="R187" s="0" t="s">
        <v>36</v>
      </c>
      <c r="S187" s="0" t="s">
        <v>36</v>
      </c>
      <c r="T187" s="0" t="s">
        <v>36</v>
      </c>
      <c r="U187" s="0" t="s">
        <v>36</v>
      </c>
      <c r="V187" s="0" t="s">
        <v>36</v>
      </c>
      <c r="W187" s="0" t="s">
        <v>36</v>
      </c>
      <c r="X187" s="0" t="s">
        <v>36</v>
      </c>
      <c r="Y187" s="2" t="s">
        <v>36</v>
      </c>
      <c r="Z187" s="0" t="s">
        <v>42</v>
      </c>
      <c r="AA187" s="0" t="s">
        <v>43</v>
      </c>
      <c r="AB187" s="0" t="s">
        <v>42</v>
      </c>
      <c r="AC187" s="0" t="s">
        <v>42</v>
      </c>
      <c r="AD187" s="0" t="s">
        <v>43</v>
      </c>
      <c r="AE187" s="2" t="s">
        <v>36</v>
      </c>
    </row>
    <row r="188">
      <c r="A188" s="6" t="s">
        <v>31</v>
      </c>
      <c r="B188" s="7">
        <v>44375</v>
      </c>
      <c r="C188" s="9">
        <f>HYPERLINK("https://www.epingalert.org/en/Search?viewData= G/SPS/N/RUS/232"," G/SPS/N/RUS/232")</f>
      </c>
      <c r="D188" s="8" t="s">
        <v>968</v>
      </c>
      <c r="E188" s="8" t="s">
        <v>969</v>
      </c>
      <c r="F188" s="8" t="s">
        <v>970</v>
      </c>
      <c r="G188" s="8" t="s">
        <v>971</v>
      </c>
      <c r="H188" s="8" t="s">
        <v>36</v>
      </c>
      <c r="I188" s="8" t="s">
        <v>37</v>
      </c>
      <c r="J188" s="8" t="s">
        <v>972</v>
      </c>
      <c r="K188" s="6" t="s">
        <v>973</v>
      </c>
      <c r="L188" s="7" t="s">
        <v>36</v>
      </c>
      <c r="M188" s="6" t="s">
        <v>40</v>
      </c>
      <c r="N188" s="8" t="s">
        <v>974</v>
      </c>
      <c r="O188" s="6">
        <f>HYPERLINK("https://docs.wto.org/imrd/directdoc.asp?DDFDocuments/t/G/SPS/NRUS232.DOCX", "https://docs.wto.org/imrd/directdoc.asp?DDFDocuments/t/G/SPS/NRUS232.DOCX")</f>
      </c>
      <c r="P188" s="6">
        <f>HYPERLINK("https://docs.wto.org/imrd/directdoc.asp?DDFDocuments/u/G/SPS/NRUS232.DOCX", "https://docs.wto.org/imrd/directdoc.asp?DDFDocuments/u/G/SPS/NRUS232.DOCX")</f>
      </c>
      <c r="Q188" s="6">
        <f>HYPERLINK("https://docs.wto.org/imrd/directdoc.asp?DDFDocuments/v/G/SPS/NRUS232.DOCX", "https://docs.wto.org/imrd/directdoc.asp?DDFDocuments/v/G/SPS/NRUS232.DOCX")</f>
      </c>
      <c r="R188" s="0" t="s">
        <v>36</v>
      </c>
      <c r="S188" s="0" t="s">
        <v>36</v>
      </c>
      <c r="T188" s="0" t="s">
        <v>36</v>
      </c>
      <c r="U188" s="0" t="s">
        <v>36</v>
      </c>
      <c r="V188" s="0" t="s">
        <v>36</v>
      </c>
      <c r="W188" s="0" t="s">
        <v>36</v>
      </c>
      <c r="X188" s="0" t="s">
        <v>36</v>
      </c>
      <c r="Y188" s="2" t="s">
        <v>36</v>
      </c>
      <c r="Z188" s="0" t="s">
        <v>42</v>
      </c>
      <c r="AA188" s="0" t="s">
        <v>43</v>
      </c>
      <c r="AB188" s="0" t="s">
        <v>42</v>
      </c>
      <c r="AC188" s="0" t="s">
        <v>42</v>
      </c>
      <c r="AD188" s="0" t="s">
        <v>43</v>
      </c>
      <c r="AE188" s="2" t="s">
        <v>36</v>
      </c>
    </row>
    <row r="189">
      <c r="A189" s="6" t="s">
        <v>31</v>
      </c>
      <c r="B189" s="7">
        <v>44375</v>
      </c>
      <c r="C189" s="9">
        <f>HYPERLINK("https://www.epingalert.org/en/Search?viewData= G/SPS/N/RUS/231"," G/SPS/N/RUS/231")</f>
      </c>
      <c r="D189" s="8" t="s">
        <v>975</v>
      </c>
      <c r="E189" s="8" t="s">
        <v>976</v>
      </c>
      <c r="F189" s="8" t="s">
        <v>970</v>
      </c>
      <c r="G189" s="8" t="s">
        <v>977</v>
      </c>
      <c r="H189" s="8" t="s">
        <v>36</v>
      </c>
      <c r="I189" s="8" t="s">
        <v>37</v>
      </c>
      <c r="J189" s="8" t="s">
        <v>972</v>
      </c>
      <c r="K189" s="6" t="s">
        <v>978</v>
      </c>
      <c r="L189" s="7" t="s">
        <v>36</v>
      </c>
      <c r="M189" s="6" t="s">
        <v>40</v>
      </c>
      <c r="N189" s="8" t="s">
        <v>979</v>
      </c>
      <c r="O189" s="6">
        <f>HYPERLINK("https://docs.wto.org/imrd/directdoc.asp?DDFDocuments/t/G/SPS/NRUS231.DOCX", "https://docs.wto.org/imrd/directdoc.asp?DDFDocuments/t/G/SPS/NRUS231.DOCX")</f>
      </c>
      <c r="P189" s="6">
        <f>HYPERLINK("https://docs.wto.org/imrd/directdoc.asp?DDFDocuments/u/G/SPS/NRUS231.DOCX", "https://docs.wto.org/imrd/directdoc.asp?DDFDocuments/u/G/SPS/NRUS231.DOCX")</f>
      </c>
      <c r="Q189" s="6">
        <f>HYPERLINK("https://docs.wto.org/imrd/directdoc.asp?DDFDocuments/v/G/SPS/NRUS231.DOCX", "https://docs.wto.org/imrd/directdoc.asp?DDFDocuments/v/G/SPS/NRUS231.DOCX")</f>
      </c>
      <c r="R189" s="0" t="s">
        <v>36</v>
      </c>
      <c r="S189" s="0" t="s">
        <v>36</v>
      </c>
      <c r="T189" s="0" t="s">
        <v>36</v>
      </c>
      <c r="U189" s="0" t="s">
        <v>36</v>
      </c>
      <c r="V189" s="0" t="s">
        <v>36</v>
      </c>
      <c r="W189" s="0" t="s">
        <v>36</v>
      </c>
      <c r="X189" s="0" t="s">
        <v>36</v>
      </c>
      <c r="Y189" s="2" t="s">
        <v>36</v>
      </c>
      <c r="Z189" s="0" t="s">
        <v>42</v>
      </c>
      <c r="AA189" s="0" t="s">
        <v>43</v>
      </c>
      <c r="AB189" s="0" t="s">
        <v>42</v>
      </c>
      <c r="AC189" s="0" t="s">
        <v>42</v>
      </c>
      <c r="AD189" s="0" t="s">
        <v>43</v>
      </c>
      <c r="AE189" s="2" t="s">
        <v>36</v>
      </c>
    </row>
    <row r="190">
      <c r="A190" s="6" t="s">
        <v>31</v>
      </c>
      <c r="B190" s="7">
        <v>44372</v>
      </c>
      <c r="C190" s="9">
        <f>HYPERLINK("https://www.epingalert.org/en/Search?viewData= G/SPS/N/RUS/230"," G/SPS/N/RUS/230")</f>
      </c>
      <c r="D190" s="8" t="s">
        <v>980</v>
      </c>
      <c r="E190" s="8" t="s">
        <v>981</v>
      </c>
      <c r="F190" s="8" t="s">
        <v>970</v>
      </c>
      <c r="G190" s="8" t="s">
        <v>982</v>
      </c>
      <c r="H190" s="8" t="s">
        <v>36</v>
      </c>
      <c r="I190" s="8" t="s">
        <v>37</v>
      </c>
      <c r="J190" s="8" t="s">
        <v>983</v>
      </c>
      <c r="K190" s="6" t="s">
        <v>984</v>
      </c>
      <c r="L190" s="7" t="s">
        <v>36</v>
      </c>
      <c r="M190" s="6" t="s">
        <v>40</v>
      </c>
      <c r="N190" s="8" t="s">
        <v>985</v>
      </c>
      <c r="O190" s="6">
        <f>HYPERLINK("https://docs.wto.org/imrd/directdoc.asp?DDFDocuments/t/G/SPS/NRUS230.DOCX", "https://docs.wto.org/imrd/directdoc.asp?DDFDocuments/t/G/SPS/NRUS230.DOCX")</f>
      </c>
      <c r="P190" s="6">
        <f>HYPERLINK("https://docs.wto.org/imrd/directdoc.asp?DDFDocuments/u/G/SPS/NRUS230.DOCX", "https://docs.wto.org/imrd/directdoc.asp?DDFDocuments/u/G/SPS/NRUS230.DOCX")</f>
      </c>
      <c r="Q190" s="6">
        <f>HYPERLINK("https://docs.wto.org/imrd/directdoc.asp?DDFDocuments/v/G/SPS/NRUS230.DOCX", "https://docs.wto.org/imrd/directdoc.asp?DDFDocuments/v/G/SPS/NRUS230.DOCX")</f>
      </c>
      <c r="R190" s="0" t="s">
        <v>36</v>
      </c>
      <c r="S190" s="0" t="s">
        <v>36</v>
      </c>
      <c r="T190" s="0" t="s">
        <v>36</v>
      </c>
      <c r="U190" s="0" t="s">
        <v>36</v>
      </c>
      <c r="V190" s="0" t="s">
        <v>36</v>
      </c>
      <c r="W190" s="0" t="s">
        <v>36</v>
      </c>
      <c r="X190" s="0" t="s">
        <v>36</v>
      </c>
      <c r="Y190" s="2" t="s">
        <v>36</v>
      </c>
      <c r="Z190" s="0" t="s">
        <v>42</v>
      </c>
      <c r="AA190" s="0" t="s">
        <v>43</v>
      </c>
      <c r="AB190" s="0" t="s">
        <v>42</v>
      </c>
      <c r="AC190" s="0" t="s">
        <v>42</v>
      </c>
      <c r="AD190" s="0" t="s">
        <v>43</v>
      </c>
      <c r="AE190" s="2" t="s">
        <v>36</v>
      </c>
    </row>
    <row r="191">
      <c r="A191" s="6" t="s">
        <v>31</v>
      </c>
      <c r="B191" s="7">
        <v>44372</v>
      </c>
      <c r="C191" s="9">
        <f>HYPERLINK("https://www.epingalert.org/en/Search?viewData= G/SPS/N/RUS/228"," G/SPS/N/RUS/228")</f>
      </c>
      <c r="D191" s="8" t="s">
        <v>986</v>
      </c>
      <c r="E191" s="8" t="s">
        <v>987</v>
      </c>
      <c r="F191" s="8" t="s">
        <v>970</v>
      </c>
      <c r="G191" s="8" t="s">
        <v>988</v>
      </c>
      <c r="H191" s="8" t="s">
        <v>36</v>
      </c>
      <c r="I191" s="8" t="s">
        <v>37</v>
      </c>
      <c r="J191" s="8" t="s">
        <v>972</v>
      </c>
      <c r="K191" s="6" t="s">
        <v>697</v>
      </c>
      <c r="L191" s="7" t="s">
        <v>36</v>
      </c>
      <c r="M191" s="6" t="s">
        <v>40</v>
      </c>
      <c r="N191" s="8" t="s">
        <v>989</v>
      </c>
      <c r="O191" s="6">
        <f>HYPERLINK("https://docs.wto.org/imrd/directdoc.asp?DDFDocuments/t/G/SPS/NRUS228.DOCX", "https://docs.wto.org/imrd/directdoc.asp?DDFDocuments/t/G/SPS/NRUS228.DOCX")</f>
      </c>
      <c r="P191" s="6">
        <f>HYPERLINK("https://docs.wto.org/imrd/directdoc.asp?DDFDocuments/u/G/SPS/NRUS228.DOCX", "https://docs.wto.org/imrd/directdoc.asp?DDFDocuments/u/G/SPS/NRUS228.DOCX")</f>
      </c>
      <c r="Q191" s="6">
        <f>HYPERLINK("https://docs.wto.org/imrd/directdoc.asp?DDFDocuments/v/G/SPS/NRUS228.DOCX", "https://docs.wto.org/imrd/directdoc.asp?DDFDocuments/v/G/SPS/NRUS228.DOCX")</f>
      </c>
      <c r="R191" s="0" t="s">
        <v>36</v>
      </c>
      <c r="S191" s="0" t="s">
        <v>36</v>
      </c>
      <c r="T191" s="0" t="s">
        <v>36</v>
      </c>
      <c r="U191" s="0" t="s">
        <v>36</v>
      </c>
      <c r="V191" s="0" t="s">
        <v>36</v>
      </c>
      <c r="W191" s="0" t="s">
        <v>36</v>
      </c>
      <c r="X191" s="0" t="s">
        <v>36</v>
      </c>
      <c r="Y191" s="2" t="s">
        <v>36</v>
      </c>
      <c r="Z191" s="0" t="s">
        <v>42</v>
      </c>
      <c r="AA191" s="0" t="s">
        <v>43</v>
      </c>
      <c r="AB191" s="0" t="s">
        <v>42</v>
      </c>
      <c r="AC191" s="0" t="s">
        <v>42</v>
      </c>
      <c r="AD191" s="0" t="s">
        <v>43</v>
      </c>
      <c r="AE191" s="2" t="s">
        <v>36</v>
      </c>
    </row>
    <row r="192">
      <c r="A192" s="6" t="s">
        <v>31</v>
      </c>
      <c r="B192" s="7">
        <v>44372</v>
      </c>
      <c r="C192" s="9">
        <f>HYPERLINK("https://www.epingalert.org/en/Search?viewData= G/SPS/N/RUS/229"," G/SPS/N/RUS/229")</f>
      </c>
      <c r="D192" s="8" t="s">
        <v>990</v>
      </c>
      <c r="E192" s="8" t="s">
        <v>991</v>
      </c>
      <c r="F192" s="8" t="s">
        <v>970</v>
      </c>
      <c r="G192" s="8" t="s">
        <v>992</v>
      </c>
      <c r="H192" s="8" t="s">
        <v>36</v>
      </c>
      <c r="I192" s="8" t="s">
        <v>37</v>
      </c>
      <c r="J192" s="8" t="s">
        <v>972</v>
      </c>
      <c r="K192" s="6" t="s">
        <v>632</v>
      </c>
      <c r="L192" s="7" t="s">
        <v>36</v>
      </c>
      <c r="M192" s="6" t="s">
        <v>40</v>
      </c>
      <c r="N192" s="8" t="s">
        <v>993</v>
      </c>
      <c r="O192" s="6">
        <f>HYPERLINK("https://docs.wto.org/imrd/directdoc.asp?DDFDocuments/t/G/SPS/NRUS229.DOCX", "https://docs.wto.org/imrd/directdoc.asp?DDFDocuments/t/G/SPS/NRUS229.DOCX")</f>
      </c>
      <c r="P192" s="6">
        <f>HYPERLINK("https://docs.wto.org/imrd/directdoc.asp?DDFDocuments/u/G/SPS/NRUS229.DOCX", "https://docs.wto.org/imrd/directdoc.asp?DDFDocuments/u/G/SPS/NRUS229.DOCX")</f>
      </c>
      <c r="Q192" s="6">
        <f>HYPERLINK("https://docs.wto.org/imrd/directdoc.asp?DDFDocuments/v/G/SPS/NRUS229.DOCX", "https://docs.wto.org/imrd/directdoc.asp?DDFDocuments/v/G/SPS/NRUS229.DOCX")</f>
      </c>
      <c r="R192" s="0" t="s">
        <v>36</v>
      </c>
      <c r="S192" s="0" t="s">
        <v>36</v>
      </c>
      <c r="T192" s="0" t="s">
        <v>36</v>
      </c>
      <c r="U192" s="0" t="s">
        <v>36</v>
      </c>
      <c r="V192" s="0" t="s">
        <v>36</v>
      </c>
      <c r="W192" s="0" t="s">
        <v>36</v>
      </c>
      <c r="X192" s="0" t="s">
        <v>36</v>
      </c>
      <c r="Y192" s="2" t="s">
        <v>36</v>
      </c>
      <c r="Z192" s="0" t="s">
        <v>42</v>
      </c>
      <c r="AA192" s="0" t="s">
        <v>43</v>
      </c>
      <c r="AB192" s="0" t="s">
        <v>42</v>
      </c>
      <c r="AC192" s="0" t="s">
        <v>42</v>
      </c>
      <c r="AD192" s="0" t="s">
        <v>43</v>
      </c>
      <c r="AE192" s="2" t="s">
        <v>36</v>
      </c>
    </row>
    <row r="193">
      <c r="A193" s="6" t="s">
        <v>31</v>
      </c>
      <c r="B193" s="7">
        <v>44364</v>
      </c>
      <c r="C193" s="9">
        <f>HYPERLINK("https://www.epingalert.org/en/Search?viewData= G/SPS/N/RUS/227"," G/SPS/N/RUS/227")</f>
      </c>
      <c r="D193" s="8" t="s">
        <v>994</v>
      </c>
      <c r="E193" s="8" t="s">
        <v>995</v>
      </c>
      <c r="F193" s="8" t="s">
        <v>959</v>
      </c>
      <c r="G193" s="8" t="s">
        <v>842</v>
      </c>
      <c r="H193" s="8" t="s">
        <v>36</v>
      </c>
      <c r="I193" s="8" t="s">
        <v>505</v>
      </c>
      <c r="J193" s="8" t="s">
        <v>996</v>
      </c>
      <c r="K193" s="6"/>
      <c r="L193" s="7">
        <v>44422</v>
      </c>
      <c r="M193" s="6" t="s">
        <v>51</v>
      </c>
      <c r="N193" s="8" t="s">
        <v>997</v>
      </c>
      <c r="O193" s="6">
        <f>HYPERLINK("https://docs.wto.org/imrd/directdoc.asp?DDFDocuments/t/G/SPS/NRUS227.DOCX", "https://docs.wto.org/imrd/directdoc.asp?DDFDocuments/t/G/SPS/NRUS227.DOCX")</f>
      </c>
      <c r="P193" s="6">
        <f>HYPERLINK("https://docs.wto.org/imrd/directdoc.asp?DDFDocuments/u/G/SPS/NRUS227.DOCX", "https://docs.wto.org/imrd/directdoc.asp?DDFDocuments/u/G/SPS/NRUS227.DOCX")</f>
      </c>
      <c r="Q193" s="6">
        <f>HYPERLINK("https://docs.wto.org/imrd/directdoc.asp?DDFDocuments/v/G/SPS/NRUS227.DOCX", "https://docs.wto.org/imrd/directdoc.asp?DDFDocuments/v/G/SPS/NRUS227.DOCX")</f>
      </c>
      <c r="R193" s="0" t="s">
        <v>36</v>
      </c>
      <c r="S193" s="0" t="s">
        <v>36</v>
      </c>
      <c r="T193" s="0" t="s">
        <v>36</v>
      </c>
      <c r="U193" s="0" t="s">
        <v>36</v>
      </c>
      <c r="V193" s="0" t="s">
        <v>36</v>
      </c>
      <c r="W193" s="0" t="s">
        <v>36</v>
      </c>
      <c r="X193" s="0" t="s">
        <v>36</v>
      </c>
      <c r="Y193" s="2" t="s">
        <v>36</v>
      </c>
      <c r="Z193" s="0" t="s">
        <v>42</v>
      </c>
      <c r="AA193" s="0" t="s">
        <v>42</v>
      </c>
      <c r="AB193" s="0" t="s">
        <v>43</v>
      </c>
      <c r="AC193" s="0" t="s">
        <v>42</v>
      </c>
      <c r="AD193" s="0" t="s">
        <v>43</v>
      </c>
      <c r="AE193" s="2" t="s">
        <v>36</v>
      </c>
    </row>
    <row r="194">
      <c r="A194" s="6" t="s">
        <v>31</v>
      </c>
      <c r="B194" s="7">
        <v>44355</v>
      </c>
      <c r="C194" s="9">
        <f>HYPERLINK("https://www.epingalert.org/en/Search?viewData= G/TBT/N/RUS/119"," G/TBT/N/RUS/119")</f>
      </c>
      <c r="D194" s="8" t="s">
        <v>998</v>
      </c>
      <c r="E194" s="8" t="s">
        <v>999</v>
      </c>
      <c r="F194" s="8" t="s">
        <v>1000</v>
      </c>
      <c r="G194" s="8" t="s">
        <v>36</v>
      </c>
      <c r="H194" s="8" t="s">
        <v>1001</v>
      </c>
      <c r="I194" s="8" t="s">
        <v>796</v>
      </c>
      <c r="J194" s="8" t="s">
        <v>36</v>
      </c>
      <c r="K194" s="6"/>
      <c r="L194" s="7">
        <v>44434</v>
      </c>
      <c r="M194" s="6" t="s">
        <v>51</v>
      </c>
      <c r="N194" s="8" t="s">
        <v>1002</v>
      </c>
      <c r="O194" s="6">
        <f>HYPERLINK("https://docs.wto.org/imrd/directdoc.asp?DDFDocuments/t/G/TBTN21/RUS119.DOCX", "https://docs.wto.org/imrd/directdoc.asp?DDFDocuments/t/G/TBTN21/RUS119.DOCX")</f>
      </c>
      <c r="P194" s="6">
        <f>HYPERLINK("https://docs.wto.org/imrd/directdoc.asp?DDFDocuments/u/G/TBTN21/RUS119.DOCX", "https://docs.wto.org/imrd/directdoc.asp?DDFDocuments/u/G/TBTN21/RUS119.DOCX")</f>
      </c>
      <c r="Q194" s="6">
        <f>HYPERLINK("https://docs.wto.org/imrd/directdoc.asp?DDFDocuments/v/G/TBTN21/RUS119.DOCX", "https://docs.wto.org/imrd/directdoc.asp?DDFDocuments/v/G/TBTN21/RUS119.DOCX")</f>
      </c>
      <c r="R194" s="0" t="s">
        <v>43</v>
      </c>
      <c r="S194" s="0" t="s">
        <v>42</v>
      </c>
      <c r="T194" s="0" t="s">
        <v>42</v>
      </c>
      <c r="U194" s="0" t="s">
        <v>42</v>
      </c>
      <c r="V194" s="0" t="s">
        <v>42</v>
      </c>
      <c r="W194" s="0" t="s">
        <v>42</v>
      </c>
      <c r="X194" s="0" t="s">
        <v>42</v>
      </c>
      <c r="Y194" s="2" t="s">
        <v>1003</v>
      </c>
      <c r="Z194" s="0" t="s">
        <v>36</v>
      </c>
      <c r="AA194" s="0" t="s">
        <v>36</v>
      </c>
      <c r="AB194" s="0" t="s">
        <v>36</v>
      </c>
      <c r="AC194" s="0" t="s">
        <v>36</v>
      </c>
      <c r="AD194" s="0" t="s">
        <v>36</v>
      </c>
      <c r="AE194" s="2" t="s">
        <v>36</v>
      </c>
    </row>
    <row r="195">
      <c r="A195" s="6" t="s">
        <v>31</v>
      </c>
      <c r="B195" s="7">
        <v>44323</v>
      </c>
      <c r="C195" s="9">
        <f>HYPERLINK("https://www.epingalert.org/en/Search?viewData= G/SPS/N/RUS/226"," G/SPS/N/RUS/226")</f>
      </c>
      <c r="D195" s="8" t="s">
        <v>1004</v>
      </c>
      <c r="E195" s="8" t="s">
        <v>1005</v>
      </c>
      <c r="F195" s="8" t="s">
        <v>923</v>
      </c>
      <c r="G195" s="8" t="s">
        <v>924</v>
      </c>
      <c r="H195" s="8" t="s">
        <v>36</v>
      </c>
      <c r="I195" s="8" t="s">
        <v>37</v>
      </c>
      <c r="J195" s="8" t="s">
        <v>38</v>
      </c>
      <c r="K195" s="6" t="s">
        <v>39</v>
      </c>
      <c r="L195" s="7" t="s">
        <v>36</v>
      </c>
      <c r="M195" s="6" t="s">
        <v>40</v>
      </c>
      <c r="N195" s="8" t="s">
        <v>1006</v>
      </c>
      <c r="O195" s="6">
        <f>HYPERLINK("https://docs.wto.org/imrd/directdoc.asp?DDFDocuments/t/G/SPS/NRUS226.DOCX", "https://docs.wto.org/imrd/directdoc.asp?DDFDocuments/t/G/SPS/NRUS226.DOCX")</f>
      </c>
      <c r="P195" s="6">
        <f>HYPERLINK("https://docs.wto.org/imrd/directdoc.asp?DDFDocuments/u/G/SPS/NRUS226.DOCX", "https://docs.wto.org/imrd/directdoc.asp?DDFDocuments/u/G/SPS/NRUS226.DOCX")</f>
      </c>
      <c r="Q195" s="6">
        <f>HYPERLINK("https://docs.wto.org/imrd/directdoc.asp?DDFDocuments/v/G/SPS/NRUS226.DOCX", "https://docs.wto.org/imrd/directdoc.asp?DDFDocuments/v/G/SPS/NRUS226.DOCX")</f>
      </c>
      <c r="R195" s="0" t="s">
        <v>36</v>
      </c>
      <c r="S195" s="0" t="s">
        <v>36</v>
      </c>
      <c r="T195" s="0" t="s">
        <v>36</v>
      </c>
      <c r="U195" s="0" t="s">
        <v>36</v>
      </c>
      <c r="V195" s="0" t="s">
        <v>36</v>
      </c>
      <c r="W195" s="0" t="s">
        <v>36</v>
      </c>
      <c r="X195" s="0" t="s">
        <v>36</v>
      </c>
      <c r="Y195" s="2" t="s">
        <v>36</v>
      </c>
      <c r="Z195" s="0" t="s">
        <v>42</v>
      </c>
      <c r="AA195" s="0" t="s">
        <v>43</v>
      </c>
      <c r="AB195" s="0" t="s">
        <v>42</v>
      </c>
      <c r="AC195" s="0" t="s">
        <v>42</v>
      </c>
      <c r="AD195" s="0" t="s">
        <v>43</v>
      </c>
      <c r="AE195" s="2" t="s">
        <v>36</v>
      </c>
    </row>
    <row r="196">
      <c r="A196" s="6" t="s">
        <v>31</v>
      </c>
      <c r="B196" s="7">
        <v>44322</v>
      </c>
      <c r="C196" s="9">
        <f>HYPERLINK("https://www.epingalert.org/en/Search?viewData= G/SPS/N/RUS/188/Add.2"," G/SPS/N/RUS/188/Add.2")</f>
      </c>
      <c r="D196" s="8" t="s">
        <v>1007</v>
      </c>
      <c r="E196" s="8" t="s">
        <v>1008</v>
      </c>
      <c r="F196" s="8"/>
      <c r="G196" s="8" t="s">
        <v>36</v>
      </c>
      <c r="H196" s="8" t="s">
        <v>36</v>
      </c>
      <c r="I196" s="8" t="s">
        <v>332</v>
      </c>
      <c r="J196" s="8" t="s">
        <v>1009</v>
      </c>
      <c r="K196" s="6"/>
      <c r="L196" s="7" t="s">
        <v>36</v>
      </c>
      <c r="M196" s="6" t="s">
        <v>179</v>
      </c>
      <c r="N196" s="6"/>
      <c r="O196" s="6">
        <f>HYPERLINK("https://docs.wto.org/imrd/directdoc.asp?DDFDocuments/t/G/SPS/NRUS188A2.DOCX", "https://docs.wto.org/imrd/directdoc.asp?DDFDocuments/t/G/SPS/NRUS188A2.DOCX")</f>
      </c>
      <c r="P196" s="6">
        <f>HYPERLINK("https://docs.wto.org/imrd/directdoc.asp?DDFDocuments/u/G/SPS/NRUS188A2.DOCX", "https://docs.wto.org/imrd/directdoc.asp?DDFDocuments/u/G/SPS/NRUS188A2.DOCX")</f>
      </c>
      <c r="Q196" s="6">
        <f>HYPERLINK("https://docs.wto.org/imrd/directdoc.asp?DDFDocuments/v/G/SPS/NRUS188A2.DOCX", "https://docs.wto.org/imrd/directdoc.asp?DDFDocuments/v/G/SPS/NRUS188A2.DOCX")</f>
      </c>
      <c r="R196" s="0" t="s">
        <v>36</v>
      </c>
      <c r="S196" s="0" t="s">
        <v>36</v>
      </c>
      <c r="T196" s="0" t="s">
        <v>36</v>
      </c>
      <c r="U196" s="0" t="s">
        <v>36</v>
      </c>
      <c r="V196" s="0" t="s">
        <v>36</v>
      </c>
      <c r="W196" s="0" t="s">
        <v>36</v>
      </c>
      <c r="X196" s="0" t="s">
        <v>36</v>
      </c>
      <c r="Y196" s="2" t="s">
        <v>36</v>
      </c>
      <c r="Z196" s="0" t="s">
        <v>36</v>
      </c>
      <c r="AA196" s="0" t="s">
        <v>36</v>
      </c>
      <c r="AB196" s="0" t="s">
        <v>36</v>
      </c>
      <c r="AC196" s="0" t="s">
        <v>36</v>
      </c>
      <c r="AD196" s="0" t="s">
        <v>36</v>
      </c>
      <c r="AE196" s="2" t="s">
        <v>36</v>
      </c>
    </row>
    <row r="197">
      <c r="A197" s="6" t="s">
        <v>31</v>
      </c>
      <c r="B197" s="7">
        <v>44316</v>
      </c>
      <c r="C197" s="9">
        <f>HYPERLINK("https://www.epingalert.org/en/Search?viewData= G/TBT/N/RUS/118"," G/TBT/N/RUS/118")</f>
      </c>
      <c r="D197" s="8" t="s">
        <v>1010</v>
      </c>
      <c r="E197" s="8" t="s">
        <v>1011</v>
      </c>
      <c r="F197" s="8" t="s">
        <v>498</v>
      </c>
      <c r="G197" s="8" t="s">
        <v>36</v>
      </c>
      <c r="H197" s="8" t="s">
        <v>141</v>
      </c>
      <c r="I197" s="8" t="s">
        <v>796</v>
      </c>
      <c r="J197" s="8" t="s">
        <v>36</v>
      </c>
      <c r="K197" s="6"/>
      <c r="L197" s="7">
        <v>44377</v>
      </c>
      <c r="M197" s="6" t="s">
        <v>51</v>
      </c>
      <c r="N197" s="8" t="s">
        <v>1012</v>
      </c>
      <c r="O197" s="6">
        <f>HYPERLINK("https://docs.wto.org/imrd/directdoc.asp?DDFDocuments/t/G/TBTN21/RUS118.DOCX", "https://docs.wto.org/imrd/directdoc.asp?DDFDocuments/t/G/TBTN21/RUS118.DOCX")</f>
      </c>
      <c r="P197" s="6">
        <f>HYPERLINK("https://docs.wto.org/imrd/directdoc.asp?DDFDocuments/u/G/TBTN21/RUS118.DOCX", "https://docs.wto.org/imrd/directdoc.asp?DDFDocuments/u/G/TBTN21/RUS118.DOCX")</f>
      </c>
      <c r="Q197" s="6">
        <f>HYPERLINK("https://docs.wto.org/imrd/directdoc.asp?DDFDocuments/v/G/TBTN21/RUS118.DOCX", "https://docs.wto.org/imrd/directdoc.asp?DDFDocuments/v/G/TBTN21/RUS118.DOCX")</f>
      </c>
      <c r="R197" s="0" t="s">
        <v>43</v>
      </c>
      <c r="S197" s="0" t="s">
        <v>42</v>
      </c>
      <c r="T197" s="0" t="s">
        <v>42</v>
      </c>
      <c r="U197" s="0" t="s">
        <v>42</v>
      </c>
      <c r="V197" s="0" t="s">
        <v>42</v>
      </c>
      <c r="W197" s="0" t="s">
        <v>42</v>
      </c>
      <c r="X197" s="0" t="s">
        <v>42</v>
      </c>
      <c r="Y197" s="2" t="s">
        <v>1013</v>
      </c>
      <c r="Z197" s="0" t="s">
        <v>36</v>
      </c>
      <c r="AA197" s="0" t="s">
        <v>36</v>
      </c>
      <c r="AB197" s="0" t="s">
        <v>36</v>
      </c>
      <c r="AC197" s="0" t="s">
        <v>36</v>
      </c>
      <c r="AD197" s="0" t="s">
        <v>36</v>
      </c>
      <c r="AE197" s="2" t="s">
        <v>36</v>
      </c>
    </row>
    <row r="198">
      <c r="A198" s="6" t="s">
        <v>31</v>
      </c>
      <c r="B198" s="7">
        <v>44316</v>
      </c>
      <c r="C198" s="9">
        <f>HYPERLINK("https://www.epingalert.org/en/Search?viewData= G/TBT/N/RUS/117"," G/TBT/N/RUS/117")</f>
      </c>
      <c r="D198" s="8" t="s">
        <v>1014</v>
      </c>
      <c r="E198" s="8" t="s">
        <v>1015</v>
      </c>
      <c r="F198" s="8" t="s">
        <v>498</v>
      </c>
      <c r="G198" s="8" t="s">
        <v>36</v>
      </c>
      <c r="H198" s="8" t="s">
        <v>141</v>
      </c>
      <c r="I198" s="8" t="s">
        <v>164</v>
      </c>
      <c r="J198" s="8" t="s">
        <v>36</v>
      </c>
      <c r="K198" s="6"/>
      <c r="L198" s="7">
        <v>44362</v>
      </c>
      <c r="M198" s="6" t="s">
        <v>51</v>
      </c>
      <c r="N198" s="8" t="s">
        <v>1016</v>
      </c>
      <c r="O198" s="6">
        <f>HYPERLINK("https://docs.wto.org/imrd/directdoc.asp?DDFDocuments/t/G/TBTN21/RUS117.DOCX", "https://docs.wto.org/imrd/directdoc.asp?DDFDocuments/t/G/TBTN21/RUS117.DOCX")</f>
      </c>
      <c r="P198" s="6">
        <f>HYPERLINK("https://docs.wto.org/imrd/directdoc.asp?DDFDocuments/u/G/TBTN21/RUS117.DOCX", "https://docs.wto.org/imrd/directdoc.asp?DDFDocuments/u/G/TBTN21/RUS117.DOCX")</f>
      </c>
      <c r="Q198" s="6">
        <f>HYPERLINK("https://docs.wto.org/imrd/directdoc.asp?DDFDocuments/v/G/TBTN21/RUS117.DOCX", "https://docs.wto.org/imrd/directdoc.asp?DDFDocuments/v/G/TBTN21/RUS117.DOCX")</f>
      </c>
      <c r="R198" s="0" t="s">
        <v>43</v>
      </c>
      <c r="S198" s="0" t="s">
        <v>42</v>
      </c>
      <c r="T198" s="0" t="s">
        <v>42</v>
      </c>
      <c r="U198" s="0" t="s">
        <v>42</v>
      </c>
      <c r="V198" s="0" t="s">
        <v>42</v>
      </c>
      <c r="W198" s="0" t="s">
        <v>42</v>
      </c>
      <c r="X198" s="0" t="s">
        <v>42</v>
      </c>
      <c r="Y198" s="2" t="s">
        <v>1017</v>
      </c>
      <c r="Z198" s="0" t="s">
        <v>36</v>
      </c>
      <c r="AA198" s="0" t="s">
        <v>36</v>
      </c>
      <c r="AB198" s="0" t="s">
        <v>36</v>
      </c>
      <c r="AC198" s="0" t="s">
        <v>36</v>
      </c>
      <c r="AD198" s="0" t="s">
        <v>36</v>
      </c>
      <c r="AE198" s="2" t="s">
        <v>36</v>
      </c>
    </row>
    <row r="199">
      <c r="A199" s="6" t="s">
        <v>31</v>
      </c>
      <c r="B199" s="7">
        <v>44313</v>
      </c>
      <c r="C199" s="9">
        <f>HYPERLINK("https://www.epingalert.org/en/Search?viewData= G/SPS/N/RUS/225"," G/SPS/N/RUS/225")</f>
      </c>
      <c r="D199" s="8" t="s">
        <v>1018</v>
      </c>
      <c r="E199" s="8" t="s">
        <v>1019</v>
      </c>
      <c r="F199" s="8" t="s">
        <v>324</v>
      </c>
      <c r="G199" s="8" t="s">
        <v>1020</v>
      </c>
      <c r="H199" s="8" t="s">
        <v>36</v>
      </c>
      <c r="I199" s="8" t="s">
        <v>37</v>
      </c>
      <c r="J199" s="8" t="s">
        <v>1021</v>
      </c>
      <c r="K199" s="6" t="s">
        <v>306</v>
      </c>
      <c r="L199" s="7" t="s">
        <v>36</v>
      </c>
      <c r="M199" s="6" t="s">
        <v>40</v>
      </c>
      <c r="N199" s="8" t="s">
        <v>1022</v>
      </c>
      <c r="O199" s="6">
        <f>HYPERLINK("https://docs.wto.org/imrd/directdoc.asp?DDFDocuments/t/G/SPS/NRUS225.DOCX", "https://docs.wto.org/imrd/directdoc.asp?DDFDocuments/t/G/SPS/NRUS225.DOCX")</f>
      </c>
      <c r="P199" s="6">
        <f>HYPERLINK("https://docs.wto.org/imrd/directdoc.asp?DDFDocuments/u/G/SPS/NRUS225.DOCX", "https://docs.wto.org/imrd/directdoc.asp?DDFDocuments/u/G/SPS/NRUS225.DOCX")</f>
      </c>
      <c r="Q199" s="6">
        <f>HYPERLINK("https://docs.wto.org/imrd/directdoc.asp?DDFDocuments/v/G/SPS/NRUS225.DOCX", "https://docs.wto.org/imrd/directdoc.asp?DDFDocuments/v/G/SPS/NRUS225.DOCX")</f>
      </c>
      <c r="R199" s="0" t="s">
        <v>36</v>
      </c>
      <c r="S199" s="0" t="s">
        <v>36</v>
      </c>
      <c r="T199" s="0" t="s">
        <v>36</v>
      </c>
      <c r="U199" s="0" t="s">
        <v>36</v>
      </c>
      <c r="V199" s="0" t="s">
        <v>36</v>
      </c>
      <c r="W199" s="0" t="s">
        <v>36</v>
      </c>
      <c r="X199" s="0" t="s">
        <v>36</v>
      </c>
      <c r="Y199" s="2" t="s">
        <v>36</v>
      </c>
      <c r="Z199" s="0" t="s">
        <v>42</v>
      </c>
      <c r="AA199" s="0" t="s">
        <v>43</v>
      </c>
      <c r="AB199" s="0" t="s">
        <v>42</v>
      </c>
      <c r="AC199" s="0" t="s">
        <v>42</v>
      </c>
      <c r="AD199" s="0" t="s">
        <v>43</v>
      </c>
      <c r="AE199" s="2" t="s">
        <v>36</v>
      </c>
    </row>
    <row r="200">
      <c r="A200" s="6" t="s">
        <v>31</v>
      </c>
      <c r="B200" s="7">
        <v>44313</v>
      </c>
      <c r="C200" s="9">
        <f>HYPERLINK("https://www.epingalert.org/en/Search?viewData= G/SPS/N/RUS/224"," G/SPS/N/RUS/224")</f>
      </c>
      <c r="D200" s="8" t="s">
        <v>1023</v>
      </c>
      <c r="E200" s="8" t="s">
        <v>1024</v>
      </c>
      <c r="F200" s="8" t="s">
        <v>923</v>
      </c>
      <c r="G200" s="8" t="s">
        <v>924</v>
      </c>
      <c r="H200" s="8" t="s">
        <v>36</v>
      </c>
      <c r="I200" s="8" t="s">
        <v>37</v>
      </c>
      <c r="J200" s="8" t="s">
        <v>965</v>
      </c>
      <c r="K200" s="6" t="s">
        <v>1025</v>
      </c>
      <c r="L200" s="7" t="s">
        <v>36</v>
      </c>
      <c r="M200" s="6" t="s">
        <v>40</v>
      </c>
      <c r="N200" s="8" t="s">
        <v>1026</v>
      </c>
      <c r="O200" s="6">
        <f>HYPERLINK("https://docs.wto.org/imrd/directdoc.asp?DDFDocuments/t/G/SPS/NRUS224.DOCX", "https://docs.wto.org/imrd/directdoc.asp?DDFDocuments/t/G/SPS/NRUS224.DOCX")</f>
      </c>
      <c r="P200" s="6">
        <f>HYPERLINK("https://docs.wto.org/imrd/directdoc.asp?DDFDocuments/u/G/SPS/NRUS224.DOCX", "https://docs.wto.org/imrd/directdoc.asp?DDFDocuments/u/G/SPS/NRUS224.DOCX")</f>
      </c>
      <c r="Q200" s="6">
        <f>HYPERLINK("https://docs.wto.org/imrd/directdoc.asp?DDFDocuments/v/G/SPS/NRUS224.DOCX", "https://docs.wto.org/imrd/directdoc.asp?DDFDocuments/v/G/SPS/NRUS224.DOCX")</f>
      </c>
      <c r="R200" s="0" t="s">
        <v>36</v>
      </c>
      <c r="S200" s="0" t="s">
        <v>36</v>
      </c>
      <c r="T200" s="0" t="s">
        <v>36</v>
      </c>
      <c r="U200" s="0" t="s">
        <v>36</v>
      </c>
      <c r="V200" s="0" t="s">
        <v>36</v>
      </c>
      <c r="W200" s="0" t="s">
        <v>36</v>
      </c>
      <c r="X200" s="0" t="s">
        <v>36</v>
      </c>
      <c r="Y200" s="2" t="s">
        <v>36</v>
      </c>
      <c r="Z200" s="0" t="s">
        <v>42</v>
      </c>
      <c r="AA200" s="0" t="s">
        <v>43</v>
      </c>
      <c r="AB200" s="0" t="s">
        <v>42</v>
      </c>
      <c r="AC200" s="0" t="s">
        <v>42</v>
      </c>
      <c r="AD200" s="0" t="s">
        <v>43</v>
      </c>
      <c r="AE200" s="2" t="s">
        <v>36</v>
      </c>
    </row>
    <row r="201">
      <c r="A201" s="6" t="s">
        <v>31</v>
      </c>
      <c r="B201" s="7">
        <v>44308</v>
      </c>
      <c r="C201" s="9">
        <f>HYPERLINK("https://www.epingalert.org/en/Search?viewData= G/TBT/N/RUS/116"," G/TBT/N/RUS/116")</f>
      </c>
      <c r="D201" s="8" t="s">
        <v>1027</v>
      </c>
      <c r="E201" s="8" t="s">
        <v>1028</v>
      </c>
      <c r="F201" s="8" t="s">
        <v>1029</v>
      </c>
      <c r="G201" s="8" t="s">
        <v>36</v>
      </c>
      <c r="H201" s="8" t="s">
        <v>564</v>
      </c>
      <c r="I201" s="8" t="s">
        <v>1030</v>
      </c>
      <c r="J201" s="8" t="s">
        <v>516</v>
      </c>
      <c r="K201" s="6"/>
      <c r="L201" s="7">
        <v>44371</v>
      </c>
      <c r="M201" s="6" t="s">
        <v>51</v>
      </c>
      <c r="N201" s="8" t="s">
        <v>1031</v>
      </c>
      <c r="O201" s="6">
        <f>HYPERLINK("https://docs.wto.org/imrd/directdoc.asp?DDFDocuments/t/G/TBTN21/RUS116.DOCX", "https://docs.wto.org/imrd/directdoc.asp?DDFDocuments/t/G/TBTN21/RUS116.DOCX")</f>
      </c>
      <c r="P201" s="6">
        <f>HYPERLINK("https://docs.wto.org/imrd/directdoc.asp?DDFDocuments/u/G/TBTN21/RUS116.DOCX", "https://docs.wto.org/imrd/directdoc.asp?DDFDocuments/u/G/TBTN21/RUS116.DOCX")</f>
      </c>
      <c r="Q201" s="6">
        <f>HYPERLINK("https://docs.wto.org/imrd/directdoc.asp?DDFDocuments/v/G/TBTN21/RUS116.DOCX", "https://docs.wto.org/imrd/directdoc.asp?DDFDocuments/v/G/TBTN21/RUS116.DOCX")</f>
      </c>
      <c r="R201" s="0" t="s">
        <v>43</v>
      </c>
      <c r="S201" s="0" t="s">
        <v>42</v>
      </c>
      <c r="T201" s="0" t="s">
        <v>42</v>
      </c>
      <c r="U201" s="0" t="s">
        <v>42</v>
      </c>
      <c r="V201" s="0" t="s">
        <v>42</v>
      </c>
      <c r="W201" s="0" t="s">
        <v>42</v>
      </c>
      <c r="X201" s="0" t="s">
        <v>42</v>
      </c>
      <c r="Y201" s="2" t="s">
        <v>1032</v>
      </c>
      <c r="Z201" s="0" t="s">
        <v>36</v>
      </c>
      <c r="AA201" s="0" t="s">
        <v>36</v>
      </c>
      <c r="AB201" s="0" t="s">
        <v>36</v>
      </c>
      <c r="AC201" s="0" t="s">
        <v>36</v>
      </c>
      <c r="AD201" s="0" t="s">
        <v>36</v>
      </c>
      <c r="AE201" s="2" t="s">
        <v>36</v>
      </c>
    </row>
    <row r="202">
      <c r="A202" s="6" t="s">
        <v>31</v>
      </c>
      <c r="B202" s="7">
        <v>44305</v>
      </c>
      <c r="C202" s="9">
        <f>HYPERLINK("https://www.epingalert.org/en/Search?viewData= G/TBT/N/RUS/114"," G/TBT/N/RUS/114")</f>
      </c>
      <c r="D202" s="8" t="s">
        <v>1033</v>
      </c>
      <c r="E202" s="8" t="s">
        <v>1034</v>
      </c>
      <c r="F202" s="8" t="s">
        <v>1035</v>
      </c>
      <c r="G202" s="8" t="s">
        <v>1036</v>
      </c>
      <c r="H202" s="8" t="s">
        <v>1037</v>
      </c>
      <c r="I202" s="8" t="s">
        <v>1038</v>
      </c>
      <c r="J202" s="8" t="s">
        <v>120</v>
      </c>
      <c r="K202" s="6"/>
      <c r="L202" s="7">
        <v>44389</v>
      </c>
      <c r="M202" s="6" t="s">
        <v>51</v>
      </c>
      <c r="N202" s="8" t="s">
        <v>1039</v>
      </c>
      <c r="O202" s="6">
        <f>HYPERLINK("https://docs.wto.org/imrd/directdoc.asp?DDFDocuments/t/G/TBTN21/RUS114.DOCX", "https://docs.wto.org/imrd/directdoc.asp?DDFDocuments/t/G/TBTN21/RUS114.DOCX")</f>
      </c>
      <c r="P202" s="6">
        <f>HYPERLINK("https://docs.wto.org/imrd/directdoc.asp?DDFDocuments/u/G/TBTN21/RUS114.DOCX", "https://docs.wto.org/imrd/directdoc.asp?DDFDocuments/u/G/TBTN21/RUS114.DOCX")</f>
      </c>
      <c r="Q202" s="6">
        <f>HYPERLINK("https://docs.wto.org/imrd/directdoc.asp?DDFDocuments/v/G/TBTN21/RUS114.DOCX", "https://docs.wto.org/imrd/directdoc.asp?DDFDocuments/v/G/TBTN21/RUS114.DOCX")</f>
      </c>
      <c r="R202" s="0" t="s">
        <v>43</v>
      </c>
      <c r="S202" s="0" t="s">
        <v>42</v>
      </c>
      <c r="T202" s="0" t="s">
        <v>42</v>
      </c>
      <c r="U202" s="0" t="s">
        <v>42</v>
      </c>
      <c r="V202" s="0" t="s">
        <v>42</v>
      </c>
      <c r="W202" s="0" t="s">
        <v>42</v>
      </c>
      <c r="X202" s="0" t="s">
        <v>42</v>
      </c>
      <c r="Y202" s="2" t="s">
        <v>1040</v>
      </c>
      <c r="Z202" s="0" t="s">
        <v>36</v>
      </c>
      <c r="AA202" s="0" t="s">
        <v>36</v>
      </c>
      <c r="AB202" s="0" t="s">
        <v>36</v>
      </c>
      <c r="AC202" s="0" t="s">
        <v>36</v>
      </c>
      <c r="AD202" s="0" t="s">
        <v>36</v>
      </c>
      <c r="AE202" s="2" t="s">
        <v>36</v>
      </c>
    </row>
    <row r="203">
      <c r="A203" s="6" t="s">
        <v>31</v>
      </c>
      <c r="B203" s="7">
        <v>44305</v>
      </c>
      <c r="C203" s="9">
        <f>HYPERLINK("https://www.epingalert.org/en/Search?viewData= G/TBT/N/RUS/115"," G/TBT/N/RUS/115")</f>
      </c>
      <c r="D203" s="8" t="s">
        <v>1041</v>
      </c>
      <c r="E203" s="8" t="s">
        <v>1042</v>
      </c>
      <c r="F203" s="8" t="s">
        <v>1043</v>
      </c>
      <c r="G203" s="8" t="s">
        <v>36</v>
      </c>
      <c r="H203" s="8" t="s">
        <v>735</v>
      </c>
      <c r="I203" s="8" t="s">
        <v>164</v>
      </c>
      <c r="J203" s="8" t="s">
        <v>36</v>
      </c>
      <c r="K203" s="6"/>
      <c r="L203" s="7">
        <v>44392</v>
      </c>
      <c r="M203" s="6" t="s">
        <v>51</v>
      </c>
      <c r="N203" s="8" t="s">
        <v>1044</v>
      </c>
      <c r="O203" s="6">
        <f>HYPERLINK("https://docs.wto.org/imrd/directdoc.asp?DDFDocuments/t/G/TBTN21/RUS115.DOCX", "https://docs.wto.org/imrd/directdoc.asp?DDFDocuments/t/G/TBTN21/RUS115.DOCX")</f>
      </c>
      <c r="P203" s="6">
        <f>HYPERLINK("https://docs.wto.org/imrd/directdoc.asp?DDFDocuments/u/G/TBTN21/RUS115.DOCX", "https://docs.wto.org/imrd/directdoc.asp?DDFDocuments/u/G/TBTN21/RUS115.DOCX")</f>
      </c>
      <c r="Q203" s="6">
        <f>HYPERLINK("https://docs.wto.org/imrd/directdoc.asp?DDFDocuments/v/G/TBTN21/RUS115.DOCX", "https://docs.wto.org/imrd/directdoc.asp?DDFDocuments/v/G/TBTN21/RUS115.DOCX")</f>
      </c>
      <c r="R203" s="0" t="s">
        <v>43</v>
      </c>
      <c r="S203" s="0" t="s">
        <v>42</v>
      </c>
      <c r="T203" s="0" t="s">
        <v>42</v>
      </c>
      <c r="U203" s="0" t="s">
        <v>42</v>
      </c>
      <c r="V203" s="0" t="s">
        <v>42</v>
      </c>
      <c r="W203" s="0" t="s">
        <v>42</v>
      </c>
      <c r="X203" s="0" t="s">
        <v>42</v>
      </c>
      <c r="Y203" s="2" t="s">
        <v>1045</v>
      </c>
      <c r="Z203" s="0" t="s">
        <v>36</v>
      </c>
      <c r="AA203" s="0" t="s">
        <v>36</v>
      </c>
      <c r="AB203" s="0" t="s">
        <v>36</v>
      </c>
      <c r="AC203" s="0" t="s">
        <v>36</v>
      </c>
      <c r="AD203" s="0" t="s">
        <v>36</v>
      </c>
      <c r="AE203" s="2" t="s">
        <v>36</v>
      </c>
    </row>
    <row r="204">
      <c r="A204" s="6" t="s">
        <v>31</v>
      </c>
      <c r="B204" s="7">
        <v>44302</v>
      </c>
      <c r="C204" s="9">
        <f>HYPERLINK("https://www.epingalert.org/en/Search?viewData= G/TBT/N/RUS/113"," G/TBT/N/RUS/113")</f>
      </c>
      <c r="D204" s="8" t="s">
        <v>1046</v>
      </c>
      <c r="E204" s="8" t="s">
        <v>1047</v>
      </c>
      <c r="F204" s="8" t="s">
        <v>563</v>
      </c>
      <c r="G204" s="8" t="s">
        <v>36</v>
      </c>
      <c r="H204" s="8" t="s">
        <v>36</v>
      </c>
      <c r="I204" s="8" t="s">
        <v>796</v>
      </c>
      <c r="J204" s="8" t="s">
        <v>516</v>
      </c>
      <c r="K204" s="6"/>
      <c r="L204" s="7">
        <v>44371</v>
      </c>
      <c r="M204" s="6" t="s">
        <v>51</v>
      </c>
      <c r="N204" s="8" t="s">
        <v>1031</v>
      </c>
      <c r="O204" s="6">
        <f>HYPERLINK("https://docs.wto.org/imrd/directdoc.asp?DDFDocuments/t/G/TBTN21/RUS113.DOCX", "https://docs.wto.org/imrd/directdoc.asp?DDFDocuments/t/G/TBTN21/RUS113.DOCX")</f>
      </c>
      <c r="P204" s="6">
        <f>HYPERLINK("https://docs.wto.org/imrd/directdoc.asp?DDFDocuments/u/G/TBTN21/RUS113.DOCX", "https://docs.wto.org/imrd/directdoc.asp?DDFDocuments/u/G/TBTN21/RUS113.DOCX")</f>
      </c>
      <c r="Q204" s="6">
        <f>HYPERLINK("https://docs.wto.org/imrd/directdoc.asp?DDFDocuments/v/G/TBTN21/RUS113.DOCX", "https://docs.wto.org/imrd/directdoc.asp?DDFDocuments/v/G/TBTN21/RUS113.DOCX")</f>
      </c>
      <c r="R204" s="0" t="s">
        <v>43</v>
      </c>
      <c r="S204" s="0" t="s">
        <v>42</v>
      </c>
      <c r="T204" s="0" t="s">
        <v>42</v>
      </c>
      <c r="U204" s="0" t="s">
        <v>42</v>
      </c>
      <c r="V204" s="0" t="s">
        <v>42</v>
      </c>
      <c r="W204" s="0" t="s">
        <v>42</v>
      </c>
      <c r="X204" s="0" t="s">
        <v>42</v>
      </c>
      <c r="Y204" s="2" t="s">
        <v>1048</v>
      </c>
      <c r="Z204" s="0" t="s">
        <v>36</v>
      </c>
      <c r="AA204" s="0" t="s">
        <v>36</v>
      </c>
      <c r="AB204" s="0" t="s">
        <v>36</v>
      </c>
      <c r="AC204" s="0" t="s">
        <v>36</v>
      </c>
      <c r="AD204" s="0" t="s">
        <v>36</v>
      </c>
      <c r="AE204" s="2" t="s">
        <v>36</v>
      </c>
    </row>
    <row r="205">
      <c r="A205" s="6" t="s">
        <v>31</v>
      </c>
      <c r="B205" s="7">
        <v>44300</v>
      </c>
      <c r="C205" s="9">
        <f>HYPERLINK("https://www.epingalert.org/en/Search?viewData= G/SPS/N/RUS/223"," G/SPS/N/RUS/223")</f>
      </c>
      <c r="D205" s="8" t="s">
        <v>1049</v>
      </c>
      <c r="E205" s="8" t="s">
        <v>1050</v>
      </c>
      <c r="F205" s="8" t="s">
        <v>1051</v>
      </c>
      <c r="G205" s="8" t="s">
        <v>1052</v>
      </c>
      <c r="H205" s="8" t="s">
        <v>36</v>
      </c>
      <c r="I205" s="8" t="s">
        <v>37</v>
      </c>
      <c r="J205" s="8" t="s">
        <v>1053</v>
      </c>
      <c r="K205" s="6" t="s">
        <v>966</v>
      </c>
      <c r="L205" s="7" t="s">
        <v>36</v>
      </c>
      <c r="M205" s="6" t="s">
        <v>40</v>
      </c>
      <c r="N205" s="8" t="s">
        <v>1054</v>
      </c>
      <c r="O205" s="6">
        <f>HYPERLINK("https://docs.wto.org/imrd/directdoc.asp?DDFDocuments/t/G/SPS/NRUS223.DOCX", "https://docs.wto.org/imrd/directdoc.asp?DDFDocuments/t/G/SPS/NRUS223.DOCX")</f>
      </c>
      <c r="P205" s="6">
        <f>HYPERLINK("https://docs.wto.org/imrd/directdoc.asp?DDFDocuments/u/G/SPS/NRUS223.DOCX", "https://docs.wto.org/imrd/directdoc.asp?DDFDocuments/u/G/SPS/NRUS223.DOCX")</f>
      </c>
      <c r="Q205" s="6">
        <f>HYPERLINK("https://docs.wto.org/imrd/directdoc.asp?DDFDocuments/v/G/SPS/NRUS223.DOCX", "https://docs.wto.org/imrd/directdoc.asp?DDFDocuments/v/G/SPS/NRUS223.DOCX")</f>
      </c>
      <c r="R205" s="0" t="s">
        <v>36</v>
      </c>
      <c r="S205" s="0" t="s">
        <v>36</v>
      </c>
      <c r="T205" s="0" t="s">
        <v>36</v>
      </c>
      <c r="U205" s="0" t="s">
        <v>36</v>
      </c>
      <c r="V205" s="0" t="s">
        <v>36</v>
      </c>
      <c r="W205" s="0" t="s">
        <v>36</v>
      </c>
      <c r="X205" s="0" t="s">
        <v>36</v>
      </c>
      <c r="Y205" s="2" t="s">
        <v>36</v>
      </c>
      <c r="Z205" s="0" t="s">
        <v>42</v>
      </c>
      <c r="AA205" s="0" t="s">
        <v>43</v>
      </c>
      <c r="AB205" s="0" t="s">
        <v>42</v>
      </c>
      <c r="AC205" s="0" t="s">
        <v>42</v>
      </c>
      <c r="AD205" s="0" t="s">
        <v>43</v>
      </c>
      <c r="AE205" s="2" t="s">
        <v>36</v>
      </c>
    </row>
    <row r="206">
      <c r="A206" s="6" t="s">
        <v>31</v>
      </c>
      <c r="B206" s="7">
        <v>44298</v>
      </c>
      <c r="C206" s="9">
        <f>HYPERLINK("https://www.epingalert.org/en/Search?viewData= G/TBT/N/RUS/112"," G/TBT/N/RUS/112")</f>
      </c>
      <c r="D206" s="8" t="s">
        <v>1055</v>
      </c>
      <c r="E206" s="8" t="s">
        <v>1056</v>
      </c>
      <c r="F206" s="8" t="s">
        <v>1057</v>
      </c>
      <c r="G206" s="8" t="s">
        <v>36</v>
      </c>
      <c r="H206" s="8" t="s">
        <v>1058</v>
      </c>
      <c r="I206" s="8" t="s">
        <v>265</v>
      </c>
      <c r="J206" s="8" t="s">
        <v>1059</v>
      </c>
      <c r="K206" s="6"/>
      <c r="L206" s="7">
        <v>44370</v>
      </c>
      <c r="M206" s="6" t="s">
        <v>51</v>
      </c>
      <c r="N206" s="8" t="s">
        <v>1060</v>
      </c>
      <c r="O206" s="6">
        <f>HYPERLINK("https://docs.wto.org/imrd/directdoc.asp?DDFDocuments/t/G/TBTN21/RUS112.DOCX", "https://docs.wto.org/imrd/directdoc.asp?DDFDocuments/t/G/TBTN21/RUS112.DOCX")</f>
      </c>
      <c r="P206" s="6">
        <f>HYPERLINK("https://docs.wto.org/imrd/directdoc.asp?DDFDocuments/u/G/TBTN21/RUS112.DOCX", "https://docs.wto.org/imrd/directdoc.asp?DDFDocuments/u/G/TBTN21/RUS112.DOCX")</f>
      </c>
      <c r="Q206" s="6">
        <f>HYPERLINK("https://docs.wto.org/imrd/directdoc.asp?DDFDocuments/v/G/TBTN21/RUS112.DOCX", "https://docs.wto.org/imrd/directdoc.asp?DDFDocuments/v/G/TBTN21/RUS112.DOCX")</f>
      </c>
      <c r="R206" s="0" t="s">
        <v>43</v>
      </c>
      <c r="S206" s="0" t="s">
        <v>42</v>
      </c>
      <c r="T206" s="0" t="s">
        <v>42</v>
      </c>
      <c r="U206" s="0" t="s">
        <v>42</v>
      </c>
      <c r="V206" s="0" t="s">
        <v>42</v>
      </c>
      <c r="W206" s="0" t="s">
        <v>42</v>
      </c>
      <c r="X206" s="0" t="s">
        <v>42</v>
      </c>
      <c r="Y206" s="2" t="s">
        <v>1061</v>
      </c>
      <c r="Z206" s="0" t="s">
        <v>36</v>
      </c>
      <c r="AA206" s="0" t="s">
        <v>36</v>
      </c>
      <c r="AB206" s="0" t="s">
        <v>36</v>
      </c>
      <c r="AC206" s="0" t="s">
        <v>36</v>
      </c>
      <c r="AD206" s="0" t="s">
        <v>36</v>
      </c>
      <c r="AE206" s="2" t="s">
        <v>36</v>
      </c>
    </row>
    <row r="207">
      <c r="A207" s="6" t="s">
        <v>31</v>
      </c>
      <c r="B207" s="7">
        <v>44293</v>
      </c>
      <c r="C207" s="9">
        <f>HYPERLINK("https://www.epingalert.org/en/Search?viewData= G/SPS/N/RUS/221"," G/SPS/N/RUS/221")</f>
      </c>
      <c r="D207" s="8" t="s">
        <v>1062</v>
      </c>
      <c r="E207" s="8" t="s">
        <v>1063</v>
      </c>
      <c r="F207" s="8" t="s">
        <v>1064</v>
      </c>
      <c r="G207" s="8" t="s">
        <v>1065</v>
      </c>
      <c r="H207" s="8" t="s">
        <v>36</v>
      </c>
      <c r="I207" s="8" t="s">
        <v>37</v>
      </c>
      <c r="J207" s="8" t="s">
        <v>435</v>
      </c>
      <c r="K207" s="6" t="s">
        <v>1066</v>
      </c>
      <c r="L207" s="7" t="s">
        <v>36</v>
      </c>
      <c r="M207" s="6" t="s">
        <v>40</v>
      </c>
      <c r="N207" s="8" t="s">
        <v>1067</v>
      </c>
      <c r="O207" s="6">
        <f>HYPERLINK("https://docs.wto.org/imrd/directdoc.asp?DDFDocuments/t/G/SPS/NRUS221.DOCX", "https://docs.wto.org/imrd/directdoc.asp?DDFDocuments/t/G/SPS/NRUS221.DOCX")</f>
      </c>
      <c r="P207" s="6">
        <f>HYPERLINK("https://docs.wto.org/imrd/directdoc.asp?DDFDocuments/u/G/SPS/NRUS221.DOCX", "https://docs.wto.org/imrd/directdoc.asp?DDFDocuments/u/G/SPS/NRUS221.DOCX")</f>
      </c>
      <c r="Q207" s="6">
        <f>HYPERLINK("https://docs.wto.org/imrd/directdoc.asp?DDFDocuments/v/G/SPS/NRUS221.DOCX", "https://docs.wto.org/imrd/directdoc.asp?DDFDocuments/v/G/SPS/NRUS221.DOCX")</f>
      </c>
      <c r="R207" s="0" t="s">
        <v>36</v>
      </c>
      <c r="S207" s="0" t="s">
        <v>36</v>
      </c>
      <c r="T207" s="0" t="s">
        <v>36</v>
      </c>
      <c r="U207" s="0" t="s">
        <v>36</v>
      </c>
      <c r="V207" s="0" t="s">
        <v>36</v>
      </c>
      <c r="W207" s="0" t="s">
        <v>36</v>
      </c>
      <c r="X207" s="0" t="s">
        <v>36</v>
      </c>
      <c r="Y207" s="2" t="s">
        <v>36</v>
      </c>
      <c r="Z207" s="0" t="s">
        <v>42</v>
      </c>
      <c r="AA207" s="0" t="s">
        <v>43</v>
      </c>
      <c r="AB207" s="0" t="s">
        <v>42</v>
      </c>
      <c r="AC207" s="0" t="s">
        <v>42</v>
      </c>
      <c r="AD207" s="0" t="s">
        <v>43</v>
      </c>
      <c r="AE207" s="2" t="s">
        <v>36</v>
      </c>
    </row>
    <row r="208">
      <c r="A208" s="6" t="s">
        <v>31</v>
      </c>
      <c r="B208" s="7">
        <v>44293</v>
      </c>
      <c r="C208" s="9">
        <f>HYPERLINK("https://www.epingalert.org/en/Search?viewData= G/SPS/N/RUS/222"," G/SPS/N/RUS/222")</f>
      </c>
      <c r="D208" s="8" t="s">
        <v>1068</v>
      </c>
      <c r="E208" s="8" t="s">
        <v>1069</v>
      </c>
      <c r="F208" s="8" t="s">
        <v>1070</v>
      </c>
      <c r="G208" s="8" t="s">
        <v>1071</v>
      </c>
      <c r="H208" s="8" t="s">
        <v>36</v>
      </c>
      <c r="I208" s="8" t="s">
        <v>37</v>
      </c>
      <c r="J208" s="8" t="s">
        <v>278</v>
      </c>
      <c r="K208" s="6" t="s">
        <v>1072</v>
      </c>
      <c r="L208" s="7" t="s">
        <v>36</v>
      </c>
      <c r="M208" s="6" t="s">
        <v>40</v>
      </c>
      <c r="N208" s="8" t="s">
        <v>1073</v>
      </c>
      <c r="O208" s="6">
        <f>HYPERLINK("https://docs.wto.org/imrd/directdoc.asp?DDFDocuments/t/G/SPS/NRUS222.DOCX", "https://docs.wto.org/imrd/directdoc.asp?DDFDocuments/t/G/SPS/NRUS222.DOCX")</f>
      </c>
      <c r="P208" s="6">
        <f>HYPERLINK("https://docs.wto.org/imrd/directdoc.asp?DDFDocuments/u/G/SPS/NRUS222.DOCX", "https://docs.wto.org/imrd/directdoc.asp?DDFDocuments/u/G/SPS/NRUS222.DOCX")</f>
      </c>
      <c r="Q208" s="6">
        <f>HYPERLINK("https://docs.wto.org/imrd/directdoc.asp?DDFDocuments/v/G/SPS/NRUS222.DOCX", "https://docs.wto.org/imrd/directdoc.asp?DDFDocuments/v/G/SPS/NRUS222.DOCX")</f>
      </c>
      <c r="R208" s="0" t="s">
        <v>36</v>
      </c>
      <c r="S208" s="0" t="s">
        <v>36</v>
      </c>
      <c r="T208" s="0" t="s">
        <v>36</v>
      </c>
      <c r="U208" s="0" t="s">
        <v>36</v>
      </c>
      <c r="V208" s="0" t="s">
        <v>36</v>
      </c>
      <c r="W208" s="0" t="s">
        <v>36</v>
      </c>
      <c r="X208" s="0" t="s">
        <v>36</v>
      </c>
      <c r="Y208" s="2" t="s">
        <v>36</v>
      </c>
      <c r="Z208" s="0" t="s">
        <v>42</v>
      </c>
      <c r="AA208" s="0" t="s">
        <v>43</v>
      </c>
      <c r="AB208" s="0" t="s">
        <v>42</v>
      </c>
      <c r="AC208" s="0" t="s">
        <v>42</v>
      </c>
      <c r="AD208" s="0" t="s">
        <v>43</v>
      </c>
      <c r="AE208" s="2" t="s">
        <v>36</v>
      </c>
    </row>
    <row r="209">
      <c r="A209" s="6" t="s">
        <v>31</v>
      </c>
      <c r="B209" s="7">
        <v>44293</v>
      </c>
      <c r="C209" s="9">
        <f>HYPERLINK("https://www.epingalert.org/en/Search?viewData= G/SPS/N/RUS/206/Add.7"," G/SPS/N/RUS/206/Add.7")</f>
      </c>
      <c r="D209" s="8" t="s">
        <v>1074</v>
      </c>
      <c r="E209" s="8" t="s">
        <v>1075</v>
      </c>
      <c r="F209" s="8"/>
      <c r="G209" s="8" t="s">
        <v>1076</v>
      </c>
      <c r="H209" s="8" t="s">
        <v>36</v>
      </c>
      <c r="I209" s="8" t="s">
        <v>332</v>
      </c>
      <c r="J209" s="8" t="s">
        <v>1077</v>
      </c>
      <c r="K209" s="6"/>
      <c r="L209" s="7" t="s">
        <v>36</v>
      </c>
      <c r="M209" s="6" t="s">
        <v>179</v>
      </c>
      <c r="N209" s="6"/>
      <c r="O209" s="6">
        <f>HYPERLINK("https://docs.wto.org/imrd/directdoc.asp?DDFDocuments/t/G/SPS/NRUS206A7.DOCX", "https://docs.wto.org/imrd/directdoc.asp?DDFDocuments/t/G/SPS/NRUS206A7.DOCX")</f>
      </c>
      <c r="P209" s="6">
        <f>HYPERLINK("https://docs.wto.org/imrd/directdoc.asp?DDFDocuments/u/G/SPS/NRUS206A7.DOCX", "https://docs.wto.org/imrd/directdoc.asp?DDFDocuments/u/G/SPS/NRUS206A7.DOCX")</f>
      </c>
      <c r="Q209" s="6">
        <f>HYPERLINK("https://docs.wto.org/imrd/directdoc.asp?DDFDocuments/v/G/SPS/NRUS206A7.DOCX", "https://docs.wto.org/imrd/directdoc.asp?DDFDocuments/v/G/SPS/NRUS206A7.DOCX")</f>
      </c>
      <c r="R209" s="0" t="s">
        <v>36</v>
      </c>
      <c r="S209" s="0" t="s">
        <v>36</v>
      </c>
      <c r="T209" s="0" t="s">
        <v>36</v>
      </c>
      <c r="U209" s="0" t="s">
        <v>36</v>
      </c>
      <c r="V209" s="0" t="s">
        <v>36</v>
      </c>
      <c r="W209" s="0" t="s">
        <v>36</v>
      </c>
      <c r="X209" s="0" t="s">
        <v>36</v>
      </c>
      <c r="Y209" s="2" t="s">
        <v>36</v>
      </c>
      <c r="Z209" s="0" t="s">
        <v>36</v>
      </c>
      <c r="AA209" s="0" t="s">
        <v>36</v>
      </c>
      <c r="AB209" s="0" t="s">
        <v>36</v>
      </c>
      <c r="AC209" s="0" t="s">
        <v>36</v>
      </c>
      <c r="AD209" s="0" t="s">
        <v>36</v>
      </c>
      <c r="AE209" s="2" t="s">
        <v>36</v>
      </c>
    </row>
    <row r="210">
      <c r="A210" s="6" t="s">
        <v>31</v>
      </c>
      <c r="B210" s="7">
        <v>44292</v>
      </c>
      <c r="C210" s="9">
        <f>HYPERLINK("https://www.epingalert.org/en/Search?viewData= G/SPS/N/RUS/219"," G/SPS/N/RUS/219")</f>
      </c>
      <c r="D210" s="8" t="s">
        <v>1078</v>
      </c>
      <c r="E210" s="8" t="s">
        <v>1079</v>
      </c>
      <c r="F210" s="8" t="s">
        <v>1080</v>
      </c>
      <c r="G210" s="8" t="s">
        <v>1081</v>
      </c>
      <c r="H210" s="8" t="s">
        <v>36</v>
      </c>
      <c r="I210" s="8" t="s">
        <v>505</v>
      </c>
      <c r="J210" s="8" t="s">
        <v>1082</v>
      </c>
      <c r="K210" s="6"/>
      <c r="L210" s="7">
        <v>44352</v>
      </c>
      <c r="M210" s="6" t="s">
        <v>51</v>
      </c>
      <c r="N210" s="8" t="s">
        <v>1083</v>
      </c>
      <c r="O210" s="6">
        <f>HYPERLINK("https://docs.wto.org/imrd/directdoc.asp?DDFDocuments/t/G/SPS/NRUS219.DOCX", "https://docs.wto.org/imrd/directdoc.asp?DDFDocuments/t/G/SPS/NRUS219.DOCX")</f>
      </c>
      <c r="P210" s="6">
        <f>HYPERLINK("https://docs.wto.org/imrd/directdoc.asp?DDFDocuments/u/G/SPS/NRUS219.DOCX", "https://docs.wto.org/imrd/directdoc.asp?DDFDocuments/u/G/SPS/NRUS219.DOCX")</f>
      </c>
      <c r="Q210" s="6">
        <f>HYPERLINK("https://docs.wto.org/imrd/directdoc.asp?DDFDocuments/v/G/SPS/NRUS219.DOCX", "https://docs.wto.org/imrd/directdoc.asp?DDFDocuments/v/G/SPS/NRUS219.DOCX")</f>
      </c>
      <c r="R210" s="0" t="s">
        <v>36</v>
      </c>
      <c r="S210" s="0" t="s">
        <v>36</v>
      </c>
      <c r="T210" s="0" t="s">
        <v>36</v>
      </c>
      <c r="U210" s="0" t="s">
        <v>36</v>
      </c>
      <c r="V210" s="0" t="s">
        <v>36</v>
      </c>
      <c r="W210" s="0" t="s">
        <v>36</v>
      </c>
      <c r="X210" s="0" t="s">
        <v>36</v>
      </c>
      <c r="Y210" s="2" t="s">
        <v>36</v>
      </c>
      <c r="Z210" s="0" t="s">
        <v>42</v>
      </c>
      <c r="AA210" s="0" t="s">
        <v>42</v>
      </c>
      <c r="AB210" s="0" t="s">
        <v>43</v>
      </c>
      <c r="AC210" s="0" t="s">
        <v>42</v>
      </c>
      <c r="AD210" s="0" t="s">
        <v>43</v>
      </c>
      <c r="AE210" s="2" t="s">
        <v>36</v>
      </c>
    </row>
    <row r="211">
      <c r="A211" s="6" t="s">
        <v>31</v>
      </c>
      <c r="B211" s="7">
        <v>44292</v>
      </c>
      <c r="C211" s="9">
        <f>HYPERLINK("https://www.epingalert.org/en/Search?viewData= G/SPS/N/RUS/220"," G/SPS/N/RUS/220")</f>
      </c>
      <c r="D211" s="8" t="s">
        <v>1084</v>
      </c>
      <c r="E211" s="8" t="s">
        <v>1085</v>
      </c>
      <c r="F211" s="8" t="s">
        <v>408</v>
      </c>
      <c r="G211" s="8" t="s">
        <v>36</v>
      </c>
      <c r="H211" s="8" t="s">
        <v>36</v>
      </c>
      <c r="I211" s="8" t="s">
        <v>505</v>
      </c>
      <c r="J211" s="8" t="s">
        <v>1086</v>
      </c>
      <c r="K211" s="6"/>
      <c r="L211" s="7">
        <v>44352</v>
      </c>
      <c r="M211" s="6" t="s">
        <v>51</v>
      </c>
      <c r="N211" s="8" t="s">
        <v>1087</v>
      </c>
      <c r="O211" s="6">
        <f>HYPERLINK("https://docs.wto.org/imrd/directdoc.asp?DDFDocuments/t/G/SPS/NRUS220.DOCX", "https://docs.wto.org/imrd/directdoc.asp?DDFDocuments/t/G/SPS/NRUS220.DOCX")</f>
      </c>
      <c r="P211" s="6">
        <f>HYPERLINK("https://docs.wto.org/imrd/directdoc.asp?DDFDocuments/u/G/SPS/NRUS220.DOCX", "https://docs.wto.org/imrd/directdoc.asp?DDFDocuments/u/G/SPS/NRUS220.DOCX")</f>
      </c>
      <c r="Q211" s="6">
        <f>HYPERLINK("https://docs.wto.org/imrd/directdoc.asp?DDFDocuments/v/G/SPS/NRUS220.DOCX", "https://docs.wto.org/imrd/directdoc.asp?DDFDocuments/v/G/SPS/NRUS220.DOCX")</f>
      </c>
      <c r="R211" s="0" t="s">
        <v>36</v>
      </c>
      <c r="S211" s="0" t="s">
        <v>36</v>
      </c>
      <c r="T211" s="0" t="s">
        <v>36</v>
      </c>
      <c r="U211" s="0" t="s">
        <v>36</v>
      </c>
      <c r="V211" s="0" t="s">
        <v>36</v>
      </c>
      <c r="W211" s="0" t="s">
        <v>36</v>
      </c>
      <c r="X211" s="0" t="s">
        <v>36</v>
      </c>
      <c r="Y211" s="2" t="s">
        <v>36</v>
      </c>
      <c r="Z211" s="0" t="s">
        <v>42</v>
      </c>
      <c r="AA211" s="0" t="s">
        <v>42</v>
      </c>
      <c r="AB211" s="0" t="s">
        <v>43</v>
      </c>
      <c r="AC211" s="0" t="s">
        <v>42</v>
      </c>
      <c r="AD211" s="0" t="s">
        <v>43</v>
      </c>
      <c r="AE211" s="2" t="s">
        <v>36</v>
      </c>
    </row>
    <row r="212">
      <c r="A212" s="6" t="s">
        <v>31</v>
      </c>
      <c r="B212" s="7">
        <v>44277</v>
      </c>
      <c r="C212" s="9">
        <f>HYPERLINK("https://www.epingalert.org/en/Search?viewData= G/SPS/N/RUS/217"," G/SPS/N/RUS/217")</f>
      </c>
      <c r="D212" s="8" t="s">
        <v>1088</v>
      </c>
      <c r="E212" s="8" t="s">
        <v>1089</v>
      </c>
      <c r="F212" s="8" t="s">
        <v>1090</v>
      </c>
      <c r="G212" s="8" t="s">
        <v>1091</v>
      </c>
      <c r="H212" s="8" t="s">
        <v>36</v>
      </c>
      <c r="I212" s="8" t="s">
        <v>37</v>
      </c>
      <c r="J212" s="8" t="s">
        <v>1092</v>
      </c>
      <c r="K212" s="6"/>
      <c r="L212" s="7">
        <v>44337</v>
      </c>
      <c r="M212" s="6" t="s">
        <v>51</v>
      </c>
      <c r="N212" s="8" t="s">
        <v>1093</v>
      </c>
      <c r="O212" s="6">
        <f>HYPERLINK("https://docs.wto.org/imrd/directdoc.asp?DDFDocuments/t/G/SPS/NRUS217.DOCX", "https://docs.wto.org/imrd/directdoc.asp?DDFDocuments/t/G/SPS/NRUS217.DOCX")</f>
      </c>
      <c r="P212" s="6">
        <f>HYPERLINK("https://docs.wto.org/imrd/directdoc.asp?DDFDocuments/u/G/SPS/NRUS217.DOCX", "https://docs.wto.org/imrd/directdoc.asp?DDFDocuments/u/G/SPS/NRUS217.DOCX")</f>
      </c>
      <c r="Q212" s="6">
        <f>HYPERLINK("https://docs.wto.org/imrd/directdoc.asp?DDFDocuments/v/G/SPS/NRUS217.DOCX", "https://docs.wto.org/imrd/directdoc.asp?DDFDocuments/v/G/SPS/NRUS217.DOCX")</f>
      </c>
      <c r="R212" s="0" t="s">
        <v>36</v>
      </c>
      <c r="S212" s="0" t="s">
        <v>36</v>
      </c>
      <c r="T212" s="0" t="s">
        <v>36</v>
      </c>
      <c r="U212" s="0" t="s">
        <v>36</v>
      </c>
      <c r="V212" s="0" t="s">
        <v>36</v>
      </c>
      <c r="W212" s="0" t="s">
        <v>36</v>
      </c>
      <c r="X212" s="0" t="s">
        <v>36</v>
      </c>
      <c r="Y212" s="2" t="s">
        <v>36</v>
      </c>
      <c r="Z212" s="0" t="s">
        <v>42</v>
      </c>
      <c r="AA212" s="0" t="s">
        <v>43</v>
      </c>
      <c r="AB212" s="0" t="s">
        <v>42</v>
      </c>
      <c r="AC212" s="0" t="s">
        <v>42</v>
      </c>
      <c r="AD212" s="0" t="s">
        <v>43</v>
      </c>
      <c r="AE212" s="2" t="s">
        <v>36</v>
      </c>
    </row>
    <row r="213">
      <c r="A213" s="6" t="s">
        <v>31</v>
      </c>
      <c r="B213" s="7">
        <v>44277</v>
      </c>
      <c r="C213" s="9">
        <f>HYPERLINK("https://www.epingalert.org/en/Search?viewData= G/SPS/N/RUS/218"," G/SPS/N/RUS/218")</f>
      </c>
      <c r="D213" s="8" t="s">
        <v>1094</v>
      </c>
      <c r="E213" s="8" t="s">
        <v>1095</v>
      </c>
      <c r="F213" s="8" t="s">
        <v>1096</v>
      </c>
      <c r="G213" s="8" t="s">
        <v>1097</v>
      </c>
      <c r="H213" s="8" t="s">
        <v>36</v>
      </c>
      <c r="I213" s="8" t="s">
        <v>37</v>
      </c>
      <c r="J213" s="8" t="s">
        <v>1098</v>
      </c>
      <c r="K213" s="6"/>
      <c r="L213" s="7">
        <v>44337</v>
      </c>
      <c r="M213" s="6" t="s">
        <v>51</v>
      </c>
      <c r="N213" s="8" t="s">
        <v>1099</v>
      </c>
      <c r="O213" s="6">
        <f>HYPERLINK("https://docs.wto.org/imrd/directdoc.asp?DDFDocuments/t/G/SPS/NRUS218.DOCX", "https://docs.wto.org/imrd/directdoc.asp?DDFDocuments/t/G/SPS/NRUS218.DOCX")</f>
      </c>
      <c r="P213" s="6">
        <f>HYPERLINK("https://docs.wto.org/imrd/directdoc.asp?DDFDocuments/u/G/SPS/NRUS218.DOCX", "https://docs.wto.org/imrd/directdoc.asp?DDFDocuments/u/G/SPS/NRUS218.DOCX")</f>
      </c>
      <c r="Q213" s="6">
        <f>HYPERLINK("https://docs.wto.org/imrd/directdoc.asp?DDFDocuments/v/G/SPS/NRUS218.DOCX", "https://docs.wto.org/imrd/directdoc.asp?DDFDocuments/v/G/SPS/NRUS218.DOCX")</f>
      </c>
      <c r="R213" s="0" t="s">
        <v>36</v>
      </c>
      <c r="S213" s="0" t="s">
        <v>36</v>
      </c>
      <c r="T213" s="0" t="s">
        <v>36</v>
      </c>
      <c r="U213" s="0" t="s">
        <v>36</v>
      </c>
      <c r="V213" s="0" t="s">
        <v>36</v>
      </c>
      <c r="W213" s="0" t="s">
        <v>36</v>
      </c>
      <c r="X213" s="0" t="s">
        <v>36</v>
      </c>
      <c r="Y213" s="2" t="s">
        <v>36</v>
      </c>
      <c r="Z213" s="0" t="s">
        <v>42</v>
      </c>
      <c r="AA213" s="0" t="s">
        <v>43</v>
      </c>
      <c r="AB213" s="0" t="s">
        <v>42</v>
      </c>
      <c r="AC213" s="0" t="s">
        <v>42</v>
      </c>
      <c r="AD213" s="0" t="s">
        <v>43</v>
      </c>
      <c r="AE213" s="2" t="s">
        <v>36</v>
      </c>
    </row>
    <row r="214">
      <c r="A214" s="6" t="s">
        <v>31</v>
      </c>
      <c r="B214" s="7">
        <v>44273</v>
      </c>
      <c r="C214" s="9">
        <f>HYPERLINK("https://www.epingalert.org/en/Search?viewData= G/SPS/N/RUS/206/Add.5"," G/SPS/N/RUS/206/Add.5")</f>
      </c>
      <c r="D214" s="8" t="s">
        <v>1100</v>
      </c>
      <c r="E214" s="8" t="s">
        <v>1101</v>
      </c>
      <c r="F214" s="8"/>
      <c r="G214" s="8" t="s">
        <v>1102</v>
      </c>
      <c r="H214" s="8" t="s">
        <v>36</v>
      </c>
      <c r="I214" s="8" t="s">
        <v>332</v>
      </c>
      <c r="J214" s="8" t="s">
        <v>1103</v>
      </c>
      <c r="K214" s="6"/>
      <c r="L214" s="7" t="s">
        <v>36</v>
      </c>
      <c r="M214" s="6" t="s">
        <v>179</v>
      </c>
      <c r="N214" s="6"/>
      <c r="O214" s="6">
        <f>HYPERLINK("https://docs.wto.org/imrd/directdoc.asp?DDFDocuments/t/G/SPS/NRUS206A5.DOCX", "https://docs.wto.org/imrd/directdoc.asp?DDFDocuments/t/G/SPS/NRUS206A5.DOCX")</f>
      </c>
      <c r="P214" s="6">
        <f>HYPERLINK("https://docs.wto.org/imrd/directdoc.asp?DDFDocuments/u/G/SPS/NRUS206A5.DOCX", "https://docs.wto.org/imrd/directdoc.asp?DDFDocuments/u/G/SPS/NRUS206A5.DOCX")</f>
      </c>
      <c r="Q214" s="6">
        <f>HYPERLINK("https://docs.wto.org/imrd/directdoc.asp?DDFDocuments/v/G/SPS/NRUS206A5.DOCX", "https://docs.wto.org/imrd/directdoc.asp?DDFDocuments/v/G/SPS/NRUS206A5.DOCX")</f>
      </c>
      <c r="R214" s="0" t="s">
        <v>36</v>
      </c>
      <c r="S214" s="0" t="s">
        <v>36</v>
      </c>
      <c r="T214" s="0" t="s">
        <v>36</v>
      </c>
      <c r="U214" s="0" t="s">
        <v>36</v>
      </c>
      <c r="V214" s="0" t="s">
        <v>36</v>
      </c>
      <c r="W214" s="0" t="s">
        <v>36</v>
      </c>
      <c r="X214" s="0" t="s">
        <v>36</v>
      </c>
      <c r="Y214" s="2" t="s">
        <v>36</v>
      </c>
      <c r="Z214" s="0" t="s">
        <v>36</v>
      </c>
      <c r="AA214" s="0" t="s">
        <v>36</v>
      </c>
      <c r="AB214" s="0" t="s">
        <v>36</v>
      </c>
      <c r="AC214" s="0" t="s">
        <v>36</v>
      </c>
      <c r="AD214" s="0" t="s">
        <v>36</v>
      </c>
      <c r="AE214" s="2" t="s">
        <v>36</v>
      </c>
    </row>
    <row r="215">
      <c r="A215" s="6" t="s">
        <v>31</v>
      </c>
      <c r="B215" s="7">
        <v>44273</v>
      </c>
      <c r="C215" s="9">
        <f>HYPERLINK("https://www.epingalert.org/en/Search?viewData= G/SPS/N/RUS/216"," G/SPS/N/RUS/216")</f>
      </c>
      <c r="D215" s="8" t="s">
        <v>1104</v>
      </c>
      <c r="E215" s="8" t="s">
        <v>1105</v>
      </c>
      <c r="F215" s="8" t="s">
        <v>923</v>
      </c>
      <c r="G215" s="8" t="s">
        <v>924</v>
      </c>
      <c r="H215" s="8" t="s">
        <v>36</v>
      </c>
      <c r="I215" s="8" t="s">
        <v>37</v>
      </c>
      <c r="J215" s="8" t="s">
        <v>965</v>
      </c>
      <c r="K215" s="6" t="s">
        <v>360</v>
      </c>
      <c r="L215" s="7" t="s">
        <v>36</v>
      </c>
      <c r="M215" s="6" t="s">
        <v>40</v>
      </c>
      <c r="N215" s="8" t="s">
        <v>1106</v>
      </c>
      <c r="O215" s="6">
        <f>HYPERLINK("https://docs.wto.org/imrd/directdoc.asp?DDFDocuments/t/G/SPS/NRUS216.DOCX", "https://docs.wto.org/imrd/directdoc.asp?DDFDocuments/t/G/SPS/NRUS216.DOCX")</f>
      </c>
      <c r="P215" s="6">
        <f>HYPERLINK("https://docs.wto.org/imrd/directdoc.asp?DDFDocuments/u/G/SPS/NRUS216.DOCX", "https://docs.wto.org/imrd/directdoc.asp?DDFDocuments/u/G/SPS/NRUS216.DOCX")</f>
      </c>
      <c r="Q215" s="6">
        <f>HYPERLINK("https://docs.wto.org/imrd/directdoc.asp?DDFDocuments/v/G/SPS/NRUS216.DOCX", "https://docs.wto.org/imrd/directdoc.asp?DDFDocuments/v/G/SPS/NRUS216.DOCX")</f>
      </c>
      <c r="R215" s="0" t="s">
        <v>36</v>
      </c>
      <c r="S215" s="0" t="s">
        <v>36</v>
      </c>
      <c r="T215" s="0" t="s">
        <v>36</v>
      </c>
      <c r="U215" s="0" t="s">
        <v>36</v>
      </c>
      <c r="V215" s="0" t="s">
        <v>36</v>
      </c>
      <c r="W215" s="0" t="s">
        <v>36</v>
      </c>
      <c r="X215" s="0" t="s">
        <v>36</v>
      </c>
      <c r="Y215" s="2" t="s">
        <v>36</v>
      </c>
      <c r="Z215" s="0" t="s">
        <v>42</v>
      </c>
      <c r="AA215" s="0" t="s">
        <v>43</v>
      </c>
      <c r="AB215" s="0" t="s">
        <v>42</v>
      </c>
      <c r="AC215" s="0" t="s">
        <v>42</v>
      </c>
      <c r="AD215" s="0" t="s">
        <v>43</v>
      </c>
      <c r="AE215" s="2" t="s">
        <v>36</v>
      </c>
    </row>
    <row r="216">
      <c r="A216" s="6" t="s">
        <v>31</v>
      </c>
      <c r="B216" s="7">
        <v>44273</v>
      </c>
      <c r="C216" s="9">
        <f>HYPERLINK("https://www.epingalert.org/en/Search?viewData= G/SPS/N/RUS/206/Add.6"," G/SPS/N/RUS/206/Add.6")</f>
      </c>
      <c r="D216" s="8" t="s">
        <v>1107</v>
      </c>
      <c r="E216" s="8" t="s">
        <v>1108</v>
      </c>
      <c r="F216" s="8"/>
      <c r="G216" s="8" t="s">
        <v>1102</v>
      </c>
      <c r="H216" s="8" t="s">
        <v>36</v>
      </c>
      <c r="I216" s="8" t="s">
        <v>332</v>
      </c>
      <c r="J216" s="8" t="s">
        <v>1109</v>
      </c>
      <c r="K216" s="6"/>
      <c r="L216" s="7" t="s">
        <v>36</v>
      </c>
      <c r="M216" s="6" t="s">
        <v>179</v>
      </c>
      <c r="N216" s="6"/>
      <c r="O216" s="6">
        <f>HYPERLINK("https://docs.wto.org/imrd/directdoc.asp?DDFDocuments/t/G/SPS/NRUS206A6.DOCX", "https://docs.wto.org/imrd/directdoc.asp?DDFDocuments/t/G/SPS/NRUS206A6.DOCX")</f>
      </c>
      <c r="P216" s="6">
        <f>HYPERLINK("https://docs.wto.org/imrd/directdoc.asp?DDFDocuments/u/G/SPS/NRUS206A6.DOCX", "https://docs.wto.org/imrd/directdoc.asp?DDFDocuments/u/G/SPS/NRUS206A6.DOCX")</f>
      </c>
      <c r="Q216" s="6">
        <f>HYPERLINK("https://docs.wto.org/imrd/directdoc.asp?DDFDocuments/v/G/SPS/NRUS206A6.DOCX", "https://docs.wto.org/imrd/directdoc.asp?DDFDocuments/v/G/SPS/NRUS206A6.DOCX")</f>
      </c>
      <c r="R216" s="0" t="s">
        <v>36</v>
      </c>
      <c r="S216" s="0" t="s">
        <v>36</v>
      </c>
      <c r="T216" s="0" t="s">
        <v>36</v>
      </c>
      <c r="U216" s="0" t="s">
        <v>36</v>
      </c>
      <c r="V216" s="0" t="s">
        <v>36</v>
      </c>
      <c r="W216" s="0" t="s">
        <v>36</v>
      </c>
      <c r="X216" s="0" t="s">
        <v>36</v>
      </c>
      <c r="Y216" s="2" t="s">
        <v>36</v>
      </c>
      <c r="Z216" s="0" t="s">
        <v>36</v>
      </c>
      <c r="AA216" s="0" t="s">
        <v>36</v>
      </c>
      <c r="AB216" s="0" t="s">
        <v>36</v>
      </c>
      <c r="AC216" s="0" t="s">
        <v>36</v>
      </c>
      <c r="AD216" s="0" t="s">
        <v>36</v>
      </c>
      <c r="AE216" s="2" t="s">
        <v>36</v>
      </c>
    </row>
    <row r="217">
      <c r="A217" s="6" t="s">
        <v>31</v>
      </c>
      <c r="B217" s="7">
        <v>44267</v>
      </c>
      <c r="C217" s="9">
        <f>HYPERLINK("https://www.epingalert.org/en/Search?viewData= G/SPS/N/RUS/215"," G/SPS/N/RUS/215")</f>
      </c>
      <c r="D217" s="8" t="s">
        <v>1110</v>
      </c>
      <c r="E217" s="8" t="s">
        <v>1111</v>
      </c>
      <c r="F217" s="8" t="s">
        <v>1064</v>
      </c>
      <c r="G217" s="8" t="s">
        <v>1112</v>
      </c>
      <c r="H217" s="8" t="s">
        <v>36</v>
      </c>
      <c r="I217" s="8" t="s">
        <v>37</v>
      </c>
      <c r="J217" s="8" t="s">
        <v>435</v>
      </c>
      <c r="K217" s="6" t="s">
        <v>1025</v>
      </c>
      <c r="L217" s="7" t="s">
        <v>36</v>
      </c>
      <c r="M217" s="6" t="s">
        <v>40</v>
      </c>
      <c r="N217" s="8" t="s">
        <v>1113</v>
      </c>
      <c r="O217" s="6">
        <f>HYPERLINK("https://docs.wto.org/imrd/directdoc.asp?DDFDocuments/t/G/SPS/NRUS215.DOCX", "https://docs.wto.org/imrd/directdoc.asp?DDFDocuments/t/G/SPS/NRUS215.DOCX")</f>
      </c>
      <c r="P217" s="6">
        <f>HYPERLINK("https://docs.wto.org/imrd/directdoc.asp?DDFDocuments/u/G/SPS/NRUS215.DOCX", "https://docs.wto.org/imrd/directdoc.asp?DDFDocuments/u/G/SPS/NRUS215.DOCX")</f>
      </c>
      <c r="Q217" s="6">
        <f>HYPERLINK("https://docs.wto.org/imrd/directdoc.asp?DDFDocuments/v/G/SPS/NRUS215.DOCX", "https://docs.wto.org/imrd/directdoc.asp?DDFDocuments/v/G/SPS/NRUS215.DOCX")</f>
      </c>
      <c r="R217" s="0" t="s">
        <v>36</v>
      </c>
      <c r="S217" s="0" t="s">
        <v>36</v>
      </c>
      <c r="T217" s="0" t="s">
        <v>36</v>
      </c>
      <c r="U217" s="0" t="s">
        <v>36</v>
      </c>
      <c r="V217" s="0" t="s">
        <v>36</v>
      </c>
      <c r="W217" s="0" t="s">
        <v>36</v>
      </c>
      <c r="X217" s="0" t="s">
        <v>36</v>
      </c>
      <c r="Y217" s="2" t="s">
        <v>36</v>
      </c>
      <c r="Z217" s="0" t="s">
        <v>42</v>
      </c>
      <c r="AA217" s="0" t="s">
        <v>43</v>
      </c>
      <c r="AB217" s="0" t="s">
        <v>42</v>
      </c>
      <c r="AC217" s="0" t="s">
        <v>42</v>
      </c>
      <c r="AD217" s="0" t="s">
        <v>43</v>
      </c>
      <c r="AE217" s="2" t="s">
        <v>36</v>
      </c>
    </row>
    <row r="218">
      <c r="A218" s="6" t="s">
        <v>31</v>
      </c>
      <c r="B218" s="7">
        <v>44267</v>
      </c>
      <c r="C218" s="9">
        <f>HYPERLINK("https://www.epingalert.org/en/Search?viewData= G/SPS/N/RUS/206/Add.4"," G/SPS/N/RUS/206/Add.4")</f>
      </c>
      <c r="D218" s="8" t="s">
        <v>1114</v>
      </c>
      <c r="E218" s="8" t="s">
        <v>1115</v>
      </c>
      <c r="F218" s="8"/>
      <c r="G218" s="8" t="s">
        <v>1076</v>
      </c>
      <c r="H218" s="8" t="s">
        <v>36</v>
      </c>
      <c r="I218" s="8" t="s">
        <v>332</v>
      </c>
      <c r="J218" s="8" t="s">
        <v>1116</v>
      </c>
      <c r="K218" s="6"/>
      <c r="L218" s="7" t="s">
        <v>36</v>
      </c>
      <c r="M218" s="6" t="s">
        <v>179</v>
      </c>
      <c r="N218" s="6"/>
      <c r="O218" s="6">
        <f>HYPERLINK("https://docs.wto.org/imrd/directdoc.asp?DDFDocuments/t/G/SPS/NRUS206A4.DOCX", "https://docs.wto.org/imrd/directdoc.asp?DDFDocuments/t/G/SPS/NRUS206A4.DOCX")</f>
      </c>
      <c r="P218" s="6">
        <f>HYPERLINK("https://docs.wto.org/imrd/directdoc.asp?DDFDocuments/u/G/SPS/NRUS206A4.DOCX", "https://docs.wto.org/imrd/directdoc.asp?DDFDocuments/u/G/SPS/NRUS206A4.DOCX")</f>
      </c>
      <c r="Q218" s="6">
        <f>HYPERLINK("https://docs.wto.org/imrd/directdoc.asp?DDFDocuments/v/G/SPS/NRUS206A4.DOCX", "https://docs.wto.org/imrd/directdoc.asp?DDFDocuments/v/G/SPS/NRUS206A4.DOCX")</f>
      </c>
      <c r="R218" s="0" t="s">
        <v>36</v>
      </c>
      <c r="S218" s="0" t="s">
        <v>36</v>
      </c>
      <c r="T218" s="0" t="s">
        <v>36</v>
      </c>
      <c r="U218" s="0" t="s">
        <v>36</v>
      </c>
      <c r="V218" s="0" t="s">
        <v>36</v>
      </c>
      <c r="W218" s="0" t="s">
        <v>36</v>
      </c>
      <c r="X218" s="0" t="s">
        <v>36</v>
      </c>
      <c r="Y218" s="2" t="s">
        <v>36</v>
      </c>
      <c r="Z218" s="0" t="s">
        <v>36</v>
      </c>
      <c r="AA218" s="0" t="s">
        <v>36</v>
      </c>
      <c r="AB218" s="0" t="s">
        <v>36</v>
      </c>
      <c r="AC218" s="0" t="s">
        <v>36</v>
      </c>
      <c r="AD218" s="0" t="s">
        <v>36</v>
      </c>
      <c r="AE218" s="2" t="s">
        <v>36</v>
      </c>
    </row>
    <row r="219">
      <c r="A219" s="6" t="s">
        <v>31</v>
      </c>
      <c r="B219" s="7">
        <v>44267</v>
      </c>
      <c r="C219" s="9">
        <f>HYPERLINK("https://www.epingalert.org/en/Search?viewData= G/SPS/N/RUS/214"," G/SPS/N/RUS/214")</f>
      </c>
      <c r="D219" s="8" t="s">
        <v>322</v>
      </c>
      <c r="E219" s="8" t="s">
        <v>1117</v>
      </c>
      <c r="F219" s="8" t="s">
        <v>324</v>
      </c>
      <c r="G219" s="8" t="s">
        <v>1118</v>
      </c>
      <c r="H219" s="8" t="s">
        <v>36</v>
      </c>
      <c r="I219" s="8" t="s">
        <v>37</v>
      </c>
      <c r="J219" s="8" t="s">
        <v>1119</v>
      </c>
      <c r="K219" s="6" t="s">
        <v>1120</v>
      </c>
      <c r="L219" s="7" t="s">
        <v>36</v>
      </c>
      <c r="M219" s="6" t="s">
        <v>40</v>
      </c>
      <c r="N219" s="8" t="s">
        <v>1121</v>
      </c>
      <c r="O219" s="6">
        <f>HYPERLINK("https://docs.wto.org/imrd/directdoc.asp?DDFDocuments/t/G/SPS/NRUS214.DOCX", "https://docs.wto.org/imrd/directdoc.asp?DDFDocuments/t/G/SPS/NRUS214.DOCX")</f>
      </c>
      <c r="P219" s="6">
        <f>HYPERLINK("https://docs.wto.org/imrd/directdoc.asp?DDFDocuments/u/G/SPS/NRUS214.DOCX", "https://docs.wto.org/imrd/directdoc.asp?DDFDocuments/u/G/SPS/NRUS214.DOCX")</f>
      </c>
      <c r="Q219" s="6">
        <f>HYPERLINK("https://docs.wto.org/imrd/directdoc.asp?DDFDocuments/v/G/SPS/NRUS214.DOCX", "https://docs.wto.org/imrd/directdoc.asp?DDFDocuments/v/G/SPS/NRUS214.DOCX")</f>
      </c>
      <c r="R219" s="0" t="s">
        <v>36</v>
      </c>
      <c r="S219" s="0" t="s">
        <v>36</v>
      </c>
      <c r="T219" s="0" t="s">
        <v>36</v>
      </c>
      <c r="U219" s="0" t="s">
        <v>36</v>
      </c>
      <c r="V219" s="0" t="s">
        <v>36</v>
      </c>
      <c r="W219" s="0" t="s">
        <v>36</v>
      </c>
      <c r="X219" s="0" t="s">
        <v>36</v>
      </c>
      <c r="Y219" s="2" t="s">
        <v>36</v>
      </c>
      <c r="Z219" s="0" t="s">
        <v>42</v>
      </c>
      <c r="AA219" s="0" t="s">
        <v>43</v>
      </c>
      <c r="AB219" s="0" t="s">
        <v>42</v>
      </c>
      <c r="AC219" s="0" t="s">
        <v>42</v>
      </c>
      <c r="AD219" s="0" t="s">
        <v>43</v>
      </c>
      <c r="AE219" s="2" t="s">
        <v>36</v>
      </c>
    </row>
    <row r="220">
      <c r="A220" s="6" t="s">
        <v>31</v>
      </c>
      <c r="B220" s="7">
        <v>44267</v>
      </c>
      <c r="C220" s="9">
        <f>HYPERLINK("https://www.epingalert.org/en/Search?viewData= G/SPS/N/RUS/206/Add.3"," G/SPS/N/RUS/206/Add.3")</f>
      </c>
      <c r="D220" s="8" t="s">
        <v>1122</v>
      </c>
      <c r="E220" s="8" t="s">
        <v>1123</v>
      </c>
      <c r="F220" s="8"/>
      <c r="G220" s="8" t="s">
        <v>1124</v>
      </c>
      <c r="H220" s="8" t="s">
        <v>36</v>
      </c>
      <c r="I220" s="8" t="s">
        <v>332</v>
      </c>
      <c r="J220" s="8" t="s">
        <v>1125</v>
      </c>
      <c r="K220" s="6"/>
      <c r="L220" s="7" t="s">
        <v>36</v>
      </c>
      <c r="M220" s="6" t="s">
        <v>179</v>
      </c>
      <c r="N220" s="6"/>
      <c r="O220" s="6">
        <f>HYPERLINK("https://docs.wto.org/imrd/directdoc.asp?DDFDocuments/t/G/SPS/NRUS206A3.DOCX", "https://docs.wto.org/imrd/directdoc.asp?DDFDocuments/t/G/SPS/NRUS206A3.DOCX")</f>
      </c>
      <c r="P220" s="6">
        <f>HYPERLINK("https://docs.wto.org/imrd/directdoc.asp?DDFDocuments/u/G/SPS/NRUS206A3.DOCX", "https://docs.wto.org/imrd/directdoc.asp?DDFDocuments/u/G/SPS/NRUS206A3.DOCX")</f>
      </c>
      <c r="Q220" s="6">
        <f>HYPERLINK("https://docs.wto.org/imrd/directdoc.asp?DDFDocuments/v/G/SPS/NRUS206A3.DOCX", "https://docs.wto.org/imrd/directdoc.asp?DDFDocuments/v/G/SPS/NRUS206A3.DOCX")</f>
      </c>
      <c r="R220" s="0" t="s">
        <v>36</v>
      </c>
      <c r="S220" s="0" t="s">
        <v>36</v>
      </c>
      <c r="T220" s="0" t="s">
        <v>36</v>
      </c>
      <c r="U220" s="0" t="s">
        <v>36</v>
      </c>
      <c r="V220" s="0" t="s">
        <v>36</v>
      </c>
      <c r="W220" s="0" t="s">
        <v>36</v>
      </c>
      <c r="X220" s="0" t="s">
        <v>36</v>
      </c>
      <c r="Y220" s="2" t="s">
        <v>36</v>
      </c>
      <c r="Z220" s="0" t="s">
        <v>36</v>
      </c>
      <c r="AA220" s="0" t="s">
        <v>36</v>
      </c>
      <c r="AB220" s="0" t="s">
        <v>36</v>
      </c>
      <c r="AC220" s="0" t="s">
        <v>36</v>
      </c>
      <c r="AD220" s="0" t="s">
        <v>36</v>
      </c>
      <c r="AE220" s="2" t="s">
        <v>36</v>
      </c>
    </row>
    <row r="221">
      <c r="A221" s="6" t="s">
        <v>31</v>
      </c>
      <c r="B221" s="7">
        <v>44265</v>
      </c>
      <c r="C221" s="9">
        <f>HYPERLINK("https://www.epingalert.org/en/Search?viewData= G/TBT/N/RUS/111"," G/TBT/N/RUS/111")</f>
      </c>
      <c r="D221" s="8" t="s">
        <v>1126</v>
      </c>
      <c r="E221" s="8" t="s">
        <v>1127</v>
      </c>
      <c r="F221" s="8" t="s">
        <v>498</v>
      </c>
      <c r="G221" s="8" t="s">
        <v>36</v>
      </c>
      <c r="H221" s="8" t="s">
        <v>141</v>
      </c>
      <c r="I221" s="8" t="s">
        <v>164</v>
      </c>
      <c r="J221" s="8" t="s">
        <v>36</v>
      </c>
      <c r="K221" s="6"/>
      <c r="L221" s="7">
        <v>44310</v>
      </c>
      <c r="M221" s="6" t="s">
        <v>51</v>
      </c>
      <c r="N221" s="8" t="s">
        <v>1128</v>
      </c>
      <c r="O221" s="6">
        <f>HYPERLINK("https://docs.wto.org/imrd/directdoc.asp?DDFDocuments/t/G/TBTN21/RUS111.DOCX", "https://docs.wto.org/imrd/directdoc.asp?DDFDocuments/t/G/TBTN21/RUS111.DOCX")</f>
      </c>
      <c r="P221" s="6">
        <f>HYPERLINK("https://docs.wto.org/imrd/directdoc.asp?DDFDocuments/u/G/TBTN21/RUS111.DOCX", "https://docs.wto.org/imrd/directdoc.asp?DDFDocuments/u/G/TBTN21/RUS111.DOCX")</f>
      </c>
      <c r="Q221" s="6">
        <f>HYPERLINK("https://docs.wto.org/imrd/directdoc.asp?DDFDocuments/v/G/TBTN21/RUS111.DOCX", "https://docs.wto.org/imrd/directdoc.asp?DDFDocuments/v/G/TBTN21/RUS111.DOCX")</f>
      </c>
      <c r="R221" s="0" t="s">
        <v>43</v>
      </c>
      <c r="S221" s="0" t="s">
        <v>42</v>
      </c>
      <c r="T221" s="0" t="s">
        <v>42</v>
      </c>
      <c r="U221" s="0" t="s">
        <v>42</v>
      </c>
      <c r="V221" s="0" t="s">
        <v>42</v>
      </c>
      <c r="W221" s="0" t="s">
        <v>42</v>
      </c>
      <c r="X221" s="0" t="s">
        <v>42</v>
      </c>
      <c r="Y221" s="2" t="s">
        <v>1129</v>
      </c>
      <c r="Z221" s="0" t="s">
        <v>36</v>
      </c>
      <c r="AA221" s="0" t="s">
        <v>36</v>
      </c>
      <c r="AB221" s="0" t="s">
        <v>36</v>
      </c>
      <c r="AC221" s="0" t="s">
        <v>36</v>
      </c>
      <c r="AD221" s="0" t="s">
        <v>36</v>
      </c>
      <c r="AE221" s="2" t="s">
        <v>36</v>
      </c>
    </row>
    <row r="222">
      <c r="A222" s="6" t="s">
        <v>31</v>
      </c>
      <c r="B222" s="7">
        <v>44253</v>
      </c>
      <c r="C222" s="9">
        <f>HYPERLINK("https://www.epingalert.org/en/Search?viewData= G/SPS/N/RUS/213"," G/SPS/N/RUS/213")</f>
      </c>
      <c r="D222" s="8" t="s">
        <v>1130</v>
      </c>
      <c r="E222" s="8" t="s">
        <v>1131</v>
      </c>
      <c r="F222" s="8" t="s">
        <v>324</v>
      </c>
      <c r="G222" s="8" t="s">
        <v>1118</v>
      </c>
      <c r="H222" s="8" t="s">
        <v>36</v>
      </c>
      <c r="I222" s="8" t="s">
        <v>37</v>
      </c>
      <c r="J222" s="8" t="s">
        <v>1132</v>
      </c>
      <c r="K222" s="6" t="s">
        <v>973</v>
      </c>
      <c r="L222" s="7" t="s">
        <v>36</v>
      </c>
      <c r="M222" s="6" t="s">
        <v>40</v>
      </c>
      <c r="N222" s="8" t="s">
        <v>1133</v>
      </c>
      <c r="O222" s="6">
        <f>HYPERLINK("https://docs.wto.org/imrd/directdoc.asp?DDFDocuments/t/G/SPS/NRUS213.DOCX", "https://docs.wto.org/imrd/directdoc.asp?DDFDocuments/t/G/SPS/NRUS213.DOCX")</f>
      </c>
      <c r="P222" s="6">
        <f>HYPERLINK("https://docs.wto.org/imrd/directdoc.asp?DDFDocuments/u/G/SPS/NRUS213.DOCX", "https://docs.wto.org/imrd/directdoc.asp?DDFDocuments/u/G/SPS/NRUS213.DOCX")</f>
      </c>
      <c r="Q222" s="6">
        <f>HYPERLINK("https://docs.wto.org/imrd/directdoc.asp?DDFDocuments/v/G/SPS/NRUS213.DOCX", "https://docs.wto.org/imrd/directdoc.asp?DDFDocuments/v/G/SPS/NRUS213.DOCX")</f>
      </c>
      <c r="R222" s="0" t="s">
        <v>36</v>
      </c>
      <c r="S222" s="0" t="s">
        <v>36</v>
      </c>
      <c r="T222" s="0" t="s">
        <v>36</v>
      </c>
      <c r="U222" s="0" t="s">
        <v>36</v>
      </c>
      <c r="V222" s="0" t="s">
        <v>36</v>
      </c>
      <c r="W222" s="0" t="s">
        <v>36</v>
      </c>
      <c r="X222" s="0" t="s">
        <v>36</v>
      </c>
      <c r="Y222" s="2" t="s">
        <v>36</v>
      </c>
      <c r="Z222" s="0" t="s">
        <v>42</v>
      </c>
      <c r="AA222" s="0" t="s">
        <v>43</v>
      </c>
      <c r="AB222" s="0" t="s">
        <v>42</v>
      </c>
      <c r="AC222" s="0" t="s">
        <v>42</v>
      </c>
      <c r="AD222" s="0" t="s">
        <v>43</v>
      </c>
      <c r="AE222" s="2" t="s">
        <v>36</v>
      </c>
    </row>
    <row r="223">
      <c r="A223" s="6" t="s">
        <v>31</v>
      </c>
      <c r="B223" s="7">
        <v>44252</v>
      </c>
      <c r="C223" s="9">
        <f>HYPERLINK("https://www.epingalert.org/en/Search?viewData= G/SPS/N/RUS/206/Add.2"," G/SPS/N/RUS/206/Add.2")</f>
      </c>
      <c r="D223" s="8" t="s">
        <v>1134</v>
      </c>
      <c r="E223" s="8" t="s">
        <v>1135</v>
      </c>
      <c r="F223" s="8"/>
      <c r="G223" s="8" t="s">
        <v>1136</v>
      </c>
      <c r="H223" s="8" t="s">
        <v>36</v>
      </c>
      <c r="I223" s="8" t="s">
        <v>332</v>
      </c>
      <c r="J223" s="8" t="s">
        <v>1125</v>
      </c>
      <c r="K223" s="6"/>
      <c r="L223" s="7" t="s">
        <v>36</v>
      </c>
      <c r="M223" s="6" t="s">
        <v>179</v>
      </c>
      <c r="N223" s="6"/>
      <c r="O223" s="6">
        <f>HYPERLINK("https://docs.wto.org/imrd/directdoc.asp?DDFDocuments/t/G/SPS/NRUS206A2.DOCX", "https://docs.wto.org/imrd/directdoc.asp?DDFDocuments/t/G/SPS/NRUS206A2.DOCX")</f>
      </c>
      <c r="P223" s="6">
        <f>HYPERLINK("https://docs.wto.org/imrd/directdoc.asp?DDFDocuments/u/G/SPS/NRUS206A2.DOCX", "https://docs.wto.org/imrd/directdoc.asp?DDFDocuments/u/G/SPS/NRUS206A2.DOCX")</f>
      </c>
      <c r="Q223" s="6">
        <f>HYPERLINK("https://docs.wto.org/imrd/directdoc.asp?DDFDocuments/v/G/SPS/NRUS206A2.DOCX", "https://docs.wto.org/imrd/directdoc.asp?DDFDocuments/v/G/SPS/NRUS206A2.DOCX")</f>
      </c>
      <c r="R223" s="0" t="s">
        <v>36</v>
      </c>
      <c r="S223" s="0" t="s">
        <v>36</v>
      </c>
      <c r="T223" s="0" t="s">
        <v>36</v>
      </c>
      <c r="U223" s="0" t="s">
        <v>36</v>
      </c>
      <c r="V223" s="0" t="s">
        <v>36</v>
      </c>
      <c r="W223" s="0" t="s">
        <v>36</v>
      </c>
      <c r="X223" s="0" t="s">
        <v>36</v>
      </c>
      <c r="Y223" s="2" t="s">
        <v>36</v>
      </c>
      <c r="Z223" s="0" t="s">
        <v>36</v>
      </c>
      <c r="AA223" s="0" t="s">
        <v>36</v>
      </c>
      <c r="AB223" s="0" t="s">
        <v>36</v>
      </c>
      <c r="AC223" s="0" t="s">
        <v>36</v>
      </c>
      <c r="AD223" s="0" t="s">
        <v>36</v>
      </c>
      <c r="AE223" s="2" t="s">
        <v>36</v>
      </c>
    </row>
    <row r="224">
      <c r="A224" s="6" t="s">
        <v>31</v>
      </c>
      <c r="B224" s="7">
        <v>44246</v>
      </c>
      <c r="C224" s="9">
        <f>HYPERLINK("https://www.epingalert.org/en/Search?viewData= G/SPS/N/RUS/212"," G/SPS/N/RUS/212")</f>
      </c>
      <c r="D224" s="8" t="s">
        <v>1137</v>
      </c>
      <c r="E224" s="8" t="s">
        <v>1138</v>
      </c>
      <c r="F224" s="8" t="s">
        <v>1139</v>
      </c>
      <c r="G224" s="8" t="s">
        <v>1140</v>
      </c>
      <c r="H224" s="8" t="s">
        <v>36</v>
      </c>
      <c r="I224" s="8" t="s">
        <v>65</v>
      </c>
      <c r="J224" s="8" t="s">
        <v>1141</v>
      </c>
      <c r="K224" s="6" t="s">
        <v>210</v>
      </c>
      <c r="L224" s="7" t="s">
        <v>36</v>
      </c>
      <c r="M224" s="6" t="s">
        <v>40</v>
      </c>
      <c r="N224" s="8" t="s">
        <v>1142</v>
      </c>
      <c r="O224" s="6">
        <f>HYPERLINK("https://docs.wto.org/imrd/directdoc.asp?DDFDocuments/t/G/SPS/NRUS212.DOCX", "https://docs.wto.org/imrd/directdoc.asp?DDFDocuments/t/G/SPS/NRUS212.DOCX")</f>
      </c>
      <c r="P224" s="6">
        <f>HYPERLINK("https://docs.wto.org/imrd/directdoc.asp?DDFDocuments/u/G/SPS/NRUS212.DOCX", "https://docs.wto.org/imrd/directdoc.asp?DDFDocuments/u/G/SPS/NRUS212.DOCX")</f>
      </c>
      <c r="Q224" s="6">
        <f>HYPERLINK("https://docs.wto.org/imrd/directdoc.asp?DDFDocuments/v/G/SPS/NRUS212.DOCX", "https://docs.wto.org/imrd/directdoc.asp?DDFDocuments/v/G/SPS/NRUS212.DOCX")</f>
      </c>
      <c r="R224" s="0" t="s">
        <v>36</v>
      </c>
      <c r="S224" s="0" t="s">
        <v>36</v>
      </c>
      <c r="T224" s="0" t="s">
        <v>36</v>
      </c>
      <c r="U224" s="0" t="s">
        <v>36</v>
      </c>
      <c r="V224" s="0" t="s">
        <v>36</v>
      </c>
      <c r="W224" s="0" t="s">
        <v>36</v>
      </c>
      <c r="X224" s="0" t="s">
        <v>36</v>
      </c>
      <c r="Y224" s="2" t="s">
        <v>36</v>
      </c>
      <c r="Z224" s="0" t="s">
        <v>42</v>
      </c>
      <c r="AA224" s="0" t="s">
        <v>42</v>
      </c>
      <c r="AB224" s="0" t="s">
        <v>43</v>
      </c>
      <c r="AC224" s="0" t="s">
        <v>42</v>
      </c>
      <c r="AD224" s="0" t="s">
        <v>43</v>
      </c>
      <c r="AE224" s="2" t="s">
        <v>36</v>
      </c>
    </row>
    <row r="225">
      <c r="A225" s="6" t="s">
        <v>31</v>
      </c>
      <c r="B225" s="7">
        <v>44246</v>
      </c>
      <c r="C225" s="9">
        <f>HYPERLINK("https://www.epingalert.org/en/Search?viewData= G/TBT/N/RUS/110"," G/TBT/N/RUS/110")</f>
      </c>
      <c r="D225" s="8" t="s">
        <v>1143</v>
      </c>
      <c r="E225" s="8" t="s">
        <v>1144</v>
      </c>
      <c r="F225" s="8" t="s">
        <v>1145</v>
      </c>
      <c r="G225" s="8" t="s">
        <v>36</v>
      </c>
      <c r="H225" s="8" t="s">
        <v>414</v>
      </c>
      <c r="I225" s="8" t="s">
        <v>1146</v>
      </c>
      <c r="J225" s="8" t="s">
        <v>36</v>
      </c>
      <c r="K225" s="6"/>
      <c r="L225" s="7">
        <v>44287</v>
      </c>
      <c r="M225" s="6" t="s">
        <v>51</v>
      </c>
      <c r="N225" s="8" t="s">
        <v>1147</v>
      </c>
      <c r="O225" s="6">
        <f>HYPERLINK("https://docs.wto.org/imrd/directdoc.asp?DDFDocuments/t/G/TBTN21/RUS110.DOCX", "https://docs.wto.org/imrd/directdoc.asp?DDFDocuments/t/G/TBTN21/RUS110.DOCX")</f>
      </c>
      <c r="P225" s="6">
        <f>HYPERLINK("https://docs.wto.org/imrd/directdoc.asp?DDFDocuments/u/G/TBTN21/RUS110.DOCX", "https://docs.wto.org/imrd/directdoc.asp?DDFDocuments/u/G/TBTN21/RUS110.DOCX")</f>
      </c>
      <c r="Q225" s="6">
        <f>HYPERLINK("https://docs.wto.org/imrd/directdoc.asp?DDFDocuments/v/G/TBTN21/RUS110.DOCX", "https://docs.wto.org/imrd/directdoc.asp?DDFDocuments/v/G/TBTN21/RUS110.DOCX")</f>
      </c>
      <c r="R225" s="0" t="s">
        <v>43</v>
      </c>
      <c r="S225" s="0" t="s">
        <v>42</v>
      </c>
      <c r="T225" s="0" t="s">
        <v>42</v>
      </c>
      <c r="U225" s="0" t="s">
        <v>42</v>
      </c>
      <c r="V225" s="0" t="s">
        <v>42</v>
      </c>
      <c r="W225" s="0" t="s">
        <v>42</v>
      </c>
      <c r="X225" s="0" t="s">
        <v>42</v>
      </c>
      <c r="Y225" s="2" t="s">
        <v>1148</v>
      </c>
      <c r="Z225" s="0" t="s">
        <v>36</v>
      </c>
      <c r="AA225" s="0" t="s">
        <v>36</v>
      </c>
      <c r="AB225" s="0" t="s">
        <v>36</v>
      </c>
      <c r="AC225" s="0" t="s">
        <v>36</v>
      </c>
      <c r="AD225" s="0" t="s">
        <v>36</v>
      </c>
      <c r="AE225" s="2" t="s">
        <v>36</v>
      </c>
    </row>
    <row r="226">
      <c r="A226" s="6" t="s">
        <v>31</v>
      </c>
      <c r="B226" s="7">
        <v>44244</v>
      </c>
      <c r="C226" s="9">
        <f>HYPERLINK("https://www.epingalert.org/en/Search?viewData= G/SPS/N/RUS/211"," G/SPS/N/RUS/211")</f>
      </c>
      <c r="D226" s="8" t="s">
        <v>1149</v>
      </c>
      <c r="E226" s="8" t="s">
        <v>1150</v>
      </c>
      <c r="F226" s="8" t="s">
        <v>1151</v>
      </c>
      <c r="G226" s="8" t="s">
        <v>1152</v>
      </c>
      <c r="H226" s="8" t="s">
        <v>36</v>
      </c>
      <c r="I226" s="8" t="s">
        <v>37</v>
      </c>
      <c r="J226" s="8" t="s">
        <v>1153</v>
      </c>
      <c r="K226" s="6" t="s">
        <v>1154</v>
      </c>
      <c r="L226" s="7" t="s">
        <v>36</v>
      </c>
      <c r="M226" s="6" t="s">
        <v>40</v>
      </c>
      <c r="N226" s="8" t="s">
        <v>1155</v>
      </c>
      <c r="O226" s="6">
        <f>HYPERLINK("https://docs.wto.org/imrd/directdoc.asp?DDFDocuments/t/G/SPS/NRUS211.DOCX", "https://docs.wto.org/imrd/directdoc.asp?DDFDocuments/t/G/SPS/NRUS211.DOCX")</f>
      </c>
      <c r="P226" s="6">
        <f>HYPERLINK("https://docs.wto.org/imrd/directdoc.asp?DDFDocuments/u/G/SPS/NRUS211.DOCX", "https://docs.wto.org/imrd/directdoc.asp?DDFDocuments/u/G/SPS/NRUS211.DOCX")</f>
      </c>
      <c r="Q226" s="6">
        <f>HYPERLINK("https://docs.wto.org/imrd/directdoc.asp?DDFDocuments/v/G/SPS/NRUS211.DOCX", "https://docs.wto.org/imrd/directdoc.asp?DDFDocuments/v/G/SPS/NRUS211.DOCX")</f>
      </c>
      <c r="R226" s="0" t="s">
        <v>36</v>
      </c>
      <c r="S226" s="0" t="s">
        <v>36</v>
      </c>
      <c r="T226" s="0" t="s">
        <v>36</v>
      </c>
      <c r="U226" s="0" t="s">
        <v>36</v>
      </c>
      <c r="V226" s="0" t="s">
        <v>36</v>
      </c>
      <c r="W226" s="0" t="s">
        <v>36</v>
      </c>
      <c r="X226" s="0" t="s">
        <v>36</v>
      </c>
      <c r="Y226" s="2" t="s">
        <v>36</v>
      </c>
      <c r="Z226" s="0" t="s">
        <v>42</v>
      </c>
      <c r="AA226" s="0" t="s">
        <v>43</v>
      </c>
      <c r="AB226" s="0" t="s">
        <v>42</v>
      </c>
      <c r="AC226" s="0" t="s">
        <v>42</v>
      </c>
      <c r="AD226" s="0" t="s">
        <v>43</v>
      </c>
      <c r="AE226" s="2" t="s">
        <v>36</v>
      </c>
    </row>
    <row r="227">
      <c r="A227" s="6" t="s">
        <v>31</v>
      </c>
      <c r="B227" s="7">
        <v>44243</v>
      </c>
      <c r="C227" s="9">
        <f>HYPERLINK("https://www.epingalert.org/en/Search?viewData= G/SPS/N/RUS/210"," G/SPS/N/RUS/210")</f>
      </c>
      <c r="D227" s="8" t="s">
        <v>1156</v>
      </c>
      <c r="E227" s="8" t="s">
        <v>1157</v>
      </c>
      <c r="F227" s="8" t="s">
        <v>563</v>
      </c>
      <c r="G227" s="8" t="s">
        <v>36</v>
      </c>
      <c r="H227" s="8" t="s">
        <v>36</v>
      </c>
      <c r="I227" s="8" t="s">
        <v>97</v>
      </c>
      <c r="J227" s="8" t="s">
        <v>1158</v>
      </c>
      <c r="K227" s="6"/>
      <c r="L227" s="7">
        <v>44292</v>
      </c>
      <c r="M227" s="6" t="s">
        <v>51</v>
      </c>
      <c r="N227" s="8" t="s">
        <v>1159</v>
      </c>
      <c r="O227" s="6">
        <f>HYPERLINK("https://docs.wto.org/imrd/directdoc.asp?DDFDocuments/t/G/SPS/NRUS210.DOCX", "https://docs.wto.org/imrd/directdoc.asp?DDFDocuments/t/G/SPS/NRUS210.DOCX")</f>
      </c>
      <c r="P227" s="6">
        <f>HYPERLINK("https://docs.wto.org/imrd/directdoc.asp?DDFDocuments/u/G/SPS/NRUS210.DOCX", "https://docs.wto.org/imrd/directdoc.asp?DDFDocuments/u/G/SPS/NRUS210.DOCX")</f>
      </c>
      <c r="Q227" s="6">
        <f>HYPERLINK("https://docs.wto.org/imrd/directdoc.asp?DDFDocuments/v/G/SPS/NRUS210.DOCX", "https://docs.wto.org/imrd/directdoc.asp?DDFDocuments/v/G/SPS/NRUS210.DOCX")</f>
      </c>
      <c r="R227" s="0" t="s">
        <v>36</v>
      </c>
      <c r="S227" s="0" t="s">
        <v>36</v>
      </c>
      <c r="T227" s="0" t="s">
        <v>36</v>
      </c>
      <c r="U227" s="0" t="s">
        <v>36</v>
      </c>
      <c r="V227" s="0" t="s">
        <v>36</v>
      </c>
      <c r="W227" s="0" t="s">
        <v>36</v>
      </c>
      <c r="X227" s="0" t="s">
        <v>36</v>
      </c>
      <c r="Y227" s="2" t="s">
        <v>36</v>
      </c>
      <c r="Z227" s="0" t="s">
        <v>43</v>
      </c>
      <c r="AA227" s="0" t="s">
        <v>42</v>
      </c>
      <c r="AB227" s="0" t="s">
        <v>42</v>
      </c>
      <c r="AC227" s="0" t="s">
        <v>42</v>
      </c>
      <c r="AD227" s="0" t="s">
        <v>43</v>
      </c>
      <c r="AE227" s="2" t="s">
        <v>36</v>
      </c>
    </row>
    <row r="228">
      <c r="A228" s="6" t="s">
        <v>31</v>
      </c>
      <c r="B228" s="7">
        <v>44238</v>
      </c>
      <c r="C228" s="9">
        <f>HYPERLINK("https://www.epingalert.org/en/Search?viewData= G/SPS/N/RUS/206/Corr.1"," G/SPS/N/RUS/206/Corr.1")</f>
      </c>
      <c r="D228" s="8" t="s">
        <v>1160</v>
      </c>
      <c r="E228" s="8" t="s">
        <v>1161</v>
      </c>
      <c r="F228" s="8"/>
      <c r="G228" s="8" t="s">
        <v>1102</v>
      </c>
      <c r="H228" s="8" t="s">
        <v>36</v>
      </c>
      <c r="I228" s="8" t="s">
        <v>332</v>
      </c>
      <c r="J228" s="8" t="s">
        <v>1162</v>
      </c>
      <c r="K228" s="6"/>
      <c r="L228" s="7" t="s">
        <v>36</v>
      </c>
      <c r="M228" s="6" t="s">
        <v>690</v>
      </c>
      <c r="N228" s="6"/>
      <c r="O228" s="6">
        <f>HYPERLINK("https://docs.wto.org/imrd/directdoc.asp?DDFDocuments/t/G/SPS/NRUS206C1.DOCX", "https://docs.wto.org/imrd/directdoc.asp?DDFDocuments/t/G/SPS/NRUS206C1.DOCX")</f>
      </c>
      <c r="P228" s="6">
        <f>HYPERLINK("https://docs.wto.org/imrd/directdoc.asp?DDFDocuments/u/G/SPS/NRUS206C1.DOCX", "https://docs.wto.org/imrd/directdoc.asp?DDFDocuments/u/G/SPS/NRUS206C1.DOCX")</f>
      </c>
      <c r="Q228" s="6">
        <f>HYPERLINK("https://docs.wto.org/imrd/directdoc.asp?DDFDocuments/v/G/SPS/NRUS206C1.DOCX", "https://docs.wto.org/imrd/directdoc.asp?DDFDocuments/v/G/SPS/NRUS206C1.DOCX")</f>
      </c>
      <c r="R228" s="0" t="s">
        <v>36</v>
      </c>
      <c r="S228" s="0" t="s">
        <v>36</v>
      </c>
      <c r="T228" s="0" t="s">
        <v>36</v>
      </c>
      <c r="U228" s="0" t="s">
        <v>36</v>
      </c>
      <c r="V228" s="0" t="s">
        <v>36</v>
      </c>
      <c r="W228" s="0" t="s">
        <v>36</v>
      </c>
      <c r="X228" s="0" t="s">
        <v>36</v>
      </c>
      <c r="Y228" s="2" t="s">
        <v>36</v>
      </c>
      <c r="Z228" s="0" t="s">
        <v>36</v>
      </c>
      <c r="AA228" s="0" t="s">
        <v>36</v>
      </c>
      <c r="AB228" s="0" t="s">
        <v>36</v>
      </c>
      <c r="AC228" s="0" t="s">
        <v>36</v>
      </c>
      <c r="AD228" s="0" t="s">
        <v>36</v>
      </c>
      <c r="AE228" s="2" t="s">
        <v>36</v>
      </c>
    </row>
    <row r="229">
      <c r="A229" s="6" t="s">
        <v>31</v>
      </c>
      <c r="B229" s="7">
        <v>44238</v>
      </c>
      <c r="C229" s="9">
        <f>HYPERLINK("https://www.epingalert.org/en/Search?viewData= G/SPS/N/RUS/208"," G/SPS/N/RUS/208")</f>
      </c>
      <c r="D229" s="8" t="s">
        <v>1163</v>
      </c>
      <c r="E229" s="8" t="s">
        <v>1164</v>
      </c>
      <c r="F229" s="8" t="s">
        <v>1151</v>
      </c>
      <c r="G229" s="8" t="s">
        <v>1152</v>
      </c>
      <c r="H229" s="8" t="s">
        <v>36</v>
      </c>
      <c r="I229" s="8" t="s">
        <v>37</v>
      </c>
      <c r="J229" s="8" t="s">
        <v>1165</v>
      </c>
      <c r="K229" s="6" t="s">
        <v>173</v>
      </c>
      <c r="L229" s="7" t="s">
        <v>36</v>
      </c>
      <c r="M229" s="6" t="s">
        <v>40</v>
      </c>
      <c r="N229" s="8" t="s">
        <v>1166</v>
      </c>
      <c r="O229" s="6">
        <f>HYPERLINK("https://docs.wto.org/imrd/directdoc.asp?DDFDocuments/t/G/SPS/NRUS208.DOCX", "https://docs.wto.org/imrd/directdoc.asp?DDFDocuments/t/G/SPS/NRUS208.DOCX")</f>
      </c>
      <c r="P229" s="6">
        <f>HYPERLINK("https://docs.wto.org/imrd/directdoc.asp?DDFDocuments/u/G/SPS/NRUS208.DOCX", "https://docs.wto.org/imrd/directdoc.asp?DDFDocuments/u/G/SPS/NRUS208.DOCX")</f>
      </c>
      <c r="Q229" s="6">
        <f>HYPERLINK("https://docs.wto.org/imrd/directdoc.asp?DDFDocuments/v/G/SPS/NRUS208.DOCX", "https://docs.wto.org/imrd/directdoc.asp?DDFDocuments/v/G/SPS/NRUS208.DOCX")</f>
      </c>
      <c r="R229" s="0" t="s">
        <v>36</v>
      </c>
      <c r="S229" s="0" t="s">
        <v>36</v>
      </c>
      <c r="T229" s="0" t="s">
        <v>36</v>
      </c>
      <c r="U229" s="0" t="s">
        <v>36</v>
      </c>
      <c r="V229" s="0" t="s">
        <v>36</v>
      </c>
      <c r="W229" s="0" t="s">
        <v>36</v>
      </c>
      <c r="X229" s="0" t="s">
        <v>36</v>
      </c>
      <c r="Y229" s="2" t="s">
        <v>36</v>
      </c>
      <c r="Z229" s="0" t="s">
        <v>42</v>
      </c>
      <c r="AA229" s="0" t="s">
        <v>43</v>
      </c>
      <c r="AB229" s="0" t="s">
        <v>42</v>
      </c>
      <c r="AC229" s="0" t="s">
        <v>42</v>
      </c>
      <c r="AD229" s="0" t="s">
        <v>43</v>
      </c>
      <c r="AE229" s="2" t="s">
        <v>36</v>
      </c>
    </row>
    <row r="230">
      <c r="A230" s="6" t="s">
        <v>31</v>
      </c>
      <c r="B230" s="7">
        <v>44238</v>
      </c>
      <c r="C230" s="9">
        <f>HYPERLINK("https://www.epingalert.org/en/Search?viewData= G/SPS/N/RUS/209"," G/SPS/N/RUS/209")</f>
      </c>
      <c r="D230" s="8" t="s">
        <v>1167</v>
      </c>
      <c r="E230" s="8" t="s">
        <v>1168</v>
      </c>
      <c r="F230" s="8" t="s">
        <v>1169</v>
      </c>
      <c r="G230" s="8" t="s">
        <v>1170</v>
      </c>
      <c r="H230" s="8" t="s">
        <v>36</v>
      </c>
      <c r="I230" s="8" t="s">
        <v>37</v>
      </c>
      <c r="J230" s="8" t="s">
        <v>1171</v>
      </c>
      <c r="K230" s="6" t="s">
        <v>392</v>
      </c>
      <c r="L230" s="7" t="s">
        <v>36</v>
      </c>
      <c r="M230" s="6" t="s">
        <v>40</v>
      </c>
      <c r="N230" s="8" t="s">
        <v>1172</v>
      </c>
      <c r="O230" s="6">
        <f>HYPERLINK("https://docs.wto.org/imrd/directdoc.asp?DDFDocuments/t/G/SPS/NRUS209.DOCX", "https://docs.wto.org/imrd/directdoc.asp?DDFDocuments/t/G/SPS/NRUS209.DOCX")</f>
      </c>
      <c r="P230" s="6">
        <f>HYPERLINK("https://docs.wto.org/imrd/directdoc.asp?DDFDocuments/u/G/SPS/NRUS209.DOCX", "https://docs.wto.org/imrd/directdoc.asp?DDFDocuments/u/G/SPS/NRUS209.DOCX")</f>
      </c>
      <c r="Q230" s="6">
        <f>HYPERLINK("https://docs.wto.org/imrd/directdoc.asp?DDFDocuments/v/G/SPS/NRUS209.DOCX", "https://docs.wto.org/imrd/directdoc.asp?DDFDocuments/v/G/SPS/NRUS209.DOCX")</f>
      </c>
      <c r="R230" s="0" t="s">
        <v>36</v>
      </c>
      <c r="S230" s="0" t="s">
        <v>36</v>
      </c>
      <c r="T230" s="0" t="s">
        <v>36</v>
      </c>
      <c r="U230" s="0" t="s">
        <v>36</v>
      </c>
      <c r="V230" s="0" t="s">
        <v>36</v>
      </c>
      <c r="W230" s="0" t="s">
        <v>36</v>
      </c>
      <c r="X230" s="0" t="s">
        <v>36</v>
      </c>
      <c r="Y230" s="2" t="s">
        <v>36</v>
      </c>
      <c r="Z230" s="0" t="s">
        <v>42</v>
      </c>
      <c r="AA230" s="0" t="s">
        <v>43</v>
      </c>
      <c r="AB230" s="0" t="s">
        <v>42</v>
      </c>
      <c r="AC230" s="0" t="s">
        <v>42</v>
      </c>
      <c r="AD230" s="0" t="s">
        <v>43</v>
      </c>
      <c r="AE230" s="2" t="s">
        <v>36</v>
      </c>
    </row>
    <row r="231">
      <c r="A231" s="6" t="s">
        <v>31</v>
      </c>
      <c r="B231" s="7">
        <v>44238</v>
      </c>
      <c r="C231" s="9">
        <f>HYPERLINK("https://www.epingalert.org/en/Search?viewData= G/SPS/N/RUS/206/Add.1"," G/SPS/N/RUS/206/Add.1")</f>
      </c>
      <c r="D231" s="8" t="s">
        <v>1173</v>
      </c>
      <c r="E231" s="8" t="s">
        <v>1174</v>
      </c>
      <c r="F231" s="8"/>
      <c r="G231" s="8" t="s">
        <v>1136</v>
      </c>
      <c r="H231" s="8" t="s">
        <v>36</v>
      </c>
      <c r="I231" s="8" t="s">
        <v>332</v>
      </c>
      <c r="J231" s="8" t="s">
        <v>1175</v>
      </c>
      <c r="K231" s="6"/>
      <c r="L231" s="7" t="s">
        <v>36</v>
      </c>
      <c r="M231" s="6" t="s">
        <v>179</v>
      </c>
      <c r="N231" s="6"/>
      <c r="O231" s="6">
        <f>HYPERLINK("https://docs.wto.org/imrd/directdoc.asp?DDFDocuments/t/G/SPS/NRUS206A1.DOCX", "https://docs.wto.org/imrd/directdoc.asp?DDFDocuments/t/G/SPS/NRUS206A1.DOCX")</f>
      </c>
      <c r="P231" s="6">
        <f>HYPERLINK("https://docs.wto.org/imrd/directdoc.asp?DDFDocuments/u/G/SPS/NRUS206A1.DOCX", "https://docs.wto.org/imrd/directdoc.asp?DDFDocuments/u/G/SPS/NRUS206A1.DOCX")</f>
      </c>
      <c r="Q231" s="6">
        <f>HYPERLINK("https://docs.wto.org/imrd/directdoc.asp?DDFDocuments/v/G/SPS/NRUS206A1.DOCX", "https://docs.wto.org/imrd/directdoc.asp?DDFDocuments/v/G/SPS/NRUS206A1.DOCX")</f>
      </c>
      <c r="R231" s="0" t="s">
        <v>36</v>
      </c>
      <c r="S231" s="0" t="s">
        <v>36</v>
      </c>
      <c r="T231" s="0" t="s">
        <v>36</v>
      </c>
      <c r="U231" s="0" t="s">
        <v>36</v>
      </c>
      <c r="V231" s="0" t="s">
        <v>36</v>
      </c>
      <c r="W231" s="0" t="s">
        <v>36</v>
      </c>
      <c r="X231" s="0" t="s">
        <v>36</v>
      </c>
      <c r="Y231" s="2" t="s">
        <v>36</v>
      </c>
      <c r="Z231" s="0" t="s">
        <v>36</v>
      </c>
      <c r="AA231" s="0" t="s">
        <v>36</v>
      </c>
      <c r="AB231" s="0" t="s">
        <v>36</v>
      </c>
      <c r="AC231" s="0" t="s">
        <v>36</v>
      </c>
      <c r="AD231" s="0" t="s">
        <v>36</v>
      </c>
      <c r="AE231" s="2" t="s">
        <v>36</v>
      </c>
    </row>
    <row r="232">
      <c r="A232" s="6" t="s">
        <v>31</v>
      </c>
      <c r="B232" s="7">
        <v>44235</v>
      </c>
      <c r="C232" s="9">
        <f>HYPERLINK("https://www.epingalert.org/en/Search?viewData= G/SPS/N/RUS/207"," G/SPS/N/RUS/207")</f>
      </c>
      <c r="D232" s="8" t="s">
        <v>1176</v>
      </c>
      <c r="E232" s="8" t="s">
        <v>1177</v>
      </c>
      <c r="F232" s="8" t="s">
        <v>1178</v>
      </c>
      <c r="G232" s="8" t="s">
        <v>1179</v>
      </c>
      <c r="H232" s="8" t="s">
        <v>36</v>
      </c>
      <c r="I232" s="8" t="s">
        <v>332</v>
      </c>
      <c r="J232" s="8" t="s">
        <v>1180</v>
      </c>
      <c r="K232" s="6" t="s">
        <v>1181</v>
      </c>
      <c r="L232" s="7" t="s">
        <v>36</v>
      </c>
      <c r="M232" s="6" t="s">
        <v>40</v>
      </c>
      <c r="N232" s="8" t="s">
        <v>1182</v>
      </c>
      <c r="O232" s="6">
        <f>HYPERLINK("https://docs.wto.org/imrd/directdoc.asp?DDFDocuments/t/G/SPS/NRUS207.DOCX", "https://docs.wto.org/imrd/directdoc.asp?DDFDocuments/t/G/SPS/NRUS207.DOCX")</f>
      </c>
      <c r="P232" s="6">
        <f>HYPERLINK("https://docs.wto.org/imrd/directdoc.asp?DDFDocuments/u/G/SPS/NRUS207.DOCX", "https://docs.wto.org/imrd/directdoc.asp?DDFDocuments/u/G/SPS/NRUS207.DOCX")</f>
      </c>
      <c r="Q232" s="6">
        <f>HYPERLINK("https://docs.wto.org/imrd/directdoc.asp?DDFDocuments/v/G/SPS/NRUS207.DOCX", "https://docs.wto.org/imrd/directdoc.asp?DDFDocuments/v/G/SPS/NRUS207.DOCX")</f>
      </c>
      <c r="R232" s="0" t="s">
        <v>36</v>
      </c>
      <c r="S232" s="0" t="s">
        <v>36</v>
      </c>
      <c r="T232" s="0" t="s">
        <v>36</v>
      </c>
      <c r="U232" s="0" t="s">
        <v>36</v>
      </c>
      <c r="V232" s="0" t="s">
        <v>36</v>
      </c>
      <c r="W232" s="0" t="s">
        <v>36</v>
      </c>
      <c r="X232" s="0" t="s">
        <v>36</v>
      </c>
      <c r="Y232" s="2" t="s">
        <v>36</v>
      </c>
      <c r="Z232" s="0" t="s">
        <v>42</v>
      </c>
      <c r="AA232" s="0" t="s">
        <v>43</v>
      </c>
      <c r="AB232" s="0" t="s">
        <v>42</v>
      </c>
      <c r="AC232" s="0" t="s">
        <v>42</v>
      </c>
      <c r="AD232" s="0" t="s">
        <v>43</v>
      </c>
      <c r="AE232" s="2" t="s">
        <v>36</v>
      </c>
    </row>
    <row r="233">
      <c r="A233" s="6" t="s">
        <v>31</v>
      </c>
      <c r="B233" s="7">
        <v>44235</v>
      </c>
      <c r="C233" s="9">
        <f>HYPERLINK("https://www.epingalert.org/en/Search?viewData= G/TBT/N/RUS/109"," G/TBT/N/RUS/109")</f>
      </c>
      <c r="D233" s="8" t="s">
        <v>1183</v>
      </c>
      <c r="E233" s="8" t="s">
        <v>1184</v>
      </c>
      <c r="F233" s="8" t="s">
        <v>1185</v>
      </c>
      <c r="G233" s="8" t="s">
        <v>36</v>
      </c>
      <c r="H233" s="8" t="s">
        <v>36</v>
      </c>
      <c r="I233" s="8" t="s">
        <v>796</v>
      </c>
      <c r="J233" s="8" t="s">
        <v>120</v>
      </c>
      <c r="K233" s="6"/>
      <c r="L233" s="7">
        <v>44295</v>
      </c>
      <c r="M233" s="6" t="s">
        <v>51</v>
      </c>
      <c r="N233" s="8" t="s">
        <v>1186</v>
      </c>
      <c r="O233" s="6">
        <f>HYPERLINK("https://docs.wto.org/imrd/directdoc.asp?DDFDocuments/t/G/TBTN21/RUS109.DOCX", "https://docs.wto.org/imrd/directdoc.asp?DDFDocuments/t/G/TBTN21/RUS109.DOCX")</f>
      </c>
      <c r="P233" s="6">
        <f>HYPERLINK("https://docs.wto.org/imrd/directdoc.asp?DDFDocuments/u/G/TBTN21/RUS109.DOCX", "https://docs.wto.org/imrd/directdoc.asp?DDFDocuments/u/G/TBTN21/RUS109.DOCX")</f>
      </c>
      <c r="Q233" s="6">
        <f>HYPERLINK("https://docs.wto.org/imrd/directdoc.asp?DDFDocuments/v/G/TBTN21/RUS109.DOCX", "https://docs.wto.org/imrd/directdoc.asp?DDFDocuments/v/G/TBTN21/RUS109.DOCX")</f>
      </c>
      <c r="R233" s="0" t="s">
        <v>43</v>
      </c>
      <c r="S233" s="0" t="s">
        <v>42</v>
      </c>
      <c r="T233" s="0" t="s">
        <v>42</v>
      </c>
      <c r="U233" s="0" t="s">
        <v>42</v>
      </c>
      <c r="V233" s="0" t="s">
        <v>42</v>
      </c>
      <c r="W233" s="0" t="s">
        <v>42</v>
      </c>
      <c r="X233" s="0" t="s">
        <v>42</v>
      </c>
      <c r="Y233" s="2" t="s">
        <v>1187</v>
      </c>
      <c r="Z233" s="0" t="s">
        <v>36</v>
      </c>
      <c r="AA233" s="0" t="s">
        <v>36</v>
      </c>
      <c r="AB233" s="0" t="s">
        <v>36</v>
      </c>
      <c r="AC233" s="0" t="s">
        <v>36</v>
      </c>
      <c r="AD233" s="0" t="s">
        <v>36</v>
      </c>
      <c r="AE233" s="2" t="s">
        <v>36</v>
      </c>
    </row>
    <row r="234">
      <c r="A234" s="6" t="s">
        <v>31</v>
      </c>
      <c r="B234" s="7">
        <v>44230</v>
      </c>
      <c r="C234" s="9">
        <f>HYPERLINK("https://www.epingalert.org/en/Search?viewData= G/SPS/N/RUS/206"," G/SPS/N/RUS/206")</f>
      </c>
      <c r="D234" s="8" t="s">
        <v>1188</v>
      </c>
      <c r="E234" s="8" t="s">
        <v>1189</v>
      </c>
      <c r="F234" s="8" t="s">
        <v>1190</v>
      </c>
      <c r="G234" s="8" t="s">
        <v>1124</v>
      </c>
      <c r="H234" s="8" t="s">
        <v>36</v>
      </c>
      <c r="I234" s="8" t="s">
        <v>332</v>
      </c>
      <c r="J234" s="8" t="s">
        <v>1191</v>
      </c>
      <c r="K234" s="6" t="s">
        <v>1192</v>
      </c>
      <c r="L234" s="7" t="s">
        <v>36</v>
      </c>
      <c r="M234" s="6" t="s">
        <v>40</v>
      </c>
      <c r="N234" s="8" t="s">
        <v>1193</v>
      </c>
      <c r="O234" s="6">
        <f>HYPERLINK("https://docs.wto.org/imrd/directdoc.asp?DDFDocuments/t/G/SPS/NRUS206.DOCX", "https://docs.wto.org/imrd/directdoc.asp?DDFDocuments/t/G/SPS/NRUS206.DOCX")</f>
      </c>
      <c r="P234" s="6">
        <f>HYPERLINK("https://docs.wto.org/imrd/directdoc.asp?DDFDocuments/u/G/SPS/NRUS206.DOCX", "https://docs.wto.org/imrd/directdoc.asp?DDFDocuments/u/G/SPS/NRUS206.DOCX")</f>
      </c>
      <c r="Q234" s="6">
        <f>HYPERLINK("https://docs.wto.org/imrd/directdoc.asp?DDFDocuments/v/G/SPS/NRUS206.DOCX", "https://docs.wto.org/imrd/directdoc.asp?DDFDocuments/v/G/SPS/NRUS206.DOCX")</f>
      </c>
      <c r="R234" s="0" t="s">
        <v>36</v>
      </c>
      <c r="S234" s="0" t="s">
        <v>36</v>
      </c>
      <c r="T234" s="0" t="s">
        <v>36</v>
      </c>
      <c r="U234" s="0" t="s">
        <v>36</v>
      </c>
      <c r="V234" s="0" t="s">
        <v>36</v>
      </c>
      <c r="W234" s="0" t="s">
        <v>36</v>
      </c>
      <c r="X234" s="0" t="s">
        <v>36</v>
      </c>
      <c r="Y234" s="2" t="s">
        <v>36</v>
      </c>
      <c r="Z234" s="0" t="s">
        <v>42</v>
      </c>
      <c r="AA234" s="0" t="s">
        <v>43</v>
      </c>
      <c r="AB234" s="0" t="s">
        <v>42</v>
      </c>
      <c r="AC234" s="0" t="s">
        <v>42</v>
      </c>
      <c r="AD234" s="0" t="s">
        <v>43</v>
      </c>
      <c r="AE234" s="2" t="s">
        <v>36</v>
      </c>
    </row>
    <row r="235">
      <c r="A235" s="6" t="s">
        <v>31</v>
      </c>
      <c r="B235" s="7">
        <v>44225</v>
      </c>
      <c r="C235" s="9">
        <f>HYPERLINK("https://www.epingalert.org/en/Search?viewData= G/SPS/N/RUS/205"," G/SPS/N/RUS/205")</f>
      </c>
      <c r="D235" s="8" t="s">
        <v>1194</v>
      </c>
      <c r="E235" s="8" t="s">
        <v>1195</v>
      </c>
      <c r="F235" s="8" t="s">
        <v>408</v>
      </c>
      <c r="G235" s="8" t="s">
        <v>36</v>
      </c>
      <c r="H235" s="8" t="s">
        <v>36</v>
      </c>
      <c r="I235" s="8" t="s">
        <v>505</v>
      </c>
      <c r="J235" s="8" t="s">
        <v>960</v>
      </c>
      <c r="K235" s="6"/>
      <c r="L235" s="7">
        <v>44285</v>
      </c>
      <c r="M235" s="6" t="s">
        <v>51</v>
      </c>
      <c r="N235" s="8" t="s">
        <v>1196</v>
      </c>
      <c r="O235" s="6">
        <f>HYPERLINK("https://docs.wto.org/imrd/directdoc.asp?DDFDocuments/t/G/SPS/NRUS205.DOCX", "https://docs.wto.org/imrd/directdoc.asp?DDFDocuments/t/G/SPS/NRUS205.DOCX")</f>
      </c>
      <c r="P235" s="6">
        <f>HYPERLINK("https://docs.wto.org/imrd/directdoc.asp?DDFDocuments/u/G/SPS/NRUS205.DOCX", "https://docs.wto.org/imrd/directdoc.asp?DDFDocuments/u/G/SPS/NRUS205.DOCX")</f>
      </c>
      <c r="Q235" s="6">
        <f>HYPERLINK("https://docs.wto.org/imrd/directdoc.asp?DDFDocuments/v/G/SPS/NRUS205.DOCX", "https://docs.wto.org/imrd/directdoc.asp?DDFDocuments/v/G/SPS/NRUS205.DOCX")</f>
      </c>
      <c r="R235" s="0" t="s">
        <v>36</v>
      </c>
      <c r="S235" s="0" t="s">
        <v>36</v>
      </c>
      <c r="T235" s="0" t="s">
        <v>36</v>
      </c>
      <c r="U235" s="0" t="s">
        <v>36</v>
      </c>
      <c r="V235" s="0" t="s">
        <v>36</v>
      </c>
      <c r="W235" s="0" t="s">
        <v>36</v>
      </c>
      <c r="X235" s="0" t="s">
        <v>36</v>
      </c>
      <c r="Y235" s="2" t="s">
        <v>36</v>
      </c>
      <c r="Z235" s="0" t="s">
        <v>42</v>
      </c>
      <c r="AA235" s="0" t="s">
        <v>42</v>
      </c>
      <c r="AB235" s="0" t="s">
        <v>43</v>
      </c>
      <c r="AC235" s="0" t="s">
        <v>42</v>
      </c>
      <c r="AD235" s="0" t="s">
        <v>43</v>
      </c>
      <c r="AE235" s="2" t="s">
        <v>36</v>
      </c>
    </row>
    <row r="236">
      <c r="A236" s="6" t="s">
        <v>31</v>
      </c>
      <c r="B236" s="7">
        <v>44225</v>
      </c>
      <c r="C236" s="9">
        <f>HYPERLINK("https://www.epingalert.org/en/Search?viewData= G/SPS/N/RUS/204"," G/SPS/N/RUS/204")</f>
      </c>
      <c r="D236" s="8" t="s">
        <v>1197</v>
      </c>
      <c r="E236" s="8" t="s">
        <v>1198</v>
      </c>
      <c r="F236" s="8" t="s">
        <v>1199</v>
      </c>
      <c r="G236" s="8" t="s">
        <v>1081</v>
      </c>
      <c r="H236" s="8" t="s">
        <v>36</v>
      </c>
      <c r="I236" s="8" t="s">
        <v>505</v>
      </c>
      <c r="J236" s="8" t="s">
        <v>960</v>
      </c>
      <c r="K236" s="6"/>
      <c r="L236" s="7">
        <v>44285</v>
      </c>
      <c r="M236" s="6" t="s">
        <v>51</v>
      </c>
      <c r="N236" s="8" t="s">
        <v>1200</v>
      </c>
      <c r="O236" s="6">
        <f>HYPERLINK("https://docs.wto.org/imrd/directdoc.asp?DDFDocuments/t/G/SPS/NRUS204.DOCX", "https://docs.wto.org/imrd/directdoc.asp?DDFDocuments/t/G/SPS/NRUS204.DOCX")</f>
      </c>
      <c r="P236" s="6">
        <f>HYPERLINK("https://docs.wto.org/imrd/directdoc.asp?DDFDocuments/u/G/SPS/NRUS204.DOCX", "https://docs.wto.org/imrd/directdoc.asp?DDFDocuments/u/G/SPS/NRUS204.DOCX")</f>
      </c>
      <c r="Q236" s="6">
        <f>HYPERLINK("https://docs.wto.org/imrd/directdoc.asp?DDFDocuments/v/G/SPS/NRUS204.DOCX", "https://docs.wto.org/imrd/directdoc.asp?DDFDocuments/v/G/SPS/NRUS204.DOCX")</f>
      </c>
      <c r="R236" s="0" t="s">
        <v>36</v>
      </c>
      <c r="S236" s="0" t="s">
        <v>36</v>
      </c>
      <c r="T236" s="0" t="s">
        <v>36</v>
      </c>
      <c r="U236" s="0" t="s">
        <v>36</v>
      </c>
      <c r="V236" s="0" t="s">
        <v>36</v>
      </c>
      <c r="W236" s="0" t="s">
        <v>36</v>
      </c>
      <c r="X236" s="0" t="s">
        <v>36</v>
      </c>
      <c r="Y236" s="2" t="s">
        <v>36</v>
      </c>
      <c r="Z236" s="0" t="s">
        <v>42</v>
      </c>
      <c r="AA236" s="0" t="s">
        <v>42</v>
      </c>
      <c r="AB236" s="0" t="s">
        <v>43</v>
      </c>
      <c r="AC236" s="0" t="s">
        <v>42</v>
      </c>
      <c r="AD236" s="0" t="s">
        <v>43</v>
      </c>
      <c r="AE236" s="2" t="s">
        <v>36</v>
      </c>
    </row>
    <row r="237">
      <c r="A237" s="6" t="s">
        <v>31</v>
      </c>
      <c r="B237" s="7">
        <v>44214</v>
      </c>
      <c r="C237" s="9">
        <f>HYPERLINK("https://www.epingalert.org/en/Search?viewData= G/SPS/N/RUS/203"," G/SPS/N/RUS/203")</f>
      </c>
      <c r="D237" s="8" t="s">
        <v>1201</v>
      </c>
      <c r="E237" s="8" t="s">
        <v>1202</v>
      </c>
      <c r="F237" s="8" t="s">
        <v>1203</v>
      </c>
      <c r="G237" s="8" t="s">
        <v>1204</v>
      </c>
      <c r="H237" s="8" t="s">
        <v>36</v>
      </c>
      <c r="I237" s="8" t="s">
        <v>332</v>
      </c>
      <c r="J237" s="8" t="s">
        <v>1205</v>
      </c>
      <c r="K237" s="6" t="s">
        <v>978</v>
      </c>
      <c r="L237" s="7" t="s">
        <v>36</v>
      </c>
      <c r="M237" s="6" t="s">
        <v>40</v>
      </c>
      <c r="N237" s="8" t="s">
        <v>1206</v>
      </c>
      <c r="O237" s="6">
        <f>HYPERLINK("https://docs.wto.org/imrd/directdoc.asp?DDFDocuments/t/G/SPS/NRUS203.DOCX", "https://docs.wto.org/imrd/directdoc.asp?DDFDocuments/t/G/SPS/NRUS203.DOCX")</f>
      </c>
      <c r="P237" s="6">
        <f>HYPERLINK("https://docs.wto.org/imrd/directdoc.asp?DDFDocuments/u/G/SPS/NRUS203.DOCX", "https://docs.wto.org/imrd/directdoc.asp?DDFDocuments/u/G/SPS/NRUS203.DOCX")</f>
      </c>
      <c r="Q237" s="6">
        <f>HYPERLINK("https://docs.wto.org/imrd/directdoc.asp?DDFDocuments/v/G/SPS/NRUS203.DOCX", "https://docs.wto.org/imrd/directdoc.asp?DDFDocuments/v/G/SPS/NRUS203.DOCX")</f>
      </c>
      <c r="R237" s="0" t="s">
        <v>36</v>
      </c>
      <c r="S237" s="0" t="s">
        <v>36</v>
      </c>
      <c r="T237" s="0" t="s">
        <v>36</v>
      </c>
      <c r="U237" s="0" t="s">
        <v>36</v>
      </c>
      <c r="V237" s="0" t="s">
        <v>36</v>
      </c>
      <c r="W237" s="0" t="s">
        <v>36</v>
      </c>
      <c r="X237" s="0" t="s">
        <v>36</v>
      </c>
      <c r="Y237" s="2" t="s">
        <v>36</v>
      </c>
      <c r="Z237" s="0" t="s">
        <v>42</v>
      </c>
      <c r="AA237" s="0" t="s">
        <v>43</v>
      </c>
      <c r="AB237" s="0" t="s">
        <v>42</v>
      </c>
      <c r="AC237" s="0" t="s">
        <v>42</v>
      </c>
      <c r="AD237" s="0" t="s">
        <v>43</v>
      </c>
      <c r="AE237" s="2" t="s">
        <v>36</v>
      </c>
    </row>
    <row r="238">
      <c r="A238" s="6" t="s">
        <v>31</v>
      </c>
      <c r="B238" s="7">
        <v>44180</v>
      </c>
      <c r="C238" s="9">
        <f>HYPERLINK("https://www.epingalert.org/en/Search?viewData= G/SPS/N/RUS/195/Add.1"," G/SPS/N/RUS/195/Add.1")</f>
      </c>
      <c r="D238" s="8" t="s">
        <v>1207</v>
      </c>
      <c r="E238" s="8" t="s">
        <v>1208</v>
      </c>
      <c r="F238" s="8"/>
      <c r="G238" s="8" t="s">
        <v>1209</v>
      </c>
      <c r="H238" s="8" t="s">
        <v>36</v>
      </c>
      <c r="I238" s="8" t="s">
        <v>37</v>
      </c>
      <c r="J238" s="8" t="s">
        <v>1210</v>
      </c>
      <c r="K238" s="6"/>
      <c r="L238" s="7" t="s">
        <v>36</v>
      </c>
      <c r="M238" s="6" t="s">
        <v>1211</v>
      </c>
      <c r="N238" s="6"/>
      <c r="O238" s="6">
        <f>HYPERLINK("https://docs.wto.org/imrd/directdoc.asp?DDFDocuments/t/G/SPS/NRUS195A1.DOCX", "https://docs.wto.org/imrd/directdoc.asp?DDFDocuments/t/G/SPS/NRUS195A1.DOCX")</f>
      </c>
      <c r="P238" s="6">
        <f>HYPERLINK("https://docs.wto.org/imrd/directdoc.asp?DDFDocuments/u/G/SPS/NRUS195A1.DOCX", "https://docs.wto.org/imrd/directdoc.asp?DDFDocuments/u/G/SPS/NRUS195A1.DOCX")</f>
      </c>
      <c r="Q238" s="6">
        <f>HYPERLINK("https://docs.wto.org/imrd/directdoc.asp?DDFDocuments/v/G/SPS/NRUS195A1.DOCX", "https://docs.wto.org/imrd/directdoc.asp?DDFDocuments/v/G/SPS/NRUS195A1.DOCX")</f>
      </c>
      <c r="R238" s="0" t="s">
        <v>36</v>
      </c>
      <c r="S238" s="0" t="s">
        <v>36</v>
      </c>
      <c r="T238" s="0" t="s">
        <v>36</v>
      </c>
      <c r="U238" s="0" t="s">
        <v>36</v>
      </c>
      <c r="V238" s="0" t="s">
        <v>36</v>
      </c>
      <c r="W238" s="0" t="s">
        <v>36</v>
      </c>
      <c r="X238" s="0" t="s">
        <v>36</v>
      </c>
      <c r="Y238" s="2" t="s">
        <v>36</v>
      </c>
      <c r="Z238" s="0" t="s">
        <v>36</v>
      </c>
      <c r="AA238" s="0" t="s">
        <v>36</v>
      </c>
      <c r="AB238" s="0" t="s">
        <v>36</v>
      </c>
      <c r="AC238" s="0" t="s">
        <v>36</v>
      </c>
      <c r="AD238" s="0" t="s">
        <v>36</v>
      </c>
      <c r="AE238" s="2" t="s">
        <v>36</v>
      </c>
    </row>
    <row r="239">
      <c r="A239" s="6" t="s">
        <v>31</v>
      </c>
      <c r="B239" s="7">
        <v>44174</v>
      </c>
      <c r="C239" s="9">
        <f>HYPERLINK("https://www.epingalert.org/en/Search?viewData= G/SPS/N/RUS/200"," G/SPS/N/RUS/200")</f>
      </c>
      <c r="D239" s="8" t="s">
        <v>1212</v>
      </c>
      <c r="E239" s="8" t="s">
        <v>1213</v>
      </c>
      <c r="F239" s="8" t="s">
        <v>959</v>
      </c>
      <c r="G239" s="8" t="s">
        <v>842</v>
      </c>
      <c r="H239" s="8" t="s">
        <v>36</v>
      </c>
      <c r="I239" s="8" t="s">
        <v>505</v>
      </c>
      <c r="J239" s="8" t="s">
        <v>605</v>
      </c>
      <c r="K239" s="6" t="s">
        <v>85</v>
      </c>
      <c r="L239" s="7" t="s">
        <v>36</v>
      </c>
      <c r="M239" s="6" t="s">
        <v>40</v>
      </c>
      <c r="N239" s="8" t="s">
        <v>1214</v>
      </c>
      <c r="O239" s="6">
        <f>HYPERLINK("https://docs.wto.org/imrd/directdoc.asp?DDFDocuments/t/G/SPS/NRUS200.DOCX", "https://docs.wto.org/imrd/directdoc.asp?DDFDocuments/t/G/SPS/NRUS200.DOCX")</f>
      </c>
      <c r="P239" s="6">
        <f>HYPERLINK("https://docs.wto.org/imrd/directdoc.asp?DDFDocuments/u/G/SPS/NRUS200.DOCX", "https://docs.wto.org/imrd/directdoc.asp?DDFDocuments/u/G/SPS/NRUS200.DOCX")</f>
      </c>
      <c r="Q239" s="6">
        <f>HYPERLINK("https://docs.wto.org/imrd/directdoc.asp?DDFDocuments/v/G/SPS/NRUS200.DOCX", "https://docs.wto.org/imrd/directdoc.asp?DDFDocuments/v/G/SPS/NRUS200.DOCX")</f>
      </c>
      <c r="R239" s="0" t="s">
        <v>36</v>
      </c>
      <c r="S239" s="0" t="s">
        <v>36</v>
      </c>
      <c r="T239" s="0" t="s">
        <v>36</v>
      </c>
      <c r="U239" s="0" t="s">
        <v>36</v>
      </c>
      <c r="V239" s="0" t="s">
        <v>36</v>
      </c>
      <c r="W239" s="0" t="s">
        <v>36</v>
      </c>
      <c r="X239" s="0" t="s">
        <v>36</v>
      </c>
      <c r="Y239" s="2" t="s">
        <v>36</v>
      </c>
      <c r="Z239" s="0" t="s">
        <v>42</v>
      </c>
      <c r="AA239" s="0" t="s">
        <v>42</v>
      </c>
      <c r="AB239" s="0" t="s">
        <v>43</v>
      </c>
      <c r="AC239" s="0" t="s">
        <v>42</v>
      </c>
      <c r="AD239" s="0" t="s">
        <v>43</v>
      </c>
      <c r="AE239" s="2" t="s">
        <v>36</v>
      </c>
    </row>
    <row r="240">
      <c r="A240" s="6" t="s">
        <v>31</v>
      </c>
      <c r="B240" s="7">
        <v>44174</v>
      </c>
      <c r="C240" s="9">
        <f>HYPERLINK("https://www.epingalert.org/en/Search?viewData= G/SPS/N/RUS/201"," G/SPS/N/RUS/201")</f>
      </c>
      <c r="D240" s="8" t="s">
        <v>1215</v>
      </c>
      <c r="E240" s="8" t="s">
        <v>1216</v>
      </c>
      <c r="F240" s="8" t="s">
        <v>1139</v>
      </c>
      <c r="G240" s="8" t="s">
        <v>1140</v>
      </c>
      <c r="H240" s="8" t="s">
        <v>36</v>
      </c>
      <c r="I240" s="8" t="s">
        <v>505</v>
      </c>
      <c r="J240" s="8" t="s">
        <v>1217</v>
      </c>
      <c r="K240" s="6" t="s">
        <v>1218</v>
      </c>
      <c r="L240" s="7" t="s">
        <v>36</v>
      </c>
      <c r="M240" s="6" t="s">
        <v>40</v>
      </c>
      <c r="N240" s="8" t="s">
        <v>1219</v>
      </c>
      <c r="O240" s="6">
        <f>HYPERLINK("https://docs.wto.org/imrd/directdoc.asp?DDFDocuments/t/G/SPS/NRUS201.DOCX", "https://docs.wto.org/imrd/directdoc.asp?DDFDocuments/t/G/SPS/NRUS201.DOCX")</f>
      </c>
      <c r="P240" s="6">
        <f>HYPERLINK("https://docs.wto.org/imrd/directdoc.asp?DDFDocuments/u/G/SPS/NRUS201.DOCX", "https://docs.wto.org/imrd/directdoc.asp?DDFDocuments/u/G/SPS/NRUS201.DOCX")</f>
      </c>
      <c r="Q240" s="6">
        <f>HYPERLINK("https://docs.wto.org/imrd/directdoc.asp?DDFDocuments/v/G/SPS/NRUS201.DOCX", "https://docs.wto.org/imrd/directdoc.asp?DDFDocuments/v/G/SPS/NRUS201.DOCX")</f>
      </c>
      <c r="R240" s="0" t="s">
        <v>36</v>
      </c>
      <c r="S240" s="0" t="s">
        <v>36</v>
      </c>
      <c r="T240" s="0" t="s">
        <v>36</v>
      </c>
      <c r="U240" s="0" t="s">
        <v>36</v>
      </c>
      <c r="V240" s="0" t="s">
        <v>36</v>
      </c>
      <c r="W240" s="0" t="s">
        <v>36</v>
      </c>
      <c r="X240" s="0" t="s">
        <v>36</v>
      </c>
      <c r="Y240" s="2" t="s">
        <v>36</v>
      </c>
      <c r="Z240" s="0" t="s">
        <v>42</v>
      </c>
      <c r="AA240" s="0" t="s">
        <v>42</v>
      </c>
      <c r="AB240" s="0" t="s">
        <v>43</v>
      </c>
      <c r="AC240" s="0" t="s">
        <v>42</v>
      </c>
      <c r="AD240" s="0" t="s">
        <v>43</v>
      </c>
      <c r="AE240" s="2" t="s">
        <v>36</v>
      </c>
    </row>
    <row r="241">
      <c r="A241" s="6" t="s">
        <v>31</v>
      </c>
      <c r="B241" s="7">
        <v>44174</v>
      </c>
      <c r="C241" s="9">
        <f>HYPERLINK("https://www.epingalert.org/en/Search?viewData= G/SPS/N/RUS/202"," G/SPS/N/RUS/202")</f>
      </c>
      <c r="D241" s="8" t="s">
        <v>1220</v>
      </c>
      <c r="E241" s="8" t="s">
        <v>1221</v>
      </c>
      <c r="F241" s="8" t="s">
        <v>1222</v>
      </c>
      <c r="G241" s="8" t="s">
        <v>1223</v>
      </c>
      <c r="H241" s="8" t="s">
        <v>36</v>
      </c>
      <c r="I241" s="8" t="s">
        <v>332</v>
      </c>
      <c r="J241" s="8" t="s">
        <v>1224</v>
      </c>
      <c r="K241" s="6" t="s">
        <v>1225</v>
      </c>
      <c r="L241" s="7" t="s">
        <v>36</v>
      </c>
      <c r="M241" s="6" t="s">
        <v>40</v>
      </c>
      <c r="N241" s="8" t="s">
        <v>1226</v>
      </c>
      <c r="O241" s="6">
        <f>HYPERLINK("https://docs.wto.org/imrd/directdoc.asp?DDFDocuments/t/G/SPS/NRUS202.DOCX", "https://docs.wto.org/imrd/directdoc.asp?DDFDocuments/t/G/SPS/NRUS202.DOCX")</f>
      </c>
      <c r="P241" s="6">
        <f>HYPERLINK("https://docs.wto.org/imrd/directdoc.asp?DDFDocuments/u/G/SPS/NRUS202.DOCX", "https://docs.wto.org/imrd/directdoc.asp?DDFDocuments/u/G/SPS/NRUS202.DOCX")</f>
      </c>
      <c r="Q241" s="6">
        <f>HYPERLINK("https://docs.wto.org/imrd/directdoc.asp?DDFDocuments/v/G/SPS/NRUS202.DOCX", "https://docs.wto.org/imrd/directdoc.asp?DDFDocuments/v/G/SPS/NRUS202.DOCX")</f>
      </c>
      <c r="R241" s="0" t="s">
        <v>36</v>
      </c>
      <c r="S241" s="0" t="s">
        <v>36</v>
      </c>
      <c r="T241" s="0" t="s">
        <v>36</v>
      </c>
      <c r="U241" s="0" t="s">
        <v>36</v>
      </c>
      <c r="V241" s="0" t="s">
        <v>36</v>
      </c>
      <c r="W241" s="0" t="s">
        <v>36</v>
      </c>
      <c r="X241" s="0" t="s">
        <v>36</v>
      </c>
      <c r="Y241" s="2" t="s">
        <v>36</v>
      </c>
      <c r="Z241" s="0" t="s">
        <v>42</v>
      </c>
      <c r="AA241" s="0" t="s">
        <v>43</v>
      </c>
      <c r="AB241" s="0" t="s">
        <v>42</v>
      </c>
      <c r="AC241" s="0" t="s">
        <v>42</v>
      </c>
      <c r="AD241" s="0" t="s">
        <v>43</v>
      </c>
      <c r="AE241" s="2" t="s">
        <v>36</v>
      </c>
    </row>
    <row r="242">
      <c r="A242" s="6" t="s">
        <v>31</v>
      </c>
      <c r="B242" s="7">
        <v>44146</v>
      </c>
      <c r="C242" s="9">
        <f>HYPERLINK("https://www.epingalert.org/en/Search?viewData= G/SPS/N/RUS/199"," G/SPS/N/RUS/199")</f>
      </c>
      <c r="D242" s="8" t="s">
        <v>1227</v>
      </c>
      <c r="E242" s="8" t="s">
        <v>1228</v>
      </c>
      <c r="F242" s="8" t="s">
        <v>1229</v>
      </c>
      <c r="G242" s="8" t="s">
        <v>1230</v>
      </c>
      <c r="H242" s="8" t="s">
        <v>36</v>
      </c>
      <c r="I242" s="8" t="s">
        <v>505</v>
      </c>
      <c r="J242" s="8" t="s">
        <v>1231</v>
      </c>
      <c r="K242" s="6"/>
      <c r="L242" s="7" t="s">
        <v>36</v>
      </c>
      <c r="M242" s="6" t="s">
        <v>40</v>
      </c>
      <c r="N242" s="6"/>
      <c r="O242" s="6">
        <f>HYPERLINK("https://docs.wto.org/imrd/directdoc.asp?DDFDocuments/t/G/SPS/NRUS199.DOCX", "https://docs.wto.org/imrd/directdoc.asp?DDFDocuments/t/G/SPS/NRUS199.DOCX")</f>
      </c>
      <c r="P242" s="6">
        <f>HYPERLINK("https://docs.wto.org/imrd/directdoc.asp?DDFDocuments/u/G/SPS/NRUS199.DOCX", "https://docs.wto.org/imrd/directdoc.asp?DDFDocuments/u/G/SPS/NRUS199.DOCX")</f>
      </c>
      <c r="Q242" s="6">
        <f>HYPERLINK("https://docs.wto.org/imrd/directdoc.asp?DDFDocuments/v/G/SPS/NRUS199.DOCX", "https://docs.wto.org/imrd/directdoc.asp?DDFDocuments/v/G/SPS/NRUS199.DOCX")</f>
      </c>
      <c r="R242" s="0" t="s">
        <v>36</v>
      </c>
      <c r="S242" s="0" t="s">
        <v>36</v>
      </c>
      <c r="T242" s="0" t="s">
        <v>36</v>
      </c>
      <c r="U242" s="0" t="s">
        <v>36</v>
      </c>
      <c r="V242" s="0" t="s">
        <v>36</v>
      </c>
      <c r="W242" s="0" t="s">
        <v>36</v>
      </c>
      <c r="X242" s="0" t="s">
        <v>36</v>
      </c>
      <c r="Y242" s="2" t="s">
        <v>36</v>
      </c>
      <c r="Z242" s="0" t="s">
        <v>42</v>
      </c>
      <c r="AA242" s="0" t="s">
        <v>42</v>
      </c>
      <c r="AB242" s="0" t="s">
        <v>43</v>
      </c>
      <c r="AC242" s="0" t="s">
        <v>42</v>
      </c>
      <c r="AD242" s="0" t="s">
        <v>43</v>
      </c>
      <c r="AE242" s="2" t="s">
        <v>36</v>
      </c>
    </row>
    <row r="243">
      <c r="A243" s="6" t="s">
        <v>31</v>
      </c>
      <c r="B243" s="7">
        <v>44139</v>
      </c>
      <c r="C243" s="9">
        <f>HYPERLINK("https://www.epingalert.org/en/Search?viewData= G/TBT/N/RUS/108"," G/TBT/N/RUS/108")</f>
      </c>
      <c r="D243" s="8" t="s">
        <v>1232</v>
      </c>
      <c r="E243" s="8" t="s">
        <v>1233</v>
      </c>
      <c r="F243" s="8" t="s">
        <v>1234</v>
      </c>
      <c r="G243" s="8" t="s">
        <v>36</v>
      </c>
      <c r="H243" s="8" t="s">
        <v>1235</v>
      </c>
      <c r="I243" s="8" t="s">
        <v>164</v>
      </c>
      <c r="J243" s="8" t="s">
        <v>36</v>
      </c>
      <c r="K243" s="6"/>
      <c r="L243" s="7">
        <v>44221</v>
      </c>
      <c r="M243" s="6" t="s">
        <v>51</v>
      </c>
      <c r="N243" s="8" t="s">
        <v>1236</v>
      </c>
      <c r="O243" s="6">
        <f>HYPERLINK("https://docs.wto.org/imrd/directdoc.asp?DDFDocuments/t/G/TBTN20/RUS108.DOCX", "https://docs.wto.org/imrd/directdoc.asp?DDFDocuments/t/G/TBTN20/RUS108.DOCX")</f>
      </c>
      <c r="P243" s="6">
        <f>HYPERLINK("https://docs.wto.org/imrd/directdoc.asp?DDFDocuments/u/G/TBTN20/RUS108.DOCX", "https://docs.wto.org/imrd/directdoc.asp?DDFDocuments/u/G/TBTN20/RUS108.DOCX")</f>
      </c>
      <c r="Q243" s="6">
        <f>HYPERLINK("https://docs.wto.org/imrd/directdoc.asp?DDFDocuments/v/G/TBTN20/RUS108.DOCX", "https://docs.wto.org/imrd/directdoc.asp?DDFDocuments/v/G/TBTN20/RUS108.DOCX")</f>
      </c>
      <c r="R243" s="0" t="s">
        <v>43</v>
      </c>
      <c r="S243" s="0" t="s">
        <v>42</v>
      </c>
      <c r="T243" s="0" t="s">
        <v>42</v>
      </c>
      <c r="U243" s="0" t="s">
        <v>42</v>
      </c>
      <c r="V243" s="0" t="s">
        <v>42</v>
      </c>
      <c r="W243" s="0" t="s">
        <v>42</v>
      </c>
      <c r="X243" s="0" t="s">
        <v>42</v>
      </c>
      <c r="Y243" s="2" t="s">
        <v>1237</v>
      </c>
      <c r="Z243" s="0" t="s">
        <v>36</v>
      </c>
      <c r="AA243" s="0" t="s">
        <v>36</v>
      </c>
      <c r="AB243" s="0" t="s">
        <v>36</v>
      </c>
      <c r="AC243" s="0" t="s">
        <v>36</v>
      </c>
      <c r="AD243" s="0" t="s">
        <v>36</v>
      </c>
      <c r="AE243" s="2" t="s">
        <v>36</v>
      </c>
    </row>
    <row r="244">
      <c r="A244" s="6" t="s">
        <v>31</v>
      </c>
      <c r="B244" s="7">
        <v>44137</v>
      </c>
      <c r="C244" s="9">
        <f>HYPERLINK("https://www.epingalert.org/en/Search?viewData= G/TBT/N/RUS/107"," G/TBT/N/RUS/107")</f>
      </c>
      <c r="D244" s="8" t="s">
        <v>1238</v>
      </c>
      <c r="E244" s="8" t="s">
        <v>1239</v>
      </c>
      <c r="F244" s="8" t="s">
        <v>1240</v>
      </c>
      <c r="G244" s="8" t="s">
        <v>36</v>
      </c>
      <c r="H244" s="8" t="s">
        <v>36</v>
      </c>
      <c r="I244" s="8" t="s">
        <v>164</v>
      </c>
      <c r="J244" s="8" t="s">
        <v>36</v>
      </c>
      <c r="K244" s="6"/>
      <c r="L244" s="7">
        <v>44217</v>
      </c>
      <c r="M244" s="6" t="s">
        <v>51</v>
      </c>
      <c r="N244" s="8" t="s">
        <v>1241</v>
      </c>
      <c r="O244" s="6">
        <f>HYPERLINK("https://docs.wto.org/imrd/directdoc.asp?DDFDocuments/t/G/TBTN20/RUS107.docx", "https://docs.wto.org/imrd/directdoc.asp?DDFDocuments/t/G/TBTN20/RUS107.docx")</f>
      </c>
      <c r="P244" s="6">
        <f>HYPERLINK("https://docs.wto.org/imrd/directdoc.asp?DDFDocuments/u/G/TBTN20/RUS107.docx", "https://docs.wto.org/imrd/directdoc.asp?DDFDocuments/u/G/TBTN20/RUS107.docx")</f>
      </c>
      <c r="Q244" s="6">
        <f>HYPERLINK("https://docs.wto.org/imrd/directdoc.asp?DDFDocuments/v/G/TBTN20/RUS107.docx", "https://docs.wto.org/imrd/directdoc.asp?DDFDocuments/v/G/TBTN20/RUS107.docx")</f>
      </c>
      <c r="R244" s="0" t="s">
        <v>43</v>
      </c>
      <c r="S244" s="0" t="s">
        <v>42</v>
      </c>
      <c r="T244" s="0" t="s">
        <v>42</v>
      </c>
      <c r="U244" s="0" t="s">
        <v>42</v>
      </c>
      <c r="V244" s="0" t="s">
        <v>42</v>
      </c>
      <c r="W244" s="0" t="s">
        <v>42</v>
      </c>
      <c r="X244" s="0" t="s">
        <v>42</v>
      </c>
      <c r="Y244" s="2" t="s">
        <v>1242</v>
      </c>
      <c r="Z244" s="0" t="s">
        <v>36</v>
      </c>
      <c r="AA244" s="0" t="s">
        <v>36</v>
      </c>
      <c r="AB244" s="0" t="s">
        <v>36</v>
      </c>
      <c r="AC244" s="0" t="s">
        <v>36</v>
      </c>
      <c r="AD244" s="0" t="s">
        <v>36</v>
      </c>
      <c r="AE244" s="2" t="s">
        <v>36</v>
      </c>
    </row>
    <row r="245">
      <c r="A245" s="6" t="s">
        <v>31</v>
      </c>
      <c r="B245" s="7">
        <v>44125</v>
      </c>
      <c r="C245" s="9">
        <f>HYPERLINK("https://www.epingalert.org/en/Search?viewData= G/SPS/N/RUS/198"," G/SPS/N/RUS/198")</f>
      </c>
      <c r="D245" s="8" t="s">
        <v>1243</v>
      </c>
      <c r="E245" s="8" t="s">
        <v>1244</v>
      </c>
      <c r="F245" s="8" t="s">
        <v>408</v>
      </c>
      <c r="G245" s="8" t="s">
        <v>36</v>
      </c>
      <c r="H245" s="8" t="s">
        <v>36</v>
      </c>
      <c r="I245" s="8" t="s">
        <v>65</v>
      </c>
      <c r="J245" s="8" t="s">
        <v>1245</v>
      </c>
      <c r="K245" s="6"/>
      <c r="L245" s="7">
        <v>44185</v>
      </c>
      <c r="M245" s="6" t="s">
        <v>51</v>
      </c>
      <c r="N245" s="8" t="s">
        <v>1246</v>
      </c>
      <c r="O245" s="6">
        <f>HYPERLINK("https://docs.wto.org/imrd/directdoc.asp?DDFDocuments/t/G/SPS/NRUS198.DOCX", "https://docs.wto.org/imrd/directdoc.asp?DDFDocuments/t/G/SPS/NRUS198.DOCX")</f>
      </c>
      <c r="P245" s="6">
        <f>HYPERLINK("https://docs.wto.org/imrd/directdoc.asp?DDFDocuments/u/G/SPS/NRUS198.DOCX", "https://docs.wto.org/imrd/directdoc.asp?DDFDocuments/u/G/SPS/NRUS198.DOCX")</f>
      </c>
      <c r="Q245" s="6">
        <f>HYPERLINK("https://docs.wto.org/imrd/directdoc.asp?DDFDocuments/v/G/SPS/NRUS198.DOCX", "https://docs.wto.org/imrd/directdoc.asp?DDFDocuments/v/G/SPS/NRUS198.DOCX")</f>
      </c>
      <c r="R245" s="0" t="s">
        <v>36</v>
      </c>
      <c r="S245" s="0" t="s">
        <v>36</v>
      </c>
      <c r="T245" s="0" t="s">
        <v>36</v>
      </c>
      <c r="U245" s="0" t="s">
        <v>36</v>
      </c>
      <c r="V245" s="0" t="s">
        <v>36</v>
      </c>
      <c r="W245" s="0" t="s">
        <v>36</v>
      </c>
      <c r="X245" s="0" t="s">
        <v>36</v>
      </c>
      <c r="Y245" s="2" t="s">
        <v>36</v>
      </c>
      <c r="Z245" s="0" t="s">
        <v>42</v>
      </c>
      <c r="AA245" s="0" t="s">
        <v>42</v>
      </c>
      <c r="AB245" s="0" t="s">
        <v>43</v>
      </c>
      <c r="AC245" s="0" t="s">
        <v>42</v>
      </c>
      <c r="AD245" s="0" t="s">
        <v>43</v>
      </c>
      <c r="AE245" s="2" t="s">
        <v>36</v>
      </c>
    </row>
    <row r="246">
      <c r="A246" s="6" t="s">
        <v>31</v>
      </c>
      <c r="B246" s="7">
        <v>44118</v>
      </c>
      <c r="C246" s="9">
        <f>HYPERLINK("https://www.epingalert.org/en/Search?viewData= G/SPS/N/RUS/197"," G/SPS/N/RUS/197")</f>
      </c>
      <c r="D246" s="8" t="s">
        <v>1247</v>
      </c>
      <c r="E246" s="8" t="s">
        <v>1248</v>
      </c>
      <c r="F246" s="8" t="s">
        <v>220</v>
      </c>
      <c r="G246" s="8" t="s">
        <v>36</v>
      </c>
      <c r="H246" s="8" t="s">
        <v>36</v>
      </c>
      <c r="I246" s="8" t="s">
        <v>37</v>
      </c>
      <c r="J246" s="8" t="s">
        <v>1249</v>
      </c>
      <c r="K246" s="6"/>
      <c r="L246" s="7">
        <v>44178</v>
      </c>
      <c r="M246" s="6" t="s">
        <v>51</v>
      </c>
      <c r="N246" s="8" t="s">
        <v>1250</v>
      </c>
      <c r="O246" s="6">
        <f>HYPERLINK("https://docs.wto.org/imrd/directdoc.asp?DDFDocuments/t/G/SPS/NRUS197.DOCX", "https://docs.wto.org/imrd/directdoc.asp?DDFDocuments/t/G/SPS/NRUS197.DOCX")</f>
      </c>
      <c r="P246" s="6">
        <f>HYPERLINK("https://docs.wto.org/imrd/directdoc.asp?DDFDocuments/u/G/SPS/NRUS197.DOCX", "https://docs.wto.org/imrd/directdoc.asp?DDFDocuments/u/G/SPS/NRUS197.DOCX")</f>
      </c>
      <c r="Q246" s="6">
        <f>HYPERLINK("https://docs.wto.org/imrd/directdoc.asp?DDFDocuments/v/G/SPS/NRUS197.DOCX", "https://docs.wto.org/imrd/directdoc.asp?DDFDocuments/v/G/SPS/NRUS197.DOCX")</f>
      </c>
      <c r="R246" s="0" t="s">
        <v>36</v>
      </c>
      <c r="S246" s="0" t="s">
        <v>36</v>
      </c>
      <c r="T246" s="0" t="s">
        <v>36</v>
      </c>
      <c r="U246" s="0" t="s">
        <v>36</v>
      </c>
      <c r="V246" s="0" t="s">
        <v>36</v>
      </c>
      <c r="W246" s="0" t="s">
        <v>36</v>
      </c>
      <c r="X246" s="0" t="s">
        <v>36</v>
      </c>
      <c r="Y246" s="2" t="s">
        <v>36</v>
      </c>
      <c r="Z246" s="0" t="s">
        <v>42</v>
      </c>
      <c r="AA246" s="0" t="s">
        <v>43</v>
      </c>
      <c r="AB246" s="0" t="s">
        <v>42</v>
      </c>
      <c r="AC246" s="0" t="s">
        <v>42</v>
      </c>
      <c r="AD246" s="0" t="s">
        <v>43</v>
      </c>
      <c r="AE246" s="2" t="s">
        <v>36</v>
      </c>
    </row>
    <row r="247">
      <c r="A247" s="6" t="s">
        <v>31</v>
      </c>
      <c r="B247" s="7">
        <v>44116</v>
      </c>
      <c r="C247" s="9">
        <f>HYPERLINK("https://www.epingalert.org/en/Search?viewData= G/TBT/N/RUS/106"," G/TBT/N/RUS/106")</f>
      </c>
      <c r="D247" s="8" t="s">
        <v>1251</v>
      </c>
      <c r="E247" s="8" t="s">
        <v>1252</v>
      </c>
      <c r="F247" s="8" t="s">
        <v>1253</v>
      </c>
      <c r="G247" s="8" t="s">
        <v>36</v>
      </c>
      <c r="H247" s="8" t="s">
        <v>1254</v>
      </c>
      <c r="I247" s="8" t="s">
        <v>164</v>
      </c>
      <c r="J247" s="8" t="s">
        <v>36</v>
      </c>
      <c r="K247" s="6"/>
      <c r="L247" s="7">
        <v>44176</v>
      </c>
      <c r="M247" s="6" t="s">
        <v>51</v>
      </c>
      <c r="N247" s="8" t="s">
        <v>1255</v>
      </c>
      <c r="O247" s="6">
        <f>HYPERLINK("https://docs.wto.org/imrd/directdoc.asp?DDFDocuments/t/G/TBTN20/RUS106.DOCX", "https://docs.wto.org/imrd/directdoc.asp?DDFDocuments/t/G/TBTN20/RUS106.DOCX")</f>
      </c>
      <c r="P247" s="6">
        <f>HYPERLINK("https://docs.wto.org/imrd/directdoc.asp?DDFDocuments/u/G/TBTN20/RUS106.DOCX", "https://docs.wto.org/imrd/directdoc.asp?DDFDocuments/u/G/TBTN20/RUS106.DOCX")</f>
      </c>
      <c r="Q247" s="6">
        <f>HYPERLINK("https://docs.wto.org/imrd/directdoc.asp?DDFDocuments/v/G/TBTN20/RUS106.DOCX", "https://docs.wto.org/imrd/directdoc.asp?DDFDocuments/v/G/TBTN20/RUS106.DOCX")</f>
      </c>
      <c r="R247" s="0" t="s">
        <v>43</v>
      </c>
      <c r="S247" s="0" t="s">
        <v>42</v>
      </c>
      <c r="T247" s="0" t="s">
        <v>42</v>
      </c>
      <c r="U247" s="0" t="s">
        <v>42</v>
      </c>
      <c r="V247" s="0" t="s">
        <v>42</v>
      </c>
      <c r="W247" s="0" t="s">
        <v>42</v>
      </c>
      <c r="X247" s="0" t="s">
        <v>42</v>
      </c>
      <c r="Y247" s="2" t="s">
        <v>1256</v>
      </c>
      <c r="Z247" s="0" t="s">
        <v>36</v>
      </c>
      <c r="AA247" s="0" t="s">
        <v>36</v>
      </c>
      <c r="AB247" s="0" t="s">
        <v>36</v>
      </c>
      <c r="AC247" s="0" t="s">
        <v>36</v>
      </c>
      <c r="AD247" s="0" t="s">
        <v>36</v>
      </c>
      <c r="AE247" s="2" t="s">
        <v>36</v>
      </c>
    </row>
    <row r="248">
      <c r="A248" s="6" t="s">
        <v>31</v>
      </c>
      <c r="B248" s="7">
        <v>44095</v>
      </c>
      <c r="C248" s="9">
        <f>HYPERLINK("https://www.epingalert.org/en/Search?viewData= G/SPS/N/RUS/196"," G/SPS/N/RUS/196")</f>
      </c>
      <c r="D248" s="8" t="s">
        <v>1257</v>
      </c>
      <c r="E248" s="8" t="s">
        <v>1258</v>
      </c>
      <c r="F248" s="8" t="s">
        <v>220</v>
      </c>
      <c r="G248" s="8" t="s">
        <v>36</v>
      </c>
      <c r="H248" s="8" t="s">
        <v>36</v>
      </c>
      <c r="I248" s="8" t="s">
        <v>37</v>
      </c>
      <c r="J248" s="8" t="s">
        <v>271</v>
      </c>
      <c r="K248" s="6"/>
      <c r="L248" s="7">
        <v>44155</v>
      </c>
      <c r="M248" s="6" t="s">
        <v>51</v>
      </c>
      <c r="N248" s="8" t="s">
        <v>1259</v>
      </c>
      <c r="O248" s="6">
        <f>HYPERLINK("https://docs.wto.org/imrd/directdoc.asp?DDFDocuments/t/G/SPS/NRUS196.DOCX", "https://docs.wto.org/imrd/directdoc.asp?DDFDocuments/t/G/SPS/NRUS196.DOCX")</f>
      </c>
      <c r="P248" s="6">
        <f>HYPERLINK("https://docs.wto.org/imrd/directdoc.asp?DDFDocuments/u/G/SPS/NRUS196.DOCX", "https://docs.wto.org/imrd/directdoc.asp?DDFDocuments/u/G/SPS/NRUS196.DOCX")</f>
      </c>
      <c r="Q248" s="6">
        <f>HYPERLINK("https://docs.wto.org/imrd/directdoc.asp?DDFDocuments/v/G/SPS/NRUS196.DOCX", "https://docs.wto.org/imrd/directdoc.asp?DDFDocuments/v/G/SPS/NRUS196.DOCX")</f>
      </c>
      <c r="R248" s="0" t="s">
        <v>36</v>
      </c>
      <c r="S248" s="0" t="s">
        <v>36</v>
      </c>
      <c r="T248" s="0" t="s">
        <v>36</v>
      </c>
      <c r="U248" s="0" t="s">
        <v>36</v>
      </c>
      <c r="V248" s="0" t="s">
        <v>36</v>
      </c>
      <c r="W248" s="0" t="s">
        <v>36</v>
      </c>
      <c r="X248" s="0" t="s">
        <v>36</v>
      </c>
      <c r="Y248" s="2" t="s">
        <v>36</v>
      </c>
      <c r="Z248" s="0" t="s">
        <v>42</v>
      </c>
      <c r="AA248" s="0" t="s">
        <v>43</v>
      </c>
      <c r="AB248" s="0" t="s">
        <v>42</v>
      </c>
      <c r="AC248" s="0" t="s">
        <v>42</v>
      </c>
      <c r="AD248" s="0" t="s">
        <v>43</v>
      </c>
      <c r="AE248" s="2" t="s">
        <v>36</v>
      </c>
    </row>
    <row r="249">
      <c r="A249" s="6" t="s">
        <v>31</v>
      </c>
      <c r="B249" s="7">
        <v>44068</v>
      </c>
      <c r="C249" s="9">
        <f>HYPERLINK("https://www.epingalert.org/en/Search?viewData= G/SPS/N/RUS/195"," G/SPS/N/RUS/195")</f>
      </c>
      <c r="D249" s="8" t="s">
        <v>1260</v>
      </c>
      <c r="E249" s="8" t="s">
        <v>1261</v>
      </c>
      <c r="F249" s="8" t="s">
        <v>1262</v>
      </c>
      <c r="G249" s="8" t="s">
        <v>1263</v>
      </c>
      <c r="H249" s="8" t="s">
        <v>36</v>
      </c>
      <c r="I249" s="8" t="s">
        <v>37</v>
      </c>
      <c r="J249" s="8" t="s">
        <v>1264</v>
      </c>
      <c r="K249" s="6"/>
      <c r="L249" s="7">
        <v>44128</v>
      </c>
      <c r="M249" s="6" t="s">
        <v>51</v>
      </c>
      <c r="N249" s="8" t="s">
        <v>1265</v>
      </c>
      <c r="O249" s="6">
        <f>HYPERLINK("https://docs.wto.org/imrd/directdoc.asp?DDFDocuments/t/G/SPS/NRUS195.DOCX", "https://docs.wto.org/imrd/directdoc.asp?DDFDocuments/t/G/SPS/NRUS195.DOCX")</f>
      </c>
      <c r="P249" s="6">
        <f>HYPERLINK("https://docs.wto.org/imrd/directdoc.asp?DDFDocuments/u/G/SPS/NRUS195.DOCX", "https://docs.wto.org/imrd/directdoc.asp?DDFDocuments/u/G/SPS/NRUS195.DOCX")</f>
      </c>
      <c r="Q249" s="6">
        <f>HYPERLINK("https://docs.wto.org/imrd/directdoc.asp?DDFDocuments/v/G/SPS/NRUS195.DOCX", "https://docs.wto.org/imrd/directdoc.asp?DDFDocuments/v/G/SPS/NRUS195.DOCX")</f>
      </c>
      <c r="R249" s="0" t="s">
        <v>36</v>
      </c>
      <c r="S249" s="0" t="s">
        <v>36</v>
      </c>
      <c r="T249" s="0" t="s">
        <v>36</v>
      </c>
      <c r="U249" s="0" t="s">
        <v>36</v>
      </c>
      <c r="V249" s="0" t="s">
        <v>36</v>
      </c>
      <c r="W249" s="0" t="s">
        <v>36</v>
      </c>
      <c r="X249" s="0" t="s">
        <v>36</v>
      </c>
      <c r="Y249" s="2" t="s">
        <v>36</v>
      </c>
      <c r="Z249" s="0" t="s">
        <v>42</v>
      </c>
      <c r="AA249" s="0" t="s">
        <v>43</v>
      </c>
      <c r="AB249" s="0" t="s">
        <v>42</v>
      </c>
      <c r="AC249" s="0" t="s">
        <v>42</v>
      </c>
      <c r="AD249" s="0" t="s">
        <v>43</v>
      </c>
      <c r="AE249" s="2" t="s">
        <v>36</v>
      </c>
    </row>
    <row r="250">
      <c r="A250" s="6" t="s">
        <v>31</v>
      </c>
      <c r="B250" s="7">
        <v>44067</v>
      </c>
      <c r="C250" s="9">
        <f>HYPERLINK("https://www.epingalert.org/en/Search?viewData= G/TBT/N/RUS/105"," G/TBT/N/RUS/105")</f>
      </c>
      <c r="D250" s="8" t="s">
        <v>1266</v>
      </c>
      <c r="E250" s="8" t="s">
        <v>1267</v>
      </c>
      <c r="F250" s="8" t="s">
        <v>1268</v>
      </c>
      <c r="G250" s="8" t="s">
        <v>36</v>
      </c>
      <c r="H250" s="8" t="s">
        <v>564</v>
      </c>
      <c r="I250" s="8" t="s">
        <v>164</v>
      </c>
      <c r="J250" s="8" t="s">
        <v>120</v>
      </c>
      <c r="K250" s="6"/>
      <c r="L250" s="7">
        <v>44137</v>
      </c>
      <c r="M250" s="6" t="s">
        <v>51</v>
      </c>
      <c r="N250" s="8" t="s">
        <v>1269</v>
      </c>
      <c r="O250" s="6">
        <f>HYPERLINK("https://docs.wto.org/imrd/directdoc.asp?DDFDocuments/t/G/TBTN20/RUS105.DOCX", "https://docs.wto.org/imrd/directdoc.asp?DDFDocuments/t/G/TBTN20/RUS105.DOCX")</f>
      </c>
      <c r="P250" s="6">
        <f>HYPERLINK("https://docs.wto.org/imrd/directdoc.asp?DDFDocuments/u/G/TBTN20/RUS105.DOCX", "https://docs.wto.org/imrd/directdoc.asp?DDFDocuments/u/G/TBTN20/RUS105.DOCX")</f>
      </c>
      <c r="Q250" s="6">
        <f>HYPERLINK("https://docs.wto.org/imrd/directdoc.asp?DDFDocuments/v/G/TBTN20/RUS105.DOCX", "https://docs.wto.org/imrd/directdoc.asp?DDFDocuments/v/G/TBTN20/RUS105.DOCX")</f>
      </c>
      <c r="R250" s="0" t="s">
        <v>43</v>
      </c>
      <c r="S250" s="0" t="s">
        <v>42</v>
      </c>
      <c r="T250" s="0" t="s">
        <v>42</v>
      </c>
      <c r="U250" s="0" t="s">
        <v>42</v>
      </c>
      <c r="V250" s="0" t="s">
        <v>42</v>
      </c>
      <c r="W250" s="0" t="s">
        <v>42</v>
      </c>
      <c r="X250" s="0" t="s">
        <v>42</v>
      </c>
      <c r="Y250" s="2" t="s">
        <v>1270</v>
      </c>
      <c r="Z250" s="0" t="s">
        <v>36</v>
      </c>
      <c r="AA250" s="0" t="s">
        <v>36</v>
      </c>
      <c r="AB250" s="0" t="s">
        <v>36</v>
      </c>
      <c r="AC250" s="0" t="s">
        <v>36</v>
      </c>
      <c r="AD250" s="0" t="s">
        <v>36</v>
      </c>
      <c r="AE250" s="2" t="s">
        <v>36</v>
      </c>
    </row>
    <row r="251">
      <c r="A251" s="6" t="s">
        <v>31</v>
      </c>
      <c r="B251" s="7">
        <v>44064</v>
      </c>
      <c r="C251" s="9">
        <f>HYPERLINK("https://www.epingalert.org/en/Search?viewData= G/SPS/N/RUS/194"," G/SPS/N/RUS/194")</f>
      </c>
      <c r="D251" s="8" t="s">
        <v>1271</v>
      </c>
      <c r="E251" s="8" t="s">
        <v>1272</v>
      </c>
      <c r="F251" s="8" t="s">
        <v>1273</v>
      </c>
      <c r="G251" s="8" t="s">
        <v>1274</v>
      </c>
      <c r="H251" s="8" t="s">
        <v>36</v>
      </c>
      <c r="I251" s="8" t="s">
        <v>37</v>
      </c>
      <c r="J251" s="8" t="s">
        <v>1275</v>
      </c>
      <c r="K251" s="6" t="s">
        <v>173</v>
      </c>
      <c r="L251" s="7" t="s">
        <v>36</v>
      </c>
      <c r="M251" s="6" t="s">
        <v>40</v>
      </c>
      <c r="N251" s="8" t="s">
        <v>1276</v>
      </c>
      <c r="O251" s="6">
        <f>HYPERLINK("https://docs.wto.org/imrd/directdoc.asp?DDFDocuments/t/G/SPS/NRUS194.DOCX", "https://docs.wto.org/imrd/directdoc.asp?DDFDocuments/t/G/SPS/NRUS194.DOCX")</f>
      </c>
      <c r="P251" s="6">
        <f>HYPERLINK("https://docs.wto.org/imrd/directdoc.asp?DDFDocuments/u/G/SPS/NRUS194.DOCX", "https://docs.wto.org/imrd/directdoc.asp?DDFDocuments/u/G/SPS/NRUS194.DOCX")</f>
      </c>
      <c r="Q251" s="6">
        <f>HYPERLINK("https://docs.wto.org/imrd/directdoc.asp?DDFDocuments/v/G/SPS/NRUS194.DOCX", "https://docs.wto.org/imrd/directdoc.asp?DDFDocuments/v/G/SPS/NRUS194.DOCX")</f>
      </c>
      <c r="R251" s="0" t="s">
        <v>36</v>
      </c>
      <c r="S251" s="0" t="s">
        <v>36</v>
      </c>
      <c r="T251" s="0" t="s">
        <v>36</v>
      </c>
      <c r="U251" s="0" t="s">
        <v>36</v>
      </c>
      <c r="V251" s="0" t="s">
        <v>36</v>
      </c>
      <c r="W251" s="0" t="s">
        <v>36</v>
      </c>
      <c r="X251" s="0" t="s">
        <v>36</v>
      </c>
      <c r="Y251" s="2" t="s">
        <v>36</v>
      </c>
      <c r="Z251" s="0" t="s">
        <v>42</v>
      </c>
      <c r="AA251" s="0" t="s">
        <v>43</v>
      </c>
      <c r="AB251" s="0" t="s">
        <v>42</v>
      </c>
      <c r="AC251" s="0" t="s">
        <v>42</v>
      </c>
      <c r="AD251" s="0" t="s">
        <v>43</v>
      </c>
      <c r="AE251" s="2" t="s">
        <v>36</v>
      </c>
    </row>
    <row r="252">
      <c r="A252" s="6" t="s">
        <v>31</v>
      </c>
      <c r="B252" s="7">
        <v>44055</v>
      </c>
      <c r="C252" s="9">
        <f>HYPERLINK("https://www.epingalert.org/en/Search?viewData= G/TBT/N/RUS/104"," G/TBT/N/RUS/104")</f>
      </c>
      <c r="D252" s="8" t="s">
        <v>1277</v>
      </c>
      <c r="E252" s="8" t="s">
        <v>1278</v>
      </c>
      <c r="F252" s="8" t="s">
        <v>1279</v>
      </c>
      <c r="G252" s="8" t="s">
        <v>1280</v>
      </c>
      <c r="H252" s="8" t="s">
        <v>36</v>
      </c>
      <c r="I252" s="8" t="s">
        <v>164</v>
      </c>
      <c r="J252" s="8" t="s">
        <v>36</v>
      </c>
      <c r="K252" s="6"/>
      <c r="L252" s="7">
        <v>44115</v>
      </c>
      <c r="M252" s="6" t="s">
        <v>51</v>
      </c>
      <c r="N252" s="8" t="s">
        <v>1281</v>
      </c>
      <c r="O252" s="6">
        <f>HYPERLINK("https://docs.wto.org/imrd/directdoc.asp?DDFDocuments/t/G/TBTN20/RUS104.DOCX", "https://docs.wto.org/imrd/directdoc.asp?DDFDocuments/t/G/TBTN20/RUS104.DOCX")</f>
      </c>
      <c r="P252" s="6">
        <f>HYPERLINK("https://docs.wto.org/imrd/directdoc.asp?DDFDocuments/u/G/TBTN20/RUS104.DOCX", "https://docs.wto.org/imrd/directdoc.asp?DDFDocuments/u/G/TBTN20/RUS104.DOCX")</f>
      </c>
      <c r="Q252" s="6">
        <f>HYPERLINK("https://docs.wto.org/imrd/directdoc.asp?DDFDocuments/v/G/TBTN20/RUS104.DOCX", "https://docs.wto.org/imrd/directdoc.asp?DDFDocuments/v/G/TBTN20/RUS104.DOCX")</f>
      </c>
      <c r="R252" s="0" t="s">
        <v>43</v>
      </c>
      <c r="S252" s="0" t="s">
        <v>42</v>
      </c>
      <c r="T252" s="0" t="s">
        <v>42</v>
      </c>
      <c r="U252" s="0" t="s">
        <v>42</v>
      </c>
      <c r="V252" s="0" t="s">
        <v>42</v>
      </c>
      <c r="W252" s="0" t="s">
        <v>42</v>
      </c>
      <c r="X252" s="0" t="s">
        <v>42</v>
      </c>
      <c r="Y252" s="2" t="s">
        <v>1282</v>
      </c>
      <c r="Z252" s="0" t="s">
        <v>36</v>
      </c>
      <c r="AA252" s="0" t="s">
        <v>36</v>
      </c>
      <c r="AB252" s="0" t="s">
        <v>36</v>
      </c>
      <c r="AC252" s="0" t="s">
        <v>36</v>
      </c>
      <c r="AD252" s="0" t="s">
        <v>36</v>
      </c>
      <c r="AE252" s="2" t="s">
        <v>36</v>
      </c>
    </row>
    <row r="253">
      <c r="A253" s="6" t="s">
        <v>31</v>
      </c>
      <c r="B253" s="7">
        <v>44043</v>
      </c>
      <c r="C253" s="9">
        <f>HYPERLINK("https://www.epingalert.org/en/Search?viewData= G/TBT/N/RUS/103"," G/TBT/N/RUS/103")</f>
      </c>
      <c r="D253" s="8" t="s">
        <v>1283</v>
      </c>
      <c r="E253" s="8" t="s">
        <v>1284</v>
      </c>
      <c r="F253" s="8" t="s">
        <v>873</v>
      </c>
      <c r="G253" s="8" t="s">
        <v>36</v>
      </c>
      <c r="H253" s="8" t="s">
        <v>874</v>
      </c>
      <c r="I253" s="8" t="s">
        <v>1285</v>
      </c>
      <c r="J253" s="8" t="s">
        <v>36</v>
      </c>
      <c r="K253" s="6"/>
      <c r="L253" s="7">
        <v>44098</v>
      </c>
      <c r="M253" s="6" t="s">
        <v>51</v>
      </c>
      <c r="N253" s="8" t="s">
        <v>1286</v>
      </c>
      <c r="O253" s="6">
        <f>HYPERLINK("https://docs.wto.org/imrd/directdoc.asp?DDFDocuments/t/G/TBTN20/RUS103.DOCX", "https://docs.wto.org/imrd/directdoc.asp?DDFDocuments/t/G/TBTN20/RUS103.DOCX")</f>
      </c>
      <c r="P253" s="6">
        <f>HYPERLINK("https://docs.wto.org/imrd/directdoc.asp?DDFDocuments/u/G/TBTN20/RUS103.DOCX", "https://docs.wto.org/imrd/directdoc.asp?DDFDocuments/u/G/TBTN20/RUS103.DOCX")</f>
      </c>
      <c r="Q253" s="6">
        <f>HYPERLINK("https://docs.wto.org/imrd/directdoc.asp?DDFDocuments/v/G/TBTN20/RUS103.DOCX", "https://docs.wto.org/imrd/directdoc.asp?DDFDocuments/v/G/TBTN20/RUS103.DOCX")</f>
      </c>
      <c r="R253" s="0" t="s">
        <v>43</v>
      </c>
      <c r="S253" s="0" t="s">
        <v>42</v>
      </c>
      <c r="T253" s="0" t="s">
        <v>42</v>
      </c>
      <c r="U253" s="0" t="s">
        <v>42</v>
      </c>
      <c r="V253" s="0" t="s">
        <v>42</v>
      </c>
      <c r="W253" s="0" t="s">
        <v>42</v>
      </c>
      <c r="X253" s="0" t="s">
        <v>42</v>
      </c>
      <c r="Y253" s="2" t="s">
        <v>1287</v>
      </c>
      <c r="Z253" s="0" t="s">
        <v>36</v>
      </c>
      <c r="AA253" s="0" t="s">
        <v>36</v>
      </c>
      <c r="AB253" s="0" t="s">
        <v>36</v>
      </c>
      <c r="AC253" s="0" t="s">
        <v>36</v>
      </c>
      <c r="AD253" s="0" t="s">
        <v>36</v>
      </c>
      <c r="AE253" s="2" t="s">
        <v>36</v>
      </c>
    </row>
    <row r="254">
      <c r="A254" s="6" t="s">
        <v>31</v>
      </c>
      <c r="B254" s="7">
        <v>44036</v>
      </c>
      <c r="C254" s="9">
        <f>HYPERLINK("https://www.epingalert.org/en/Search?viewData= G/TBT/N/RUS/102"," G/TBT/N/RUS/102")</f>
      </c>
      <c r="D254" s="8" t="s">
        <v>1288</v>
      </c>
      <c r="E254" s="8" t="s">
        <v>1289</v>
      </c>
      <c r="F254" s="8" t="s">
        <v>1290</v>
      </c>
      <c r="G254" s="8" t="s">
        <v>36</v>
      </c>
      <c r="H254" s="8" t="s">
        <v>36</v>
      </c>
      <c r="I254" s="8" t="s">
        <v>1285</v>
      </c>
      <c r="J254" s="8" t="s">
        <v>36</v>
      </c>
      <c r="K254" s="6"/>
      <c r="L254" s="7">
        <v>44098</v>
      </c>
      <c r="M254" s="6" t="s">
        <v>51</v>
      </c>
      <c r="N254" s="8" t="s">
        <v>1291</v>
      </c>
      <c r="O254" s="6">
        <f>HYPERLINK("https://docs.wto.org/imrd/directdoc.asp?DDFDocuments/t/G/TBTN20/RUS102.DOCX", "https://docs.wto.org/imrd/directdoc.asp?DDFDocuments/t/G/TBTN20/RUS102.DOCX")</f>
      </c>
      <c r="P254" s="6">
        <f>HYPERLINK("https://docs.wto.org/imrd/directdoc.asp?DDFDocuments/u/G/TBTN20/RUS102.DOCX", "https://docs.wto.org/imrd/directdoc.asp?DDFDocuments/u/G/TBTN20/RUS102.DOCX")</f>
      </c>
      <c r="Q254" s="6">
        <f>HYPERLINK("https://docs.wto.org/imrd/directdoc.asp?DDFDocuments/v/G/TBTN20/RUS102.DOCX", "https://docs.wto.org/imrd/directdoc.asp?DDFDocuments/v/G/TBTN20/RUS102.DOCX")</f>
      </c>
      <c r="R254" s="0" t="s">
        <v>43</v>
      </c>
      <c r="S254" s="0" t="s">
        <v>42</v>
      </c>
      <c r="T254" s="0" t="s">
        <v>42</v>
      </c>
      <c r="U254" s="0" t="s">
        <v>42</v>
      </c>
      <c r="V254" s="0" t="s">
        <v>42</v>
      </c>
      <c r="W254" s="0" t="s">
        <v>42</v>
      </c>
      <c r="X254" s="0" t="s">
        <v>42</v>
      </c>
      <c r="Y254" s="2" t="s">
        <v>1292</v>
      </c>
      <c r="Z254" s="0" t="s">
        <v>36</v>
      </c>
      <c r="AA254" s="0" t="s">
        <v>36</v>
      </c>
      <c r="AB254" s="0" t="s">
        <v>36</v>
      </c>
      <c r="AC254" s="0" t="s">
        <v>36</v>
      </c>
      <c r="AD254" s="0" t="s">
        <v>36</v>
      </c>
      <c r="AE254" s="2" t="s">
        <v>36</v>
      </c>
    </row>
    <row r="255">
      <c r="A255" s="6" t="s">
        <v>31</v>
      </c>
      <c r="B255" s="7">
        <v>44036</v>
      </c>
      <c r="C255" s="9">
        <f>HYPERLINK("https://www.epingalert.org/en/Search?viewData= G/TBT/N/RUS/101"," G/TBT/N/RUS/101")</f>
      </c>
      <c r="D255" s="8" t="s">
        <v>1293</v>
      </c>
      <c r="E255" s="8" t="s">
        <v>1294</v>
      </c>
      <c r="F255" s="8" t="s">
        <v>1295</v>
      </c>
      <c r="G255" s="8" t="s">
        <v>1296</v>
      </c>
      <c r="H255" s="8" t="s">
        <v>141</v>
      </c>
      <c r="I255" s="8" t="s">
        <v>1038</v>
      </c>
      <c r="J255" s="8" t="s">
        <v>36</v>
      </c>
      <c r="K255" s="6"/>
      <c r="L255" s="7">
        <v>44096</v>
      </c>
      <c r="M255" s="6" t="s">
        <v>51</v>
      </c>
      <c r="N255" s="8" t="s">
        <v>1297</v>
      </c>
      <c r="O255" s="6">
        <f>HYPERLINK("https://docs.wto.org/imrd/directdoc.asp?DDFDocuments/t/G/TBTN20/RUS101.DOCX", "https://docs.wto.org/imrd/directdoc.asp?DDFDocuments/t/G/TBTN20/RUS101.DOCX")</f>
      </c>
      <c r="P255" s="6">
        <f>HYPERLINK("https://docs.wto.org/imrd/directdoc.asp?DDFDocuments/u/G/TBTN20/RUS101.DOCX", "https://docs.wto.org/imrd/directdoc.asp?DDFDocuments/u/G/TBTN20/RUS101.DOCX")</f>
      </c>
      <c r="Q255" s="6">
        <f>HYPERLINK("https://docs.wto.org/imrd/directdoc.asp?DDFDocuments/v/G/TBTN20/RUS101.DOCX", "https://docs.wto.org/imrd/directdoc.asp?DDFDocuments/v/G/TBTN20/RUS101.DOCX")</f>
      </c>
      <c r="R255" s="0" t="s">
        <v>43</v>
      </c>
      <c r="S255" s="0" t="s">
        <v>42</v>
      </c>
      <c r="T255" s="0" t="s">
        <v>42</v>
      </c>
      <c r="U255" s="0" t="s">
        <v>42</v>
      </c>
      <c r="V255" s="0" t="s">
        <v>42</v>
      </c>
      <c r="W255" s="0" t="s">
        <v>42</v>
      </c>
      <c r="X255" s="0" t="s">
        <v>42</v>
      </c>
      <c r="Y255" s="2" t="s">
        <v>1298</v>
      </c>
      <c r="Z255" s="0" t="s">
        <v>36</v>
      </c>
      <c r="AA255" s="0" t="s">
        <v>36</v>
      </c>
      <c r="AB255" s="0" t="s">
        <v>36</v>
      </c>
      <c r="AC255" s="0" t="s">
        <v>36</v>
      </c>
      <c r="AD255" s="0" t="s">
        <v>36</v>
      </c>
      <c r="AE255" s="2" t="s">
        <v>36</v>
      </c>
    </row>
    <row r="256">
      <c r="A256" s="6" t="s">
        <v>31</v>
      </c>
      <c r="B256" s="7">
        <v>44036</v>
      </c>
      <c r="C256" s="9">
        <f>HYPERLINK("https://www.epingalert.org/en/Search?viewData= G/SPS/N/RUS/193"," G/SPS/N/RUS/193")</f>
      </c>
      <c r="D256" s="8" t="s">
        <v>1299</v>
      </c>
      <c r="E256" s="8" t="s">
        <v>1300</v>
      </c>
      <c r="F256" s="8" t="s">
        <v>1301</v>
      </c>
      <c r="G256" s="8" t="s">
        <v>1302</v>
      </c>
      <c r="H256" s="8" t="s">
        <v>36</v>
      </c>
      <c r="I256" s="8" t="s">
        <v>505</v>
      </c>
      <c r="J256" s="8" t="s">
        <v>1303</v>
      </c>
      <c r="K256" s="6" t="s">
        <v>210</v>
      </c>
      <c r="L256" s="7" t="s">
        <v>36</v>
      </c>
      <c r="M256" s="6" t="s">
        <v>40</v>
      </c>
      <c r="N256" s="8" t="s">
        <v>1304</v>
      </c>
      <c r="O256" s="6">
        <f>HYPERLINK("https://docs.wto.org/imrd/directdoc.asp?DDFDocuments/t/G/SPS/NRUS193.DOCX", "https://docs.wto.org/imrd/directdoc.asp?DDFDocuments/t/G/SPS/NRUS193.DOCX")</f>
      </c>
      <c r="P256" s="6">
        <f>HYPERLINK("https://docs.wto.org/imrd/directdoc.asp?DDFDocuments/u/G/SPS/NRUS193.DOCX", "https://docs.wto.org/imrd/directdoc.asp?DDFDocuments/u/G/SPS/NRUS193.DOCX")</f>
      </c>
      <c r="Q256" s="6">
        <f>HYPERLINK("https://docs.wto.org/imrd/directdoc.asp?DDFDocuments/v/G/SPS/NRUS193.DOCX", "https://docs.wto.org/imrd/directdoc.asp?DDFDocuments/v/G/SPS/NRUS193.DOCX")</f>
      </c>
      <c r="R256" s="0" t="s">
        <v>36</v>
      </c>
      <c r="S256" s="0" t="s">
        <v>36</v>
      </c>
      <c r="T256" s="0" t="s">
        <v>36</v>
      </c>
      <c r="U256" s="0" t="s">
        <v>36</v>
      </c>
      <c r="V256" s="0" t="s">
        <v>36</v>
      </c>
      <c r="W256" s="0" t="s">
        <v>36</v>
      </c>
      <c r="X256" s="0" t="s">
        <v>36</v>
      </c>
      <c r="Y256" s="2" t="s">
        <v>36</v>
      </c>
      <c r="Z256" s="0" t="s">
        <v>42</v>
      </c>
      <c r="AA256" s="0" t="s">
        <v>42</v>
      </c>
      <c r="AB256" s="0" t="s">
        <v>43</v>
      </c>
      <c r="AC256" s="0" t="s">
        <v>42</v>
      </c>
      <c r="AD256" s="0" t="s">
        <v>43</v>
      </c>
      <c r="AE256" s="2" t="s">
        <v>36</v>
      </c>
    </row>
    <row r="257">
      <c r="A257" s="6" t="s">
        <v>31</v>
      </c>
      <c r="B257" s="7">
        <v>43977</v>
      </c>
      <c r="C257" s="9">
        <f>HYPERLINK("https://www.epingalert.org/en/Search?viewData= G/SPS/N/RUS/192"," G/SPS/N/RUS/192")</f>
      </c>
      <c r="D257" s="8" t="s">
        <v>1305</v>
      </c>
      <c r="E257" s="8" t="s">
        <v>1306</v>
      </c>
      <c r="F257" s="8" t="s">
        <v>220</v>
      </c>
      <c r="G257" s="8" t="s">
        <v>36</v>
      </c>
      <c r="H257" s="8" t="s">
        <v>36</v>
      </c>
      <c r="I257" s="8" t="s">
        <v>37</v>
      </c>
      <c r="J257" s="8" t="s">
        <v>157</v>
      </c>
      <c r="K257" s="6"/>
      <c r="L257" s="7">
        <v>44037</v>
      </c>
      <c r="M257" s="6" t="s">
        <v>51</v>
      </c>
      <c r="N257" s="8" t="s">
        <v>1307</v>
      </c>
      <c r="O257" s="6">
        <f>HYPERLINK("https://docs.wto.org/imrd/directdoc.asp?DDFDocuments/t/G/SPS/NRUS192.DOCX", "https://docs.wto.org/imrd/directdoc.asp?DDFDocuments/t/G/SPS/NRUS192.DOCX")</f>
      </c>
      <c r="P257" s="6">
        <f>HYPERLINK("https://docs.wto.org/imrd/directdoc.asp?DDFDocuments/u/G/SPS/NRUS192.DOCX", "https://docs.wto.org/imrd/directdoc.asp?DDFDocuments/u/G/SPS/NRUS192.DOCX")</f>
      </c>
      <c r="Q257" s="6">
        <f>HYPERLINK("https://docs.wto.org/imrd/directdoc.asp?DDFDocuments/v/G/SPS/NRUS192.DOCX", "https://docs.wto.org/imrd/directdoc.asp?DDFDocuments/v/G/SPS/NRUS192.DOCX")</f>
      </c>
      <c r="R257" s="0" t="s">
        <v>36</v>
      </c>
      <c r="S257" s="0" t="s">
        <v>36</v>
      </c>
      <c r="T257" s="0" t="s">
        <v>36</v>
      </c>
      <c r="U257" s="0" t="s">
        <v>36</v>
      </c>
      <c r="V257" s="0" t="s">
        <v>36</v>
      </c>
      <c r="W257" s="0" t="s">
        <v>36</v>
      </c>
      <c r="X257" s="0" t="s">
        <v>36</v>
      </c>
      <c r="Y257" s="2" t="s">
        <v>36</v>
      </c>
      <c r="Z257" s="0" t="s">
        <v>42</v>
      </c>
      <c r="AA257" s="0" t="s">
        <v>43</v>
      </c>
      <c r="AB257" s="0" t="s">
        <v>42</v>
      </c>
      <c r="AC257" s="0" t="s">
        <v>42</v>
      </c>
      <c r="AD257" s="0" t="s">
        <v>43</v>
      </c>
      <c r="AE257" s="2" t="s">
        <v>36</v>
      </c>
    </row>
    <row r="258">
      <c r="A258" s="6" t="s">
        <v>31</v>
      </c>
      <c r="B258" s="7">
        <v>43976</v>
      </c>
      <c r="C258" s="9">
        <f>HYPERLINK("https://www.epingalert.org/en/Search?viewData= G/SPS/N/RUS/191"," G/SPS/N/RUS/191")</f>
      </c>
      <c r="D258" s="8" t="s">
        <v>1308</v>
      </c>
      <c r="E258" s="8" t="s">
        <v>1309</v>
      </c>
      <c r="F258" s="8" t="s">
        <v>1310</v>
      </c>
      <c r="G258" s="8" t="s">
        <v>1311</v>
      </c>
      <c r="H258" s="8" t="s">
        <v>36</v>
      </c>
      <c r="I258" s="8" t="s">
        <v>37</v>
      </c>
      <c r="J258" s="8" t="s">
        <v>631</v>
      </c>
      <c r="K258" s="6" t="s">
        <v>626</v>
      </c>
      <c r="L258" s="7" t="s">
        <v>36</v>
      </c>
      <c r="M258" s="6" t="s">
        <v>40</v>
      </c>
      <c r="N258" s="8" t="s">
        <v>1312</v>
      </c>
      <c r="O258" s="6">
        <f>HYPERLINK("https://docs.wto.org/imrd/directdoc.asp?DDFDocuments/t/G/SPS/NRUS191.DOCX", "https://docs.wto.org/imrd/directdoc.asp?DDFDocuments/t/G/SPS/NRUS191.DOCX")</f>
      </c>
      <c r="P258" s="6">
        <f>HYPERLINK("https://docs.wto.org/imrd/directdoc.asp?DDFDocuments/u/G/SPS/NRUS191.DOCX", "https://docs.wto.org/imrd/directdoc.asp?DDFDocuments/u/G/SPS/NRUS191.DOCX")</f>
      </c>
      <c r="Q258" s="6">
        <f>HYPERLINK("https://docs.wto.org/imrd/directdoc.asp?DDFDocuments/v/G/SPS/NRUS191.DOCX", "https://docs.wto.org/imrd/directdoc.asp?DDFDocuments/v/G/SPS/NRUS191.DOCX")</f>
      </c>
      <c r="R258" s="0" t="s">
        <v>36</v>
      </c>
      <c r="S258" s="0" t="s">
        <v>36</v>
      </c>
      <c r="T258" s="0" t="s">
        <v>36</v>
      </c>
      <c r="U258" s="0" t="s">
        <v>36</v>
      </c>
      <c r="V258" s="0" t="s">
        <v>36</v>
      </c>
      <c r="W258" s="0" t="s">
        <v>36</v>
      </c>
      <c r="X258" s="0" t="s">
        <v>36</v>
      </c>
      <c r="Y258" s="2" t="s">
        <v>36</v>
      </c>
      <c r="Z258" s="0" t="s">
        <v>42</v>
      </c>
      <c r="AA258" s="0" t="s">
        <v>43</v>
      </c>
      <c r="AB258" s="0" t="s">
        <v>42</v>
      </c>
      <c r="AC258" s="0" t="s">
        <v>42</v>
      </c>
      <c r="AD258" s="0" t="s">
        <v>43</v>
      </c>
      <c r="AE258" s="2" t="s">
        <v>36</v>
      </c>
    </row>
    <row r="259">
      <c r="A259" s="6" t="s">
        <v>31</v>
      </c>
      <c r="B259" s="7">
        <v>43976</v>
      </c>
      <c r="C259" s="9">
        <f>HYPERLINK("https://www.epingalert.org/en/Search?viewData= G/SPS/N/RUS/190"," G/SPS/N/RUS/190")</f>
      </c>
      <c r="D259" s="8" t="s">
        <v>1313</v>
      </c>
      <c r="E259" s="8" t="s">
        <v>1314</v>
      </c>
      <c r="F259" s="8" t="s">
        <v>1315</v>
      </c>
      <c r="G259" s="8" t="s">
        <v>1316</v>
      </c>
      <c r="H259" s="8" t="s">
        <v>36</v>
      </c>
      <c r="I259" s="8" t="s">
        <v>97</v>
      </c>
      <c r="J259" s="8" t="s">
        <v>1317</v>
      </c>
      <c r="K259" s="6" t="s">
        <v>1318</v>
      </c>
      <c r="L259" s="7" t="s">
        <v>36</v>
      </c>
      <c r="M259" s="6" t="s">
        <v>51</v>
      </c>
      <c r="N259" s="8" t="s">
        <v>1319</v>
      </c>
      <c r="O259" s="6">
        <f>HYPERLINK("https://docs.wto.org/imrd/directdoc.asp?DDFDocuments/t/G/SPS/NRUS190.DOCX", "https://docs.wto.org/imrd/directdoc.asp?DDFDocuments/t/G/SPS/NRUS190.DOCX")</f>
      </c>
      <c r="P259" s="6">
        <f>HYPERLINK("https://docs.wto.org/imrd/directdoc.asp?DDFDocuments/u/G/SPS/NRUS190.DOCX", "https://docs.wto.org/imrd/directdoc.asp?DDFDocuments/u/G/SPS/NRUS190.DOCX")</f>
      </c>
      <c r="Q259" s="6">
        <f>HYPERLINK("https://docs.wto.org/imrd/directdoc.asp?DDFDocuments/v/G/SPS/NRUS190.DOCX", "https://docs.wto.org/imrd/directdoc.asp?DDFDocuments/v/G/SPS/NRUS190.DOCX")</f>
      </c>
      <c r="R259" s="0" t="s">
        <v>36</v>
      </c>
      <c r="S259" s="0" t="s">
        <v>36</v>
      </c>
      <c r="T259" s="0" t="s">
        <v>36</v>
      </c>
      <c r="U259" s="0" t="s">
        <v>36</v>
      </c>
      <c r="V259" s="0" t="s">
        <v>36</v>
      </c>
      <c r="W259" s="0" t="s">
        <v>36</v>
      </c>
      <c r="X259" s="0" t="s">
        <v>36</v>
      </c>
      <c r="Y259" s="2" t="s">
        <v>36</v>
      </c>
      <c r="Z259" s="0" t="s">
        <v>42</v>
      </c>
      <c r="AA259" s="0" t="s">
        <v>43</v>
      </c>
      <c r="AB259" s="0" t="s">
        <v>42</v>
      </c>
      <c r="AC259" s="0" t="s">
        <v>42</v>
      </c>
      <c r="AD259" s="0" t="s">
        <v>43</v>
      </c>
      <c r="AE259" s="2" t="s">
        <v>36</v>
      </c>
    </row>
    <row r="260">
      <c r="A260" s="6" t="s">
        <v>31</v>
      </c>
      <c r="B260" s="7">
        <v>43971</v>
      </c>
      <c r="C260" s="9">
        <f>HYPERLINK("https://www.epingalert.org/en/Search?viewData= G/SPS/N/RUS/178/Add.2"," G/SPS/N/RUS/178/Add.2")</f>
      </c>
      <c r="D260" s="8" t="s">
        <v>1320</v>
      </c>
      <c r="E260" s="8" t="s">
        <v>1321</v>
      </c>
      <c r="F260" s="8"/>
      <c r="G260" s="8" t="s">
        <v>1322</v>
      </c>
      <c r="H260" s="8" t="s">
        <v>36</v>
      </c>
      <c r="I260" s="8" t="s">
        <v>1323</v>
      </c>
      <c r="J260" s="8" t="s">
        <v>1324</v>
      </c>
      <c r="K260" s="6"/>
      <c r="L260" s="7" t="s">
        <v>36</v>
      </c>
      <c r="M260" s="6" t="s">
        <v>179</v>
      </c>
      <c r="N260" s="6"/>
      <c r="O260" s="6">
        <f>HYPERLINK("https://docs.wto.org/imrd/directdoc.asp?DDFDocuments/t/G/SPS/NRUS178A2.DOCX", "https://docs.wto.org/imrd/directdoc.asp?DDFDocuments/t/G/SPS/NRUS178A2.DOCX")</f>
      </c>
      <c r="P260" s="6">
        <f>HYPERLINK("https://docs.wto.org/imrd/directdoc.asp?DDFDocuments/u/G/SPS/NRUS178A2.DOCX", "https://docs.wto.org/imrd/directdoc.asp?DDFDocuments/u/G/SPS/NRUS178A2.DOCX")</f>
      </c>
      <c r="Q260" s="6">
        <f>HYPERLINK("https://docs.wto.org/imrd/directdoc.asp?DDFDocuments/v/G/SPS/NRUS178A2.DOCX", "https://docs.wto.org/imrd/directdoc.asp?DDFDocuments/v/G/SPS/NRUS178A2.DOCX")</f>
      </c>
      <c r="R260" s="0" t="s">
        <v>36</v>
      </c>
      <c r="S260" s="0" t="s">
        <v>36</v>
      </c>
      <c r="T260" s="0" t="s">
        <v>36</v>
      </c>
      <c r="U260" s="0" t="s">
        <v>36</v>
      </c>
      <c r="V260" s="0" t="s">
        <v>36</v>
      </c>
      <c r="W260" s="0" t="s">
        <v>36</v>
      </c>
      <c r="X260" s="0" t="s">
        <v>36</v>
      </c>
      <c r="Y260" s="2" t="s">
        <v>36</v>
      </c>
      <c r="Z260" s="0" t="s">
        <v>36</v>
      </c>
      <c r="AA260" s="0" t="s">
        <v>36</v>
      </c>
      <c r="AB260" s="0" t="s">
        <v>36</v>
      </c>
      <c r="AC260" s="0" t="s">
        <v>36</v>
      </c>
      <c r="AD260" s="0" t="s">
        <v>36</v>
      </c>
      <c r="AE260" s="2" t="s">
        <v>36</v>
      </c>
    </row>
    <row r="261">
      <c r="A261" s="6" t="s">
        <v>31</v>
      </c>
      <c r="B261" s="7">
        <v>43969</v>
      </c>
      <c r="C261" s="9">
        <f>HYPERLINK("https://www.epingalert.org/en/Search?viewData= G/SPS/N/RUS/188/Add.1"," G/SPS/N/RUS/188/Add.1")</f>
      </c>
      <c r="D261" s="8" t="s">
        <v>1325</v>
      </c>
      <c r="E261" s="8" t="s">
        <v>1326</v>
      </c>
      <c r="F261" s="8"/>
      <c r="G261" s="8" t="s">
        <v>1327</v>
      </c>
      <c r="H261" s="8" t="s">
        <v>36</v>
      </c>
      <c r="I261" s="8" t="s">
        <v>1328</v>
      </c>
      <c r="J261" s="8" t="s">
        <v>1329</v>
      </c>
      <c r="K261" s="6"/>
      <c r="L261" s="7" t="s">
        <v>36</v>
      </c>
      <c r="M261" s="6" t="s">
        <v>179</v>
      </c>
      <c r="N261" s="6"/>
      <c r="O261" s="6">
        <f>HYPERLINK("https://docs.wto.org/imrd/directdoc.asp?DDFDocuments/t/G/SPS/NRUS188A1.DOCX", "https://docs.wto.org/imrd/directdoc.asp?DDFDocuments/t/G/SPS/NRUS188A1.DOCX")</f>
      </c>
      <c r="P261" s="6">
        <f>HYPERLINK("https://docs.wto.org/imrd/directdoc.asp?DDFDocuments/u/G/SPS/NRUS188A1.DOCX", "https://docs.wto.org/imrd/directdoc.asp?DDFDocuments/u/G/SPS/NRUS188A1.DOCX")</f>
      </c>
      <c r="Q261" s="6">
        <f>HYPERLINK("https://docs.wto.org/imrd/directdoc.asp?DDFDocuments/v/G/SPS/NRUS188A1.DOCX", "https://docs.wto.org/imrd/directdoc.asp?DDFDocuments/v/G/SPS/NRUS188A1.DOCX")</f>
      </c>
      <c r="R261" s="0" t="s">
        <v>36</v>
      </c>
      <c r="S261" s="0" t="s">
        <v>36</v>
      </c>
      <c r="T261" s="0" t="s">
        <v>36</v>
      </c>
      <c r="U261" s="0" t="s">
        <v>36</v>
      </c>
      <c r="V261" s="0" t="s">
        <v>36</v>
      </c>
      <c r="W261" s="0" t="s">
        <v>36</v>
      </c>
      <c r="X261" s="0" t="s">
        <v>36</v>
      </c>
      <c r="Y261" s="2" t="s">
        <v>36</v>
      </c>
      <c r="Z261" s="0" t="s">
        <v>36</v>
      </c>
      <c r="AA261" s="0" t="s">
        <v>36</v>
      </c>
      <c r="AB261" s="0" t="s">
        <v>36</v>
      </c>
      <c r="AC261" s="0" t="s">
        <v>36</v>
      </c>
      <c r="AD261" s="0" t="s">
        <v>36</v>
      </c>
      <c r="AE261" s="2" t="s">
        <v>36</v>
      </c>
    </row>
    <row r="262">
      <c r="A262" s="6" t="s">
        <v>31</v>
      </c>
      <c r="B262" s="7">
        <v>43969</v>
      </c>
      <c r="C262" s="9">
        <f>HYPERLINK("https://www.epingalert.org/en/Search?viewData= G/SPS/N/RUS/182/Add.2"," G/SPS/N/RUS/182/Add.2")</f>
      </c>
      <c r="D262" s="8" t="s">
        <v>1330</v>
      </c>
      <c r="E262" s="8" t="s">
        <v>1331</v>
      </c>
      <c r="F262" s="8"/>
      <c r="G262" s="8" t="s">
        <v>1332</v>
      </c>
      <c r="H262" s="8" t="s">
        <v>36</v>
      </c>
      <c r="I262" s="8" t="s">
        <v>332</v>
      </c>
      <c r="J262" s="8" t="s">
        <v>1333</v>
      </c>
      <c r="K262" s="6"/>
      <c r="L262" s="7" t="s">
        <v>36</v>
      </c>
      <c r="M262" s="6" t="s">
        <v>179</v>
      </c>
      <c r="N262" s="6"/>
      <c r="O262" s="6">
        <f>HYPERLINK("https://docs.wto.org/imrd/directdoc.asp?DDFDocuments/t/G/SPS/NRUS182A2.DOCX", "https://docs.wto.org/imrd/directdoc.asp?DDFDocuments/t/G/SPS/NRUS182A2.DOCX")</f>
      </c>
      <c r="P262" s="6">
        <f>HYPERLINK("https://docs.wto.org/imrd/directdoc.asp?DDFDocuments/u/G/SPS/NRUS182A2.DOCX", "https://docs.wto.org/imrd/directdoc.asp?DDFDocuments/u/G/SPS/NRUS182A2.DOCX")</f>
      </c>
      <c r="Q262" s="6">
        <f>HYPERLINK("https://docs.wto.org/imrd/directdoc.asp?DDFDocuments/v/G/SPS/NRUS182A2.DOCX", "https://docs.wto.org/imrd/directdoc.asp?DDFDocuments/v/G/SPS/NRUS182A2.DOCX")</f>
      </c>
      <c r="R262" s="0" t="s">
        <v>36</v>
      </c>
      <c r="S262" s="0" t="s">
        <v>36</v>
      </c>
      <c r="T262" s="0" t="s">
        <v>36</v>
      </c>
      <c r="U262" s="0" t="s">
        <v>36</v>
      </c>
      <c r="V262" s="0" t="s">
        <v>36</v>
      </c>
      <c r="W262" s="0" t="s">
        <v>36</v>
      </c>
      <c r="X262" s="0" t="s">
        <v>36</v>
      </c>
      <c r="Y262" s="2" t="s">
        <v>36</v>
      </c>
      <c r="Z262" s="0" t="s">
        <v>36</v>
      </c>
      <c r="AA262" s="0" t="s">
        <v>36</v>
      </c>
      <c r="AB262" s="0" t="s">
        <v>36</v>
      </c>
      <c r="AC262" s="0" t="s">
        <v>36</v>
      </c>
      <c r="AD262" s="0" t="s">
        <v>36</v>
      </c>
      <c r="AE262" s="2" t="s">
        <v>36</v>
      </c>
    </row>
    <row r="263">
      <c r="A263" s="6" t="s">
        <v>31</v>
      </c>
      <c r="B263" s="7">
        <v>43969</v>
      </c>
      <c r="C263" s="9">
        <f>HYPERLINK("https://www.epingalert.org/en/Search?viewData= G/SPS/N/RUS/189"," G/SPS/N/RUS/189")</f>
      </c>
      <c r="D263" s="8" t="s">
        <v>1334</v>
      </c>
      <c r="E263" s="8" t="s">
        <v>1335</v>
      </c>
      <c r="F263" s="8" t="s">
        <v>330</v>
      </c>
      <c r="G263" s="8" t="s">
        <v>1336</v>
      </c>
      <c r="H263" s="8" t="s">
        <v>36</v>
      </c>
      <c r="I263" s="8" t="s">
        <v>332</v>
      </c>
      <c r="J263" s="8" t="s">
        <v>1337</v>
      </c>
      <c r="K263" s="6" t="s">
        <v>1338</v>
      </c>
      <c r="L263" s="7" t="s">
        <v>36</v>
      </c>
      <c r="M263" s="6" t="s">
        <v>40</v>
      </c>
      <c r="N263" s="8" t="s">
        <v>1339</v>
      </c>
      <c r="O263" s="6">
        <f>HYPERLINK("https://docs.wto.org/imrd/directdoc.asp?DDFDocuments/t/G/SPS/NRUS189.DOCX", "https://docs.wto.org/imrd/directdoc.asp?DDFDocuments/t/G/SPS/NRUS189.DOCX")</f>
      </c>
      <c r="P263" s="6">
        <f>HYPERLINK("https://docs.wto.org/imrd/directdoc.asp?DDFDocuments/u/G/SPS/NRUS189.DOCX", "https://docs.wto.org/imrd/directdoc.asp?DDFDocuments/u/G/SPS/NRUS189.DOCX")</f>
      </c>
      <c r="Q263" s="6">
        <f>HYPERLINK("https://docs.wto.org/imrd/directdoc.asp?DDFDocuments/v/G/SPS/NRUS189.DOCX", "https://docs.wto.org/imrd/directdoc.asp?DDFDocuments/v/G/SPS/NRUS189.DOCX")</f>
      </c>
      <c r="R263" s="0" t="s">
        <v>36</v>
      </c>
      <c r="S263" s="0" t="s">
        <v>36</v>
      </c>
      <c r="T263" s="0" t="s">
        <v>36</v>
      </c>
      <c r="U263" s="0" t="s">
        <v>36</v>
      </c>
      <c r="V263" s="0" t="s">
        <v>36</v>
      </c>
      <c r="W263" s="0" t="s">
        <v>36</v>
      </c>
      <c r="X263" s="0" t="s">
        <v>36</v>
      </c>
      <c r="Y263" s="2" t="s">
        <v>36</v>
      </c>
      <c r="Z263" s="0" t="s">
        <v>42</v>
      </c>
      <c r="AA263" s="0" t="s">
        <v>43</v>
      </c>
      <c r="AB263" s="0" t="s">
        <v>42</v>
      </c>
      <c r="AC263" s="0" t="s">
        <v>42</v>
      </c>
      <c r="AD263" s="0" t="s">
        <v>43</v>
      </c>
      <c r="AE263" s="2" t="s">
        <v>36</v>
      </c>
    </row>
    <row r="264">
      <c r="A264" s="6" t="s">
        <v>31</v>
      </c>
      <c r="B264" s="7">
        <v>43951</v>
      </c>
      <c r="C264" s="9">
        <f>HYPERLINK("https://www.epingalert.org/en/Search?viewData= G/SPS/N/RUS/182/Add.1"," G/SPS/N/RUS/182/Add.1")</f>
      </c>
      <c r="D264" s="8" t="s">
        <v>1340</v>
      </c>
      <c r="E264" s="8" t="s">
        <v>1341</v>
      </c>
      <c r="F264" s="8"/>
      <c r="G264" s="8" t="s">
        <v>1342</v>
      </c>
      <c r="H264" s="8" t="s">
        <v>36</v>
      </c>
      <c r="I264" s="8" t="s">
        <v>332</v>
      </c>
      <c r="J264" s="8" t="s">
        <v>1343</v>
      </c>
      <c r="K264" s="6"/>
      <c r="L264" s="7" t="s">
        <v>36</v>
      </c>
      <c r="M264" s="6" t="s">
        <v>179</v>
      </c>
      <c r="N264" s="6"/>
      <c r="O264" s="6">
        <f>HYPERLINK("https://docs.wto.org/imrd/directdoc.asp?DDFDocuments/t/G/SPS/NRUS182A1.DOCX", "https://docs.wto.org/imrd/directdoc.asp?DDFDocuments/t/G/SPS/NRUS182A1.DOCX")</f>
      </c>
      <c r="P264" s="6">
        <f>HYPERLINK("https://docs.wto.org/imrd/directdoc.asp?DDFDocuments/u/G/SPS/NRUS182A1.DOCX", "https://docs.wto.org/imrd/directdoc.asp?DDFDocuments/u/G/SPS/NRUS182A1.DOCX")</f>
      </c>
      <c r="Q264" s="6">
        <f>HYPERLINK("https://docs.wto.org/imrd/directdoc.asp?DDFDocuments/v/G/SPS/NRUS182A1.DOCX", "https://docs.wto.org/imrd/directdoc.asp?DDFDocuments/v/G/SPS/NRUS182A1.DOCX")</f>
      </c>
      <c r="R264" s="0" t="s">
        <v>36</v>
      </c>
      <c r="S264" s="0" t="s">
        <v>36</v>
      </c>
      <c r="T264" s="0" t="s">
        <v>36</v>
      </c>
      <c r="U264" s="0" t="s">
        <v>36</v>
      </c>
      <c r="V264" s="0" t="s">
        <v>36</v>
      </c>
      <c r="W264" s="0" t="s">
        <v>36</v>
      </c>
      <c r="X264" s="0" t="s">
        <v>36</v>
      </c>
      <c r="Y264" s="2" t="s">
        <v>36</v>
      </c>
      <c r="Z264" s="0" t="s">
        <v>36</v>
      </c>
      <c r="AA264" s="0" t="s">
        <v>36</v>
      </c>
      <c r="AB264" s="0" t="s">
        <v>36</v>
      </c>
      <c r="AC264" s="0" t="s">
        <v>36</v>
      </c>
      <c r="AD264" s="0" t="s">
        <v>36</v>
      </c>
      <c r="AE264" s="2" t="s">
        <v>36</v>
      </c>
    </row>
    <row r="265">
      <c r="A265" s="6" t="s">
        <v>31</v>
      </c>
      <c r="B265" s="7">
        <v>43950</v>
      </c>
      <c r="C265" s="9">
        <f>HYPERLINK("https://www.epingalert.org/en/Search?viewData= G/SPS/N/RUS/183/Add.1"," G/SPS/N/RUS/183/Add.1")</f>
      </c>
      <c r="D265" s="8" t="s">
        <v>1344</v>
      </c>
      <c r="E265" s="8" t="s">
        <v>1345</v>
      </c>
      <c r="F265" s="8"/>
      <c r="G265" s="8" t="s">
        <v>1346</v>
      </c>
      <c r="H265" s="8" t="s">
        <v>36</v>
      </c>
      <c r="I265" s="8" t="s">
        <v>332</v>
      </c>
      <c r="J265" s="8" t="s">
        <v>1347</v>
      </c>
      <c r="K265" s="6"/>
      <c r="L265" s="7" t="s">
        <v>36</v>
      </c>
      <c r="M265" s="6" t="s">
        <v>179</v>
      </c>
      <c r="N265" s="6"/>
      <c r="O265" s="6">
        <f>HYPERLINK("https://docs.wto.org/imrd/directdoc.asp?DDFDocuments/t/G/SPS/NRUS183A1.DOCX", "https://docs.wto.org/imrd/directdoc.asp?DDFDocuments/t/G/SPS/NRUS183A1.DOCX")</f>
      </c>
      <c r="P265" s="6">
        <f>HYPERLINK("https://docs.wto.org/imrd/directdoc.asp?DDFDocuments/u/G/SPS/NRUS183A1.DOCX", "https://docs.wto.org/imrd/directdoc.asp?DDFDocuments/u/G/SPS/NRUS183A1.DOCX")</f>
      </c>
      <c r="Q265" s="6">
        <f>HYPERLINK("https://docs.wto.org/imrd/directdoc.asp?DDFDocuments/v/G/SPS/NRUS183A1.DOCX", "https://docs.wto.org/imrd/directdoc.asp?DDFDocuments/v/G/SPS/NRUS183A1.DOCX")</f>
      </c>
      <c r="R265" s="0" t="s">
        <v>36</v>
      </c>
      <c r="S265" s="0" t="s">
        <v>36</v>
      </c>
      <c r="T265" s="0" t="s">
        <v>36</v>
      </c>
      <c r="U265" s="0" t="s">
        <v>36</v>
      </c>
      <c r="V265" s="0" t="s">
        <v>36</v>
      </c>
      <c r="W265" s="0" t="s">
        <v>36</v>
      </c>
      <c r="X265" s="0" t="s">
        <v>36</v>
      </c>
      <c r="Y265" s="2" t="s">
        <v>36</v>
      </c>
      <c r="Z265" s="0" t="s">
        <v>36</v>
      </c>
      <c r="AA265" s="0" t="s">
        <v>36</v>
      </c>
      <c r="AB265" s="0" t="s">
        <v>36</v>
      </c>
      <c r="AC265" s="0" t="s">
        <v>36</v>
      </c>
      <c r="AD265" s="0" t="s">
        <v>36</v>
      </c>
      <c r="AE265" s="2" t="s">
        <v>36</v>
      </c>
    </row>
    <row r="266">
      <c r="A266" s="6" t="s">
        <v>31</v>
      </c>
      <c r="B266" s="7">
        <v>43950</v>
      </c>
      <c r="C266" s="9">
        <f>HYPERLINK("https://www.epingalert.org/en/Search?viewData= G/SPS/N/RUS/188"," G/SPS/N/RUS/188")</f>
      </c>
      <c r="D266" s="8" t="s">
        <v>328</v>
      </c>
      <c r="E266" s="8" t="s">
        <v>1348</v>
      </c>
      <c r="F266" s="8" t="s">
        <v>330</v>
      </c>
      <c r="G266" s="8" t="s">
        <v>1349</v>
      </c>
      <c r="H266" s="8" t="s">
        <v>36</v>
      </c>
      <c r="I266" s="8" t="s">
        <v>332</v>
      </c>
      <c r="J266" s="8" t="s">
        <v>1224</v>
      </c>
      <c r="K266" s="6" t="s">
        <v>1350</v>
      </c>
      <c r="L266" s="7" t="s">
        <v>36</v>
      </c>
      <c r="M266" s="6" t="s">
        <v>40</v>
      </c>
      <c r="N266" s="8" t="s">
        <v>1351</v>
      </c>
      <c r="O266" s="6">
        <f>HYPERLINK("https://docs.wto.org/imrd/directdoc.asp?DDFDocuments/t/G/SPS/NRUS188.DOCX", "https://docs.wto.org/imrd/directdoc.asp?DDFDocuments/t/G/SPS/NRUS188.DOCX")</f>
      </c>
      <c r="P266" s="6">
        <f>HYPERLINK("https://docs.wto.org/imrd/directdoc.asp?DDFDocuments/u/G/SPS/NRUS188.DOCX", "https://docs.wto.org/imrd/directdoc.asp?DDFDocuments/u/G/SPS/NRUS188.DOCX")</f>
      </c>
      <c r="Q266" s="6">
        <f>HYPERLINK("https://docs.wto.org/imrd/directdoc.asp?DDFDocuments/v/G/SPS/NRUS188.DOCX", "https://docs.wto.org/imrd/directdoc.asp?DDFDocuments/v/G/SPS/NRUS188.DOCX")</f>
      </c>
      <c r="R266" s="0" t="s">
        <v>36</v>
      </c>
      <c r="S266" s="0" t="s">
        <v>36</v>
      </c>
      <c r="T266" s="0" t="s">
        <v>36</v>
      </c>
      <c r="U266" s="0" t="s">
        <v>36</v>
      </c>
      <c r="V266" s="0" t="s">
        <v>36</v>
      </c>
      <c r="W266" s="0" t="s">
        <v>36</v>
      </c>
      <c r="X266" s="0" t="s">
        <v>36</v>
      </c>
      <c r="Y266" s="2" t="s">
        <v>36</v>
      </c>
      <c r="Z266" s="0" t="s">
        <v>42</v>
      </c>
      <c r="AA266" s="0" t="s">
        <v>43</v>
      </c>
      <c r="AB266" s="0" t="s">
        <v>42</v>
      </c>
      <c r="AC266" s="0" t="s">
        <v>42</v>
      </c>
      <c r="AD266" s="0" t="s">
        <v>43</v>
      </c>
      <c r="AE266" s="2" t="s">
        <v>36</v>
      </c>
    </row>
    <row r="267">
      <c r="A267" s="6" t="s">
        <v>31</v>
      </c>
      <c r="B267" s="7">
        <v>43941</v>
      </c>
      <c r="C267" s="9">
        <f>HYPERLINK("https://www.epingalert.org/en/Search?viewData= G/SPS/N/RUS/178/Add.1"," G/SPS/N/RUS/178/Add.1")</f>
      </c>
      <c r="D267" s="8" t="s">
        <v>1352</v>
      </c>
      <c r="E267" s="8" t="s">
        <v>1353</v>
      </c>
      <c r="F267" s="8"/>
      <c r="G267" s="8" t="s">
        <v>1354</v>
      </c>
      <c r="H267" s="8" t="s">
        <v>36</v>
      </c>
      <c r="I267" s="8" t="s">
        <v>1323</v>
      </c>
      <c r="J267" s="8" t="s">
        <v>1355</v>
      </c>
      <c r="K267" s="6"/>
      <c r="L267" s="7" t="s">
        <v>36</v>
      </c>
      <c r="M267" s="6" t="s">
        <v>179</v>
      </c>
      <c r="N267" s="6"/>
      <c r="O267" s="6">
        <f>HYPERLINK("https://docs.wto.org/imrd/directdoc.asp?DDFDocuments/t/G/SPS/NRUS178A1.DOCX", "https://docs.wto.org/imrd/directdoc.asp?DDFDocuments/t/G/SPS/NRUS178A1.DOCX")</f>
      </c>
      <c r="P267" s="6">
        <f>HYPERLINK("https://docs.wto.org/imrd/directdoc.asp?DDFDocuments/u/G/SPS/NRUS178A1.DOCX", "https://docs.wto.org/imrd/directdoc.asp?DDFDocuments/u/G/SPS/NRUS178A1.DOCX")</f>
      </c>
      <c r="Q267" s="6">
        <f>HYPERLINK("https://docs.wto.org/imrd/directdoc.asp?DDFDocuments/v/G/SPS/NRUS178A1.DOCX", "https://docs.wto.org/imrd/directdoc.asp?DDFDocuments/v/G/SPS/NRUS178A1.DOCX")</f>
      </c>
      <c r="R267" s="0" t="s">
        <v>36</v>
      </c>
      <c r="S267" s="0" t="s">
        <v>36</v>
      </c>
      <c r="T267" s="0" t="s">
        <v>36</v>
      </c>
      <c r="U267" s="0" t="s">
        <v>36</v>
      </c>
      <c r="V267" s="0" t="s">
        <v>36</v>
      </c>
      <c r="W267" s="0" t="s">
        <v>36</v>
      </c>
      <c r="X267" s="0" t="s">
        <v>36</v>
      </c>
      <c r="Y267" s="2" t="s">
        <v>36</v>
      </c>
      <c r="Z267" s="0" t="s">
        <v>36</v>
      </c>
      <c r="AA267" s="0" t="s">
        <v>36</v>
      </c>
      <c r="AB267" s="0" t="s">
        <v>36</v>
      </c>
      <c r="AC267" s="0" t="s">
        <v>36</v>
      </c>
      <c r="AD267" s="0" t="s">
        <v>36</v>
      </c>
      <c r="AE267" s="2" t="s">
        <v>36</v>
      </c>
    </row>
    <row r="268">
      <c r="A268" s="6" t="s">
        <v>31</v>
      </c>
      <c r="B268" s="7">
        <v>43924</v>
      </c>
      <c r="C268" s="9">
        <f>HYPERLINK("https://www.epingalert.org/en/Search?viewData= G/SPS/N/RUS/185"," G/SPS/N/RUS/185")</f>
      </c>
      <c r="D268" s="8" t="s">
        <v>1356</v>
      </c>
      <c r="E268" s="8" t="s">
        <v>1357</v>
      </c>
      <c r="F268" s="8" t="s">
        <v>1358</v>
      </c>
      <c r="G268" s="8" t="s">
        <v>1359</v>
      </c>
      <c r="H268" s="8" t="s">
        <v>36</v>
      </c>
      <c r="I268" s="8" t="s">
        <v>37</v>
      </c>
      <c r="J268" s="8" t="s">
        <v>1360</v>
      </c>
      <c r="K268" s="6" t="s">
        <v>951</v>
      </c>
      <c r="L268" s="7" t="s">
        <v>36</v>
      </c>
      <c r="M268" s="6" t="s">
        <v>40</v>
      </c>
      <c r="N268" s="8" t="s">
        <v>1361</v>
      </c>
      <c r="O268" s="6">
        <f>HYPERLINK("https://docs.wto.org/imrd/directdoc.asp?DDFDocuments/t/G/SPS/NRUS185.DOCX", "https://docs.wto.org/imrd/directdoc.asp?DDFDocuments/t/G/SPS/NRUS185.DOCX")</f>
      </c>
      <c r="P268" s="6">
        <f>HYPERLINK("https://docs.wto.org/imrd/directdoc.asp?DDFDocuments/u/G/SPS/NRUS185.DOCX", "https://docs.wto.org/imrd/directdoc.asp?DDFDocuments/u/G/SPS/NRUS185.DOCX")</f>
      </c>
      <c r="Q268" s="6">
        <f>HYPERLINK("https://docs.wto.org/imrd/directdoc.asp?DDFDocuments/v/G/SPS/NRUS185.DOCX", "https://docs.wto.org/imrd/directdoc.asp?DDFDocuments/v/G/SPS/NRUS185.DOCX")</f>
      </c>
      <c r="R268" s="0" t="s">
        <v>36</v>
      </c>
      <c r="S268" s="0" t="s">
        <v>36</v>
      </c>
      <c r="T268" s="0" t="s">
        <v>36</v>
      </c>
      <c r="U268" s="0" t="s">
        <v>36</v>
      </c>
      <c r="V268" s="0" t="s">
        <v>36</v>
      </c>
      <c r="W268" s="0" t="s">
        <v>36</v>
      </c>
      <c r="X268" s="0" t="s">
        <v>36</v>
      </c>
      <c r="Y268" s="2" t="s">
        <v>36</v>
      </c>
      <c r="Z268" s="0" t="s">
        <v>42</v>
      </c>
      <c r="AA268" s="0" t="s">
        <v>43</v>
      </c>
      <c r="AB268" s="0" t="s">
        <v>42</v>
      </c>
      <c r="AC268" s="0" t="s">
        <v>42</v>
      </c>
      <c r="AD268" s="0" t="s">
        <v>43</v>
      </c>
      <c r="AE268" s="2" t="s">
        <v>36</v>
      </c>
    </row>
    <row r="269">
      <c r="A269" s="6" t="s">
        <v>31</v>
      </c>
      <c r="B269" s="7">
        <v>43924</v>
      </c>
      <c r="C269" s="9">
        <f>HYPERLINK("https://www.epingalert.org/en/Search?viewData= G/SPS/N/RUS/184"," G/SPS/N/RUS/184")</f>
      </c>
      <c r="D269" s="8" t="s">
        <v>1362</v>
      </c>
      <c r="E269" s="8" t="s">
        <v>1363</v>
      </c>
      <c r="F269" s="8" t="s">
        <v>1364</v>
      </c>
      <c r="G269" s="8" t="s">
        <v>36</v>
      </c>
      <c r="H269" s="8" t="s">
        <v>36</v>
      </c>
      <c r="I269" s="8" t="s">
        <v>808</v>
      </c>
      <c r="J269" s="8" t="s">
        <v>1365</v>
      </c>
      <c r="K269" s="6"/>
      <c r="L269" s="7" t="s">
        <v>36</v>
      </c>
      <c r="M269" s="6" t="s">
        <v>51</v>
      </c>
      <c r="N269" s="8" t="s">
        <v>1366</v>
      </c>
      <c r="O269" s="6">
        <f>HYPERLINK("https://docs.wto.org/imrd/directdoc.asp?DDFDocuments/t/G/SPS/NRUS184.DOCX", "https://docs.wto.org/imrd/directdoc.asp?DDFDocuments/t/G/SPS/NRUS184.DOCX")</f>
      </c>
      <c r="P269" s="6">
        <f>HYPERLINK("https://docs.wto.org/imrd/directdoc.asp?DDFDocuments/u/G/SPS/NRUS184.DOCX", "https://docs.wto.org/imrd/directdoc.asp?DDFDocuments/u/G/SPS/NRUS184.DOCX")</f>
      </c>
      <c r="Q269" s="6">
        <f>HYPERLINK("https://docs.wto.org/imrd/directdoc.asp?DDFDocuments/v/G/SPS/NRUS184.DOCX", "https://docs.wto.org/imrd/directdoc.asp?DDFDocuments/v/G/SPS/NRUS184.DOCX")</f>
      </c>
      <c r="R269" s="0" t="s">
        <v>36</v>
      </c>
      <c r="S269" s="0" t="s">
        <v>36</v>
      </c>
      <c r="T269" s="0" t="s">
        <v>36</v>
      </c>
      <c r="U269" s="0" t="s">
        <v>36</v>
      </c>
      <c r="V269" s="0" t="s">
        <v>36</v>
      </c>
      <c r="W269" s="0" t="s">
        <v>36</v>
      </c>
      <c r="X269" s="0" t="s">
        <v>36</v>
      </c>
      <c r="Y269" s="2" t="s">
        <v>36</v>
      </c>
      <c r="Z269" s="0" t="s">
        <v>42</v>
      </c>
      <c r="AA269" s="0" t="s">
        <v>42</v>
      </c>
      <c r="AB269" s="0" t="s">
        <v>42</v>
      </c>
      <c r="AC269" s="0" t="s">
        <v>43</v>
      </c>
      <c r="AD269" s="0" t="s">
        <v>107</v>
      </c>
      <c r="AE269" s="2" t="s">
        <v>36</v>
      </c>
    </row>
    <row r="270">
      <c r="A270" s="6" t="s">
        <v>31</v>
      </c>
      <c r="B270" s="7">
        <v>43924</v>
      </c>
      <c r="C270" s="9">
        <f>HYPERLINK("https://www.epingalert.org/en/Search?viewData= G/SPS/N/RUS/186"," G/SPS/N/RUS/186")</f>
      </c>
      <c r="D270" s="8" t="s">
        <v>1367</v>
      </c>
      <c r="E270" s="8" t="s">
        <v>1368</v>
      </c>
      <c r="F270" s="8" t="s">
        <v>1369</v>
      </c>
      <c r="G270" s="8" t="s">
        <v>1370</v>
      </c>
      <c r="H270" s="8" t="s">
        <v>36</v>
      </c>
      <c r="I270" s="8" t="s">
        <v>37</v>
      </c>
      <c r="J270" s="8" t="s">
        <v>1371</v>
      </c>
      <c r="K270" s="6" t="s">
        <v>1372</v>
      </c>
      <c r="L270" s="7" t="s">
        <v>36</v>
      </c>
      <c r="M270" s="6" t="s">
        <v>40</v>
      </c>
      <c r="N270" s="8" t="s">
        <v>1373</v>
      </c>
      <c r="O270" s="6">
        <f>HYPERLINK("https://docs.wto.org/imrd/directdoc.asp?DDFDocuments/t/G/SPS/NRUS186.DOCX", "https://docs.wto.org/imrd/directdoc.asp?DDFDocuments/t/G/SPS/NRUS186.DOCX")</f>
      </c>
      <c r="P270" s="6">
        <f>HYPERLINK("https://docs.wto.org/imrd/directdoc.asp?DDFDocuments/u/G/SPS/NRUS186.DOCX", "https://docs.wto.org/imrd/directdoc.asp?DDFDocuments/u/G/SPS/NRUS186.DOCX")</f>
      </c>
      <c r="Q270" s="6">
        <f>HYPERLINK("https://docs.wto.org/imrd/directdoc.asp?DDFDocuments/v/G/SPS/NRUS186.DOCX", "https://docs.wto.org/imrd/directdoc.asp?DDFDocuments/v/G/SPS/NRUS186.DOCX")</f>
      </c>
      <c r="R270" s="0" t="s">
        <v>36</v>
      </c>
      <c r="S270" s="0" t="s">
        <v>36</v>
      </c>
      <c r="T270" s="0" t="s">
        <v>36</v>
      </c>
      <c r="U270" s="0" t="s">
        <v>36</v>
      </c>
      <c r="V270" s="0" t="s">
        <v>36</v>
      </c>
      <c r="W270" s="0" t="s">
        <v>36</v>
      </c>
      <c r="X270" s="0" t="s">
        <v>36</v>
      </c>
      <c r="Y270" s="2" t="s">
        <v>36</v>
      </c>
      <c r="Z270" s="0" t="s">
        <v>42</v>
      </c>
      <c r="AA270" s="0" t="s">
        <v>43</v>
      </c>
      <c r="AB270" s="0" t="s">
        <v>42</v>
      </c>
      <c r="AC270" s="0" t="s">
        <v>42</v>
      </c>
      <c r="AD270" s="0" t="s">
        <v>43</v>
      </c>
      <c r="AE270" s="2" t="s">
        <v>36</v>
      </c>
    </row>
    <row r="271">
      <c r="A271" s="6" t="s">
        <v>31</v>
      </c>
      <c r="B271" s="7">
        <v>43924</v>
      </c>
      <c r="C271" s="9">
        <f>HYPERLINK("https://www.epingalert.org/en/Search?viewData= G/SPS/N/RUS/187"," G/SPS/N/RUS/187")</f>
      </c>
      <c r="D271" s="8" t="s">
        <v>1374</v>
      </c>
      <c r="E271" s="8" t="s">
        <v>1375</v>
      </c>
      <c r="F271" s="8" t="s">
        <v>1369</v>
      </c>
      <c r="G271" s="8" t="s">
        <v>1376</v>
      </c>
      <c r="H271" s="8" t="s">
        <v>36</v>
      </c>
      <c r="I271" s="8" t="s">
        <v>37</v>
      </c>
      <c r="J271" s="8" t="s">
        <v>1371</v>
      </c>
      <c r="K271" s="6" t="s">
        <v>1377</v>
      </c>
      <c r="L271" s="7" t="s">
        <v>36</v>
      </c>
      <c r="M271" s="6" t="s">
        <v>40</v>
      </c>
      <c r="N271" s="8" t="s">
        <v>1378</v>
      </c>
      <c r="O271" s="6">
        <f>HYPERLINK("https://docs.wto.org/imrd/directdoc.asp?DDFDocuments/t/G/SPS/NRUS187.DOCX", "https://docs.wto.org/imrd/directdoc.asp?DDFDocuments/t/G/SPS/NRUS187.DOCX")</f>
      </c>
      <c r="P271" s="6">
        <f>HYPERLINK("https://docs.wto.org/imrd/directdoc.asp?DDFDocuments/u/G/SPS/NRUS187.DOCX", "https://docs.wto.org/imrd/directdoc.asp?DDFDocuments/u/G/SPS/NRUS187.DOCX")</f>
      </c>
      <c r="Q271" s="6">
        <f>HYPERLINK("https://docs.wto.org/imrd/directdoc.asp?DDFDocuments/v/G/SPS/NRUS187.DOCX", "https://docs.wto.org/imrd/directdoc.asp?DDFDocuments/v/G/SPS/NRUS187.DOCX")</f>
      </c>
      <c r="R271" s="0" t="s">
        <v>36</v>
      </c>
      <c r="S271" s="0" t="s">
        <v>36</v>
      </c>
      <c r="T271" s="0" t="s">
        <v>36</v>
      </c>
      <c r="U271" s="0" t="s">
        <v>36</v>
      </c>
      <c r="V271" s="0" t="s">
        <v>36</v>
      </c>
      <c r="W271" s="0" t="s">
        <v>36</v>
      </c>
      <c r="X271" s="0" t="s">
        <v>36</v>
      </c>
      <c r="Y271" s="2" t="s">
        <v>36</v>
      </c>
      <c r="Z271" s="0" t="s">
        <v>42</v>
      </c>
      <c r="AA271" s="0" t="s">
        <v>43</v>
      </c>
      <c r="AB271" s="0" t="s">
        <v>42</v>
      </c>
      <c r="AC271" s="0" t="s">
        <v>42</v>
      </c>
      <c r="AD271" s="0" t="s">
        <v>43</v>
      </c>
      <c r="AE271" s="2" t="s">
        <v>36</v>
      </c>
    </row>
    <row r="272">
      <c r="A272" s="6" t="s">
        <v>31</v>
      </c>
      <c r="B272" s="7">
        <v>43921</v>
      </c>
      <c r="C272" s="9">
        <f>HYPERLINK("https://www.epingalert.org/en/Search?viewData= G/SPS/N/RUS/178/Corr.1"," G/SPS/N/RUS/178/Corr.1")</f>
      </c>
      <c r="D272" s="8" t="s">
        <v>1379</v>
      </c>
      <c r="E272" s="8" t="s">
        <v>1380</v>
      </c>
      <c r="F272" s="8"/>
      <c r="G272" s="8" t="s">
        <v>1354</v>
      </c>
      <c r="H272" s="8" t="s">
        <v>36</v>
      </c>
      <c r="I272" s="8" t="s">
        <v>1323</v>
      </c>
      <c r="J272" s="8" t="s">
        <v>1381</v>
      </c>
      <c r="K272" s="6"/>
      <c r="L272" s="7" t="s">
        <v>36</v>
      </c>
      <c r="M272" s="6" t="s">
        <v>690</v>
      </c>
      <c r="N272" s="6"/>
      <c r="O272" s="6">
        <f>HYPERLINK("https://docs.wto.org/imrd/directdoc.asp?DDFDocuments/t/G/SPS/NRUS178C1.DOCX", "https://docs.wto.org/imrd/directdoc.asp?DDFDocuments/t/G/SPS/NRUS178C1.DOCX")</f>
      </c>
      <c r="P272" s="6">
        <f>HYPERLINK("https://docs.wto.org/imrd/directdoc.asp?DDFDocuments/u/G/SPS/NRUS178C1.DOCX", "https://docs.wto.org/imrd/directdoc.asp?DDFDocuments/u/G/SPS/NRUS178C1.DOCX")</f>
      </c>
      <c r="Q272" s="6">
        <f>HYPERLINK("https://docs.wto.org/imrd/directdoc.asp?DDFDocuments/v/G/SPS/NRUS178C1.DOCX", "https://docs.wto.org/imrd/directdoc.asp?DDFDocuments/v/G/SPS/NRUS178C1.DOCX")</f>
      </c>
      <c r="R272" s="0" t="s">
        <v>36</v>
      </c>
      <c r="S272" s="0" t="s">
        <v>36</v>
      </c>
      <c r="T272" s="0" t="s">
        <v>36</v>
      </c>
      <c r="U272" s="0" t="s">
        <v>36</v>
      </c>
      <c r="V272" s="0" t="s">
        <v>36</v>
      </c>
      <c r="W272" s="0" t="s">
        <v>36</v>
      </c>
      <c r="X272" s="0" t="s">
        <v>36</v>
      </c>
      <c r="Y272" s="2" t="s">
        <v>36</v>
      </c>
      <c r="Z272" s="0" t="s">
        <v>36</v>
      </c>
      <c r="AA272" s="0" t="s">
        <v>36</v>
      </c>
      <c r="AB272" s="0" t="s">
        <v>36</v>
      </c>
      <c r="AC272" s="0" t="s">
        <v>36</v>
      </c>
      <c r="AD272" s="0" t="s">
        <v>36</v>
      </c>
      <c r="AE272" s="2" t="s">
        <v>36</v>
      </c>
    </row>
    <row r="273">
      <c r="A273" s="6" t="s">
        <v>31</v>
      </c>
      <c r="B273" s="7">
        <v>43920</v>
      </c>
      <c r="C273" s="9">
        <f>HYPERLINK("https://www.epingalert.org/en/Search?viewData= G/SPS/N/RUS/183"," G/SPS/N/RUS/183")</f>
      </c>
      <c r="D273" s="8" t="s">
        <v>1382</v>
      </c>
      <c r="E273" s="8" t="s">
        <v>1383</v>
      </c>
      <c r="F273" s="8" t="s">
        <v>1384</v>
      </c>
      <c r="G273" s="8" t="s">
        <v>1385</v>
      </c>
      <c r="H273" s="8" t="s">
        <v>36</v>
      </c>
      <c r="I273" s="8" t="s">
        <v>332</v>
      </c>
      <c r="J273" s="8" t="s">
        <v>1386</v>
      </c>
      <c r="K273" s="6" t="s">
        <v>1387</v>
      </c>
      <c r="L273" s="7" t="s">
        <v>36</v>
      </c>
      <c r="M273" s="6" t="s">
        <v>40</v>
      </c>
      <c r="N273" s="8" t="s">
        <v>1388</v>
      </c>
      <c r="O273" s="6">
        <f>HYPERLINK("https://docs.wto.org/imrd/directdoc.asp?DDFDocuments/t/G/SPS/NRUS183.DOCX", "https://docs.wto.org/imrd/directdoc.asp?DDFDocuments/t/G/SPS/NRUS183.DOCX")</f>
      </c>
      <c r="P273" s="6">
        <f>HYPERLINK("https://docs.wto.org/imrd/directdoc.asp?DDFDocuments/u/G/SPS/NRUS183.DOCX", "https://docs.wto.org/imrd/directdoc.asp?DDFDocuments/u/G/SPS/NRUS183.DOCX")</f>
      </c>
      <c r="Q273" s="6">
        <f>HYPERLINK("https://docs.wto.org/imrd/directdoc.asp?DDFDocuments/v/G/SPS/NRUS183.DOCX", "https://docs.wto.org/imrd/directdoc.asp?DDFDocuments/v/G/SPS/NRUS183.DOCX")</f>
      </c>
      <c r="R273" s="0" t="s">
        <v>36</v>
      </c>
      <c r="S273" s="0" t="s">
        <v>36</v>
      </c>
      <c r="T273" s="0" t="s">
        <v>36</v>
      </c>
      <c r="U273" s="0" t="s">
        <v>36</v>
      </c>
      <c r="V273" s="0" t="s">
        <v>36</v>
      </c>
      <c r="W273" s="0" t="s">
        <v>36</v>
      </c>
      <c r="X273" s="0" t="s">
        <v>36</v>
      </c>
      <c r="Y273" s="2" t="s">
        <v>36</v>
      </c>
      <c r="Z273" s="0" t="s">
        <v>42</v>
      </c>
      <c r="AA273" s="0" t="s">
        <v>43</v>
      </c>
      <c r="AB273" s="0" t="s">
        <v>42</v>
      </c>
      <c r="AC273" s="0" t="s">
        <v>42</v>
      </c>
      <c r="AD273" s="0" t="s">
        <v>43</v>
      </c>
      <c r="AE273" s="2" t="s">
        <v>36</v>
      </c>
    </row>
    <row r="274">
      <c r="A274" s="6" t="s">
        <v>31</v>
      </c>
      <c r="B274" s="7">
        <v>43920</v>
      </c>
      <c r="C274" s="9">
        <f>HYPERLINK("https://www.epingalert.org/en/Search?viewData= G/SPS/N/RUS/181"," G/SPS/N/RUS/181")</f>
      </c>
      <c r="D274" s="8" t="s">
        <v>1389</v>
      </c>
      <c r="E274" s="8" t="s">
        <v>1390</v>
      </c>
      <c r="F274" s="8" t="s">
        <v>1391</v>
      </c>
      <c r="G274" s="8" t="s">
        <v>1392</v>
      </c>
      <c r="H274" s="8" t="s">
        <v>36</v>
      </c>
      <c r="I274" s="8" t="s">
        <v>37</v>
      </c>
      <c r="J274" s="8" t="s">
        <v>1393</v>
      </c>
      <c r="K274" s="6" t="s">
        <v>1394</v>
      </c>
      <c r="L274" s="7" t="s">
        <v>36</v>
      </c>
      <c r="M274" s="6" t="s">
        <v>40</v>
      </c>
      <c r="N274" s="8" t="s">
        <v>1395</v>
      </c>
      <c r="O274" s="6">
        <f>HYPERLINK("https://docs.wto.org/imrd/directdoc.asp?DDFDocuments/t/G/SPS/NRUS181.DOCX", "https://docs.wto.org/imrd/directdoc.asp?DDFDocuments/t/G/SPS/NRUS181.DOCX")</f>
      </c>
      <c r="P274" s="6">
        <f>HYPERLINK("https://docs.wto.org/imrd/directdoc.asp?DDFDocuments/u/G/SPS/NRUS181.DOCX", "https://docs.wto.org/imrd/directdoc.asp?DDFDocuments/u/G/SPS/NRUS181.DOCX")</f>
      </c>
      <c r="Q274" s="6">
        <f>HYPERLINK("https://docs.wto.org/imrd/directdoc.asp?DDFDocuments/v/G/SPS/NRUS181.DOCX", "https://docs.wto.org/imrd/directdoc.asp?DDFDocuments/v/G/SPS/NRUS181.DOCX")</f>
      </c>
      <c r="R274" s="0" t="s">
        <v>36</v>
      </c>
      <c r="S274" s="0" t="s">
        <v>36</v>
      </c>
      <c r="T274" s="0" t="s">
        <v>36</v>
      </c>
      <c r="U274" s="0" t="s">
        <v>36</v>
      </c>
      <c r="V274" s="0" t="s">
        <v>36</v>
      </c>
      <c r="W274" s="0" t="s">
        <v>36</v>
      </c>
      <c r="X274" s="0" t="s">
        <v>36</v>
      </c>
      <c r="Y274" s="2" t="s">
        <v>36</v>
      </c>
      <c r="Z274" s="0" t="s">
        <v>42</v>
      </c>
      <c r="AA274" s="0" t="s">
        <v>43</v>
      </c>
      <c r="AB274" s="0" t="s">
        <v>42</v>
      </c>
      <c r="AC274" s="0" t="s">
        <v>42</v>
      </c>
      <c r="AD274" s="0" t="s">
        <v>43</v>
      </c>
      <c r="AE274" s="2" t="s">
        <v>36</v>
      </c>
    </row>
    <row r="275">
      <c r="A275" s="6" t="s">
        <v>31</v>
      </c>
      <c r="B275" s="7">
        <v>43920</v>
      </c>
      <c r="C275" s="9">
        <f>HYPERLINK("https://www.epingalert.org/en/Search?viewData= G/SPS/N/RUS/182"," G/SPS/N/RUS/182")</f>
      </c>
      <c r="D275" s="8" t="s">
        <v>1396</v>
      </c>
      <c r="E275" s="8" t="s">
        <v>1397</v>
      </c>
      <c r="F275" s="8" t="s">
        <v>1398</v>
      </c>
      <c r="G275" s="8" t="s">
        <v>1399</v>
      </c>
      <c r="H275" s="8" t="s">
        <v>36</v>
      </c>
      <c r="I275" s="8" t="s">
        <v>332</v>
      </c>
      <c r="J275" s="8" t="s">
        <v>1400</v>
      </c>
      <c r="K275" s="6" t="s">
        <v>1401</v>
      </c>
      <c r="L275" s="7" t="s">
        <v>36</v>
      </c>
      <c r="M275" s="6" t="s">
        <v>40</v>
      </c>
      <c r="N275" s="8" t="s">
        <v>1402</v>
      </c>
      <c r="O275" s="6">
        <f>HYPERLINK("https://docs.wto.org/imrd/directdoc.asp?DDFDocuments/t/G/SPS/NRUS182.DOCX", "https://docs.wto.org/imrd/directdoc.asp?DDFDocuments/t/G/SPS/NRUS182.DOCX")</f>
      </c>
      <c r="P275" s="6">
        <f>HYPERLINK("https://docs.wto.org/imrd/directdoc.asp?DDFDocuments/u/G/SPS/NRUS182.DOCX", "https://docs.wto.org/imrd/directdoc.asp?DDFDocuments/u/G/SPS/NRUS182.DOCX")</f>
      </c>
      <c r="Q275" s="6">
        <f>HYPERLINK("https://docs.wto.org/imrd/directdoc.asp?DDFDocuments/v/G/SPS/NRUS182.DOCX", "https://docs.wto.org/imrd/directdoc.asp?DDFDocuments/v/G/SPS/NRUS182.DOCX")</f>
      </c>
      <c r="R275" s="0" t="s">
        <v>36</v>
      </c>
      <c r="S275" s="0" t="s">
        <v>36</v>
      </c>
      <c r="T275" s="0" t="s">
        <v>36</v>
      </c>
      <c r="U275" s="0" t="s">
        <v>36</v>
      </c>
      <c r="V275" s="0" t="s">
        <v>36</v>
      </c>
      <c r="W275" s="0" t="s">
        <v>36</v>
      </c>
      <c r="X275" s="0" t="s">
        <v>36</v>
      </c>
      <c r="Y275" s="2" t="s">
        <v>36</v>
      </c>
      <c r="Z275" s="0" t="s">
        <v>42</v>
      </c>
      <c r="AA275" s="0" t="s">
        <v>43</v>
      </c>
      <c r="AB275" s="0" t="s">
        <v>42</v>
      </c>
      <c r="AC275" s="0" t="s">
        <v>42</v>
      </c>
      <c r="AD275" s="0" t="s">
        <v>43</v>
      </c>
      <c r="AE275" s="2" t="s">
        <v>36</v>
      </c>
    </row>
    <row r="276">
      <c r="A276" s="6" t="s">
        <v>31</v>
      </c>
      <c r="B276" s="7">
        <v>43910</v>
      </c>
      <c r="C276" s="9">
        <f>HYPERLINK("https://www.epingalert.org/en/Search?viewData= G/TBT/N/RUS/100"," G/TBT/N/RUS/100")</f>
      </c>
      <c r="D276" s="8" t="s">
        <v>1403</v>
      </c>
      <c r="E276" s="8" t="s">
        <v>1404</v>
      </c>
      <c r="F276" s="8" t="s">
        <v>1405</v>
      </c>
      <c r="G276" s="8" t="s">
        <v>36</v>
      </c>
      <c r="H276" s="8" t="s">
        <v>1406</v>
      </c>
      <c r="I276" s="8" t="s">
        <v>796</v>
      </c>
      <c r="J276" s="8" t="s">
        <v>36</v>
      </c>
      <c r="K276" s="6"/>
      <c r="L276" s="7">
        <v>43971</v>
      </c>
      <c r="M276" s="6" t="s">
        <v>51</v>
      </c>
      <c r="N276" s="8" t="s">
        <v>1407</v>
      </c>
      <c r="O276" s="6">
        <f>HYPERLINK("https://docs.wto.org/imrd/directdoc.asp?DDFDocuments/t/G/TBTN20/RUS100.DOCX", "https://docs.wto.org/imrd/directdoc.asp?DDFDocuments/t/G/TBTN20/RUS100.DOCX")</f>
      </c>
      <c r="P276" s="6">
        <f>HYPERLINK("https://docs.wto.org/imrd/directdoc.asp?DDFDocuments/u/G/TBTN20/RUS100.DOCX", "https://docs.wto.org/imrd/directdoc.asp?DDFDocuments/u/G/TBTN20/RUS100.DOCX")</f>
      </c>
      <c r="Q276" s="6">
        <f>HYPERLINK("https://docs.wto.org/imrd/directdoc.asp?DDFDocuments/v/G/TBTN20/RUS100.DOCX", "https://docs.wto.org/imrd/directdoc.asp?DDFDocuments/v/G/TBTN20/RUS100.DOCX")</f>
      </c>
      <c r="R276" s="0" t="s">
        <v>43</v>
      </c>
      <c r="S276" s="0" t="s">
        <v>42</v>
      </c>
      <c r="T276" s="0" t="s">
        <v>42</v>
      </c>
      <c r="U276" s="0" t="s">
        <v>42</v>
      </c>
      <c r="V276" s="0" t="s">
        <v>42</v>
      </c>
      <c r="W276" s="0" t="s">
        <v>42</v>
      </c>
      <c r="X276" s="0" t="s">
        <v>42</v>
      </c>
      <c r="Y276" s="2" t="s">
        <v>1408</v>
      </c>
      <c r="Z276" s="0" t="s">
        <v>36</v>
      </c>
      <c r="AA276" s="0" t="s">
        <v>36</v>
      </c>
      <c r="AB276" s="0" t="s">
        <v>36</v>
      </c>
      <c r="AC276" s="0" t="s">
        <v>36</v>
      </c>
      <c r="AD276" s="0" t="s">
        <v>36</v>
      </c>
      <c r="AE276" s="2" t="s">
        <v>36</v>
      </c>
    </row>
    <row r="277">
      <c r="A277" s="6" t="s">
        <v>31</v>
      </c>
      <c r="B277" s="7">
        <v>43882</v>
      </c>
      <c r="C277" s="9">
        <f>HYPERLINK("https://www.epingalert.org/en/Search?viewData= G/TBT/N/RUS/99"," G/TBT/N/RUS/99")</f>
      </c>
      <c r="D277" s="8" t="s">
        <v>1409</v>
      </c>
      <c r="E277" s="8" t="s">
        <v>1410</v>
      </c>
      <c r="F277" s="8" t="s">
        <v>1411</v>
      </c>
      <c r="G277" s="8" t="s">
        <v>1412</v>
      </c>
      <c r="H277" s="8" t="s">
        <v>36</v>
      </c>
      <c r="I277" s="8" t="s">
        <v>164</v>
      </c>
      <c r="J277" s="8" t="s">
        <v>36</v>
      </c>
      <c r="K277" s="6"/>
      <c r="L277" s="7">
        <v>43941</v>
      </c>
      <c r="M277" s="6" t="s">
        <v>51</v>
      </c>
      <c r="N277" s="8" t="s">
        <v>1413</v>
      </c>
      <c r="O277" s="6">
        <f>HYPERLINK("https://docs.wto.org/imrd/directdoc.asp?DDFDocuments/t/G/TBTN20/RUS99.DOCX", "https://docs.wto.org/imrd/directdoc.asp?DDFDocuments/t/G/TBTN20/RUS99.DOCX")</f>
      </c>
      <c r="P277" s="6">
        <f>HYPERLINK("https://docs.wto.org/imrd/directdoc.asp?DDFDocuments/u/G/TBTN20/RUS99.DOCX", "https://docs.wto.org/imrd/directdoc.asp?DDFDocuments/u/G/TBTN20/RUS99.DOCX")</f>
      </c>
      <c r="Q277" s="6">
        <f>HYPERLINK("https://docs.wto.org/imrd/directdoc.asp?DDFDocuments/v/G/TBTN20/RUS99.DOCX", "https://docs.wto.org/imrd/directdoc.asp?DDFDocuments/v/G/TBTN20/RUS99.DOCX")</f>
      </c>
      <c r="R277" s="0" t="s">
        <v>43</v>
      </c>
      <c r="S277" s="0" t="s">
        <v>42</v>
      </c>
      <c r="T277" s="0" t="s">
        <v>42</v>
      </c>
      <c r="U277" s="0" t="s">
        <v>42</v>
      </c>
      <c r="V277" s="0" t="s">
        <v>42</v>
      </c>
      <c r="W277" s="0" t="s">
        <v>42</v>
      </c>
      <c r="X277" s="0" t="s">
        <v>42</v>
      </c>
      <c r="Y277" s="2" t="s">
        <v>1414</v>
      </c>
      <c r="Z277" s="0" t="s">
        <v>36</v>
      </c>
      <c r="AA277" s="0" t="s">
        <v>36</v>
      </c>
      <c r="AB277" s="0" t="s">
        <v>36</v>
      </c>
      <c r="AC277" s="0" t="s">
        <v>36</v>
      </c>
      <c r="AD277" s="0" t="s">
        <v>36</v>
      </c>
      <c r="AE277" s="2" t="s">
        <v>36</v>
      </c>
    </row>
    <row r="278">
      <c r="A278" s="6" t="s">
        <v>31</v>
      </c>
      <c r="B278" s="7">
        <v>43882</v>
      </c>
      <c r="C278" s="9">
        <f>HYPERLINK("https://www.epingalert.org/en/Search?viewData= G/SPS/N/RUS/180"," G/SPS/N/RUS/180")</f>
      </c>
      <c r="D278" s="8" t="s">
        <v>1415</v>
      </c>
      <c r="E278" s="8" t="s">
        <v>1416</v>
      </c>
      <c r="F278" s="8" t="s">
        <v>1417</v>
      </c>
      <c r="G278" s="8" t="s">
        <v>1418</v>
      </c>
      <c r="H278" s="8" t="s">
        <v>36</v>
      </c>
      <c r="I278" s="8" t="s">
        <v>37</v>
      </c>
      <c r="J278" s="8" t="s">
        <v>157</v>
      </c>
      <c r="K278" s="6"/>
      <c r="L278" s="7">
        <v>43942</v>
      </c>
      <c r="M278" s="6" t="s">
        <v>51</v>
      </c>
      <c r="N278" s="8" t="s">
        <v>1419</v>
      </c>
      <c r="O278" s="6">
        <f>HYPERLINK("https://docs.wto.org/imrd/directdoc.asp?DDFDocuments/t/G/SPS/NRUS180.DOCX", "https://docs.wto.org/imrd/directdoc.asp?DDFDocuments/t/G/SPS/NRUS180.DOCX")</f>
      </c>
      <c r="P278" s="6">
        <f>HYPERLINK("https://docs.wto.org/imrd/directdoc.asp?DDFDocuments/u/G/SPS/NRUS180.DOCX", "https://docs.wto.org/imrd/directdoc.asp?DDFDocuments/u/G/SPS/NRUS180.DOCX")</f>
      </c>
      <c r="Q278" s="6">
        <f>HYPERLINK("https://docs.wto.org/imrd/directdoc.asp?DDFDocuments/v/G/SPS/NRUS180.DOCX", "https://docs.wto.org/imrd/directdoc.asp?DDFDocuments/v/G/SPS/NRUS180.DOCX")</f>
      </c>
      <c r="R278" s="0" t="s">
        <v>36</v>
      </c>
      <c r="S278" s="0" t="s">
        <v>36</v>
      </c>
      <c r="T278" s="0" t="s">
        <v>36</v>
      </c>
      <c r="U278" s="0" t="s">
        <v>36</v>
      </c>
      <c r="V278" s="0" t="s">
        <v>36</v>
      </c>
      <c r="W278" s="0" t="s">
        <v>36</v>
      </c>
      <c r="X278" s="0" t="s">
        <v>36</v>
      </c>
      <c r="Y278" s="2" t="s">
        <v>36</v>
      </c>
      <c r="Z278" s="0" t="s">
        <v>42</v>
      </c>
      <c r="AA278" s="0" t="s">
        <v>43</v>
      </c>
      <c r="AB278" s="0" t="s">
        <v>42</v>
      </c>
      <c r="AC278" s="0" t="s">
        <v>42</v>
      </c>
      <c r="AD278" s="0" t="s">
        <v>43</v>
      </c>
      <c r="AE278" s="2" t="s">
        <v>36</v>
      </c>
    </row>
    <row r="279">
      <c r="A279" s="6" t="s">
        <v>31</v>
      </c>
      <c r="B279" s="7">
        <v>43873</v>
      </c>
      <c r="C279" s="9">
        <f>HYPERLINK("https://www.epingalert.org/en/Search?viewData= G/SPS/N/RUS/179"," G/SPS/N/RUS/179")</f>
      </c>
      <c r="D279" s="8" t="s">
        <v>1420</v>
      </c>
      <c r="E279" s="8" t="s">
        <v>1421</v>
      </c>
      <c r="F279" s="8" t="s">
        <v>1369</v>
      </c>
      <c r="G279" s="8" t="s">
        <v>1422</v>
      </c>
      <c r="H279" s="8" t="s">
        <v>36</v>
      </c>
      <c r="I279" s="8" t="s">
        <v>332</v>
      </c>
      <c r="J279" s="8" t="s">
        <v>1423</v>
      </c>
      <c r="K279" s="6" t="s">
        <v>1424</v>
      </c>
      <c r="L279" s="7" t="s">
        <v>36</v>
      </c>
      <c r="M279" s="6" t="s">
        <v>40</v>
      </c>
      <c r="N279" s="8" t="s">
        <v>1425</v>
      </c>
      <c r="O279" s="6">
        <f>HYPERLINK("https://docs.wto.org/imrd/directdoc.asp?DDFDocuments/t/G/SPS/NRUS179.DOCX", "https://docs.wto.org/imrd/directdoc.asp?DDFDocuments/t/G/SPS/NRUS179.DOCX")</f>
      </c>
      <c r="P279" s="6">
        <f>HYPERLINK("https://docs.wto.org/imrd/directdoc.asp?DDFDocuments/u/G/SPS/NRUS179.DOCX", "https://docs.wto.org/imrd/directdoc.asp?DDFDocuments/u/G/SPS/NRUS179.DOCX")</f>
      </c>
      <c r="Q279" s="6">
        <f>HYPERLINK("https://docs.wto.org/imrd/directdoc.asp?DDFDocuments/v/G/SPS/NRUS179.DOCX", "https://docs.wto.org/imrd/directdoc.asp?DDFDocuments/v/G/SPS/NRUS179.DOCX")</f>
      </c>
      <c r="R279" s="0" t="s">
        <v>36</v>
      </c>
      <c r="S279" s="0" t="s">
        <v>36</v>
      </c>
      <c r="T279" s="0" t="s">
        <v>36</v>
      </c>
      <c r="U279" s="0" t="s">
        <v>36</v>
      </c>
      <c r="V279" s="0" t="s">
        <v>36</v>
      </c>
      <c r="W279" s="0" t="s">
        <v>36</v>
      </c>
      <c r="X279" s="0" t="s">
        <v>36</v>
      </c>
      <c r="Y279" s="2" t="s">
        <v>36</v>
      </c>
      <c r="Z279" s="0" t="s">
        <v>42</v>
      </c>
      <c r="AA279" s="0" t="s">
        <v>43</v>
      </c>
      <c r="AB279" s="0" t="s">
        <v>42</v>
      </c>
      <c r="AC279" s="0" t="s">
        <v>42</v>
      </c>
      <c r="AD279" s="0" t="s">
        <v>43</v>
      </c>
      <c r="AE279" s="2" t="s">
        <v>36</v>
      </c>
    </row>
    <row r="280">
      <c r="A280" s="6" t="s">
        <v>31</v>
      </c>
      <c r="B280" s="7">
        <v>43873</v>
      </c>
      <c r="C280" s="9">
        <f>HYPERLINK("https://www.epingalert.org/en/Search?viewData= G/TBT/N/RUS/98"," G/TBT/N/RUS/98")</f>
      </c>
      <c r="D280" s="8" t="s">
        <v>1426</v>
      </c>
      <c r="E280" s="8" t="s">
        <v>1427</v>
      </c>
      <c r="F280" s="8" t="s">
        <v>1428</v>
      </c>
      <c r="G280" s="8" t="s">
        <v>36</v>
      </c>
      <c r="H280" s="8" t="s">
        <v>1429</v>
      </c>
      <c r="I280" s="8" t="s">
        <v>164</v>
      </c>
      <c r="J280" s="8" t="s">
        <v>58</v>
      </c>
      <c r="K280" s="6"/>
      <c r="L280" s="7">
        <v>43933</v>
      </c>
      <c r="M280" s="6" t="s">
        <v>51</v>
      </c>
      <c r="N280" s="8" t="s">
        <v>1430</v>
      </c>
      <c r="O280" s="6">
        <f>HYPERLINK("https://docs.wto.org/imrd/directdoc.asp?DDFDocuments/t/G/TBTN20/RUS98.DOCX", "https://docs.wto.org/imrd/directdoc.asp?DDFDocuments/t/G/TBTN20/RUS98.DOCX")</f>
      </c>
      <c r="P280" s="6">
        <f>HYPERLINK("https://docs.wto.org/imrd/directdoc.asp?DDFDocuments/u/G/TBTN20/RUS98.DOCX", "https://docs.wto.org/imrd/directdoc.asp?DDFDocuments/u/G/TBTN20/RUS98.DOCX")</f>
      </c>
      <c r="Q280" s="6">
        <f>HYPERLINK("https://docs.wto.org/imrd/directdoc.asp?DDFDocuments/v/G/TBTN20/RUS98.DOCX", "https://docs.wto.org/imrd/directdoc.asp?DDFDocuments/v/G/TBTN20/RUS98.DOCX")</f>
      </c>
      <c r="R280" s="0" t="s">
        <v>43</v>
      </c>
      <c r="S280" s="0" t="s">
        <v>42</v>
      </c>
      <c r="T280" s="0" t="s">
        <v>42</v>
      </c>
      <c r="U280" s="0" t="s">
        <v>42</v>
      </c>
      <c r="V280" s="0" t="s">
        <v>42</v>
      </c>
      <c r="W280" s="0" t="s">
        <v>42</v>
      </c>
      <c r="X280" s="0" t="s">
        <v>42</v>
      </c>
      <c r="Y280" s="2" t="s">
        <v>1426</v>
      </c>
      <c r="Z280" s="0" t="s">
        <v>36</v>
      </c>
      <c r="AA280" s="0" t="s">
        <v>36</v>
      </c>
      <c r="AB280" s="0" t="s">
        <v>36</v>
      </c>
      <c r="AC280" s="0" t="s">
        <v>36</v>
      </c>
      <c r="AD280" s="0" t="s">
        <v>36</v>
      </c>
      <c r="AE280" s="2" t="s">
        <v>36</v>
      </c>
    </row>
    <row r="281">
      <c r="A281" s="6" t="s">
        <v>31</v>
      </c>
      <c r="B281" s="7">
        <v>43864</v>
      </c>
      <c r="C281" s="9">
        <f>HYPERLINK("https://www.epingalert.org/en/Search?viewData= G/SPS/N/RUS/178"," G/SPS/N/RUS/178")</f>
      </c>
      <c r="D281" s="8" t="s">
        <v>1431</v>
      </c>
      <c r="E281" s="8" t="s">
        <v>1432</v>
      </c>
      <c r="F281" s="8" t="s">
        <v>1433</v>
      </c>
      <c r="G281" s="8" t="s">
        <v>1354</v>
      </c>
      <c r="H281" s="8" t="s">
        <v>36</v>
      </c>
      <c r="I281" s="8" t="s">
        <v>1323</v>
      </c>
      <c r="J281" s="8" t="s">
        <v>1381</v>
      </c>
      <c r="K281" s="6" t="s">
        <v>1434</v>
      </c>
      <c r="L281" s="7" t="s">
        <v>36</v>
      </c>
      <c r="M281" s="6" t="s">
        <v>40</v>
      </c>
      <c r="N281" s="8" t="s">
        <v>1435</v>
      </c>
      <c r="O281" s="6">
        <f>HYPERLINK("https://docs.wto.org/imrd/directdoc.asp?DDFDocuments/t/G/SPS/NRUS178.DOCX", "https://docs.wto.org/imrd/directdoc.asp?DDFDocuments/t/G/SPS/NRUS178.DOCX")</f>
      </c>
      <c r="P281" s="6">
        <f>HYPERLINK("https://docs.wto.org/imrd/directdoc.asp?DDFDocuments/u/G/SPS/NRUS178.DOCX", "https://docs.wto.org/imrd/directdoc.asp?DDFDocuments/u/G/SPS/NRUS178.DOCX")</f>
      </c>
      <c r="Q281" s="6">
        <f>HYPERLINK("https://docs.wto.org/imrd/directdoc.asp?DDFDocuments/v/G/SPS/NRUS178.DOCX", "https://docs.wto.org/imrd/directdoc.asp?DDFDocuments/v/G/SPS/NRUS178.DOCX")</f>
      </c>
      <c r="R281" s="0" t="s">
        <v>36</v>
      </c>
      <c r="S281" s="0" t="s">
        <v>36</v>
      </c>
      <c r="T281" s="0" t="s">
        <v>36</v>
      </c>
      <c r="U281" s="0" t="s">
        <v>36</v>
      </c>
      <c r="V281" s="0" t="s">
        <v>36</v>
      </c>
      <c r="W281" s="0" t="s">
        <v>36</v>
      </c>
      <c r="X281" s="0" t="s">
        <v>36</v>
      </c>
      <c r="Y281" s="2" t="s">
        <v>36</v>
      </c>
      <c r="Z281" s="0" t="s">
        <v>42</v>
      </c>
      <c r="AA281" s="0" t="s">
        <v>42</v>
      </c>
      <c r="AB281" s="0" t="s">
        <v>42</v>
      </c>
      <c r="AC281" s="0" t="s">
        <v>43</v>
      </c>
      <c r="AD281" s="0" t="s">
        <v>107</v>
      </c>
      <c r="AE281" s="2" t="s">
        <v>1436</v>
      </c>
    </row>
    <row r="282">
      <c r="A282" s="6" t="s">
        <v>31</v>
      </c>
      <c r="B282" s="7">
        <v>43864</v>
      </c>
      <c r="C282" s="9">
        <f>HYPERLINK("https://www.epingalert.org/en/Search?viewData= G/SPS/N/RUS/177"," G/SPS/N/RUS/177")</f>
      </c>
      <c r="D282" s="8" t="s">
        <v>1437</v>
      </c>
      <c r="E282" s="8" t="s">
        <v>1438</v>
      </c>
      <c r="F282" s="8" t="s">
        <v>1439</v>
      </c>
      <c r="G282" s="8" t="s">
        <v>1418</v>
      </c>
      <c r="H282" s="8" t="s">
        <v>36</v>
      </c>
      <c r="I282" s="8" t="s">
        <v>37</v>
      </c>
      <c r="J282" s="8" t="s">
        <v>38</v>
      </c>
      <c r="K282" s="6"/>
      <c r="L282" s="7">
        <v>43924</v>
      </c>
      <c r="M282" s="6" t="s">
        <v>51</v>
      </c>
      <c r="N282" s="8" t="s">
        <v>1440</v>
      </c>
      <c r="O282" s="6">
        <f>HYPERLINK("https://docs.wto.org/imrd/directdoc.asp?DDFDocuments/t/G/SPS/NRUS177.DOCX", "https://docs.wto.org/imrd/directdoc.asp?DDFDocuments/t/G/SPS/NRUS177.DOCX")</f>
      </c>
      <c r="P282" s="6">
        <f>HYPERLINK("https://docs.wto.org/imrd/directdoc.asp?DDFDocuments/u/G/SPS/NRUS177.DOCX", "https://docs.wto.org/imrd/directdoc.asp?DDFDocuments/u/G/SPS/NRUS177.DOCX")</f>
      </c>
      <c r="Q282" s="6">
        <f>HYPERLINK("https://docs.wto.org/imrd/directdoc.asp?DDFDocuments/v/G/SPS/NRUS177.DOCX", "https://docs.wto.org/imrd/directdoc.asp?DDFDocuments/v/G/SPS/NRUS177.DOCX")</f>
      </c>
      <c r="R282" s="0" t="s">
        <v>36</v>
      </c>
      <c r="S282" s="0" t="s">
        <v>36</v>
      </c>
      <c r="T282" s="0" t="s">
        <v>36</v>
      </c>
      <c r="U282" s="0" t="s">
        <v>36</v>
      </c>
      <c r="V282" s="0" t="s">
        <v>36</v>
      </c>
      <c r="W282" s="0" t="s">
        <v>36</v>
      </c>
      <c r="X282" s="0" t="s">
        <v>36</v>
      </c>
      <c r="Y282" s="2" t="s">
        <v>36</v>
      </c>
      <c r="Z282" s="0" t="s">
        <v>42</v>
      </c>
      <c r="AA282" s="0" t="s">
        <v>43</v>
      </c>
      <c r="AB282" s="0" t="s">
        <v>42</v>
      </c>
      <c r="AC282" s="0" t="s">
        <v>42</v>
      </c>
      <c r="AD282" s="0" t="s">
        <v>43</v>
      </c>
      <c r="AE282" s="2" t="s">
        <v>36</v>
      </c>
    </row>
    <row r="283">
      <c r="A283" s="6" t="s">
        <v>31</v>
      </c>
      <c r="B283" s="7">
        <v>43846</v>
      </c>
      <c r="C283" s="9">
        <f>HYPERLINK("https://www.epingalert.org/en/Search?viewData= G/TBT/N/RUS/97"," G/TBT/N/RUS/97")</f>
      </c>
      <c r="D283" s="8" t="s">
        <v>1441</v>
      </c>
      <c r="E283" s="8" t="s">
        <v>1442</v>
      </c>
      <c r="F283" s="8" t="s">
        <v>1000</v>
      </c>
      <c r="G283" s="8" t="s">
        <v>36</v>
      </c>
      <c r="H283" s="8" t="s">
        <v>36</v>
      </c>
      <c r="I283" s="8" t="s">
        <v>164</v>
      </c>
      <c r="J283" s="8" t="s">
        <v>36</v>
      </c>
      <c r="K283" s="6"/>
      <c r="L283" s="7">
        <v>43931</v>
      </c>
      <c r="M283" s="6" t="s">
        <v>51</v>
      </c>
      <c r="N283" s="8" t="s">
        <v>1443</v>
      </c>
      <c r="O283" s="6">
        <f>HYPERLINK("https://docs.wto.org/imrd/directdoc.asp?DDFDocuments/t/G/TBTN20/RUS97.DOCX", "https://docs.wto.org/imrd/directdoc.asp?DDFDocuments/t/G/TBTN20/RUS97.DOCX")</f>
      </c>
      <c r="P283" s="6">
        <f>HYPERLINK("https://docs.wto.org/imrd/directdoc.asp?DDFDocuments/u/G/TBTN20/RUS97.DOCX", "https://docs.wto.org/imrd/directdoc.asp?DDFDocuments/u/G/TBTN20/RUS97.DOCX")</f>
      </c>
      <c r="Q283" s="6">
        <f>HYPERLINK("https://docs.wto.org/imrd/directdoc.asp?DDFDocuments/v/G/TBTN20/RUS97.DOCX", "https://docs.wto.org/imrd/directdoc.asp?DDFDocuments/v/G/TBTN20/RUS97.DOCX")</f>
      </c>
      <c r="R283" s="0" t="s">
        <v>43</v>
      </c>
      <c r="S283" s="0" t="s">
        <v>42</v>
      </c>
      <c r="T283" s="0" t="s">
        <v>42</v>
      </c>
      <c r="U283" s="0" t="s">
        <v>42</v>
      </c>
      <c r="V283" s="0" t="s">
        <v>42</v>
      </c>
      <c r="W283" s="0" t="s">
        <v>42</v>
      </c>
      <c r="X283" s="0" t="s">
        <v>42</v>
      </c>
      <c r="Y283" s="2" t="s">
        <v>1444</v>
      </c>
      <c r="Z283" s="0" t="s">
        <v>36</v>
      </c>
      <c r="AA283" s="0" t="s">
        <v>36</v>
      </c>
      <c r="AB283" s="0" t="s">
        <v>36</v>
      </c>
      <c r="AC283" s="0" t="s">
        <v>36</v>
      </c>
      <c r="AD283" s="0" t="s">
        <v>36</v>
      </c>
      <c r="AE283" s="2" t="s">
        <v>36</v>
      </c>
    </row>
    <row r="284">
      <c r="A284" s="6" t="s">
        <v>31</v>
      </c>
      <c r="B284" s="7">
        <v>43845</v>
      </c>
      <c r="C284" s="9">
        <f>HYPERLINK("https://www.epingalert.org/en/Search?viewData= G/SPS/N/RUS/176"," G/SPS/N/RUS/176")</f>
      </c>
      <c r="D284" s="8" t="s">
        <v>1445</v>
      </c>
      <c r="E284" s="8" t="s">
        <v>1446</v>
      </c>
      <c r="F284" s="8" t="s">
        <v>1447</v>
      </c>
      <c r="G284" s="8" t="s">
        <v>830</v>
      </c>
      <c r="H284" s="8" t="s">
        <v>36</v>
      </c>
      <c r="I284" s="8" t="s">
        <v>814</v>
      </c>
      <c r="J284" s="8" t="s">
        <v>1448</v>
      </c>
      <c r="K284" s="6" t="s">
        <v>1434</v>
      </c>
      <c r="L284" s="7" t="s">
        <v>36</v>
      </c>
      <c r="M284" s="6" t="s">
        <v>40</v>
      </c>
      <c r="N284" s="8" t="s">
        <v>1449</v>
      </c>
      <c r="O284" s="6">
        <f>HYPERLINK("https://docs.wto.org/imrd/directdoc.asp?DDFDocuments/t/G/SPS/NRUS176.DOCX", "https://docs.wto.org/imrd/directdoc.asp?DDFDocuments/t/G/SPS/NRUS176.DOCX")</f>
      </c>
      <c r="P284" s="6">
        <f>HYPERLINK("https://docs.wto.org/imrd/directdoc.asp?DDFDocuments/u/G/SPS/NRUS176.DOCX", "https://docs.wto.org/imrd/directdoc.asp?DDFDocuments/u/G/SPS/NRUS176.DOCX")</f>
      </c>
      <c r="Q284" s="6">
        <f>HYPERLINK("https://docs.wto.org/imrd/directdoc.asp?DDFDocuments/v/G/SPS/NRUS176.DOCX", "https://docs.wto.org/imrd/directdoc.asp?DDFDocuments/v/G/SPS/NRUS176.DOCX")</f>
      </c>
      <c r="R284" s="0" t="s">
        <v>36</v>
      </c>
      <c r="S284" s="0" t="s">
        <v>36</v>
      </c>
      <c r="T284" s="0" t="s">
        <v>36</v>
      </c>
      <c r="U284" s="0" t="s">
        <v>36</v>
      </c>
      <c r="V284" s="0" t="s">
        <v>36</v>
      </c>
      <c r="W284" s="0" t="s">
        <v>36</v>
      </c>
      <c r="X284" s="0" t="s">
        <v>36</v>
      </c>
      <c r="Y284" s="2" t="s">
        <v>36</v>
      </c>
      <c r="Z284" s="0" t="s">
        <v>42</v>
      </c>
      <c r="AA284" s="0" t="s">
        <v>42</v>
      </c>
      <c r="AB284" s="0" t="s">
        <v>43</v>
      </c>
      <c r="AC284" s="0" t="s">
        <v>42</v>
      </c>
      <c r="AD284" s="0" t="s">
        <v>43</v>
      </c>
      <c r="AE284" s="2" t="s">
        <v>36</v>
      </c>
    </row>
    <row r="285">
      <c r="A285" s="6" t="s">
        <v>31</v>
      </c>
      <c r="B285" s="7">
        <v>43839</v>
      </c>
      <c r="C285" s="9">
        <f>HYPERLINK("https://www.epingalert.org/en/Search?viewData= G/SPS/N/RUS/175"," G/SPS/N/RUS/175")</f>
      </c>
      <c r="D285" s="8" t="s">
        <v>1450</v>
      </c>
      <c r="E285" s="8" t="s">
        <v>1451</v>
      </c>
      <c r="F285" s="8" t="s">
        <v>1452</v>
      </c>
      <c r="G285" s="8" t="s">
        <v>1453</v>
      </c>
      <c r="H285" s="8" t="s">
        <v>36</v>
      </c>
      <c r="I285" s="8" t="s">
        <v>37</v>
      </c>
      <c r="J285" s="8" t="s">
        <v>157</v>
      </c>
      <c r="K285" s="6"/>
      <c r="L285" s="7">
        <v>43899</v>
      </c>
      <c r="M285" s="6" t="s">
        <v>51</v>
      </c>
      <c r="N285" s="8" t="s">
        <v>1454</v>
      </c>
      <c r="O285" s="6">
        <f>HYPERLINK("https://docs.wto.org/imrd/directdoc.asp?DDFDocuments/t/G/SPS/NRUS175.DOCX", "https://docs.wto.org/imrd/directdoc.asp?DDFDocuments/t/G/SPS/NRUS175.DOCX")</f>
      </c>
      <c r="P285" s="6">
        <f>HYPERLINK("https://docs.wto.org/imrd/directdoc.asp?DDFDocuments/u/G/SPS/NRUS175.DOCX", "https://docs.wto.org/imrd/directdoc.asp?DDFDocuments/u/G/SPS/NRUS175.DOCX")</f>
      </c>
      <c r="Q285" s="6">
        <f>HYPERLINK("https://docs.wto.org/imrd/directdoc.asp?DDFDocuments/v/G/SPS/NRUS175.DOCX", "https://docs.wto.org/imrd/directdoc.asp?DDFDocuments/v/G/SPS/NRUS175.DOCX")</f>
      </c>
      <c r="R285" s="0" t="s">
        <v>36</v>
      </c>
      <c r="S285" s="0" t="s">
        <v>36</v>
      </c>
      <c r="T285" s="0" t="s">
        <v>36</v>
      </c>
      <c r="U285" s="0" t="s">
        <v>36</v>
      </c>
      <c r="V285" s="0" t="s">
        <v>36</v>
      </c>
      <c r="W285" s="0" t="s">
        <v>36</v>
      </c>
      <c r="X285" s="0" t="s">
        <v>36</v>
      </c>
      <c r="Y285" s="2" t="s">
        <v>36</v>
      </c>
      <c r="Z285" s="0" t="s">
        <v>42</v>
      </c>
      <c r="AA285" s="0" t="s">
        <v>43</v>
      </c>
      <c r="AB285" s="0" t="s">
        <v>42</v>
      </c>
      <c r="AC285" s="0" t="s">
        <v>42</v>
      </c>
      <c r="AD285" s="0" t="s">
        <v>43</v>
      </c>
      <c r="AE285" s="2" t="s">
        <v>36</v>
      </c>
    </row>
    <row r="286">
      <c r="A286" s="6" t="s">
        <v>31</v>
      </c>
      <c r="B286" s="7">
        <v>43839</v>
      </c>
      <c r="C286" s="9">
        <f>HYPERLINK("https://www.epingalert.org/en/Search?viewData= G/SPS/N/RUS/174"," G/SPS/N/RUS/174")</f>
      </c>
      <c r="D286" s="8" t="s">
        <v>1455</v>
      </c>
      <c r="E286" s="8" t="s">
        <v>1456</v>
      </c>
      <c r="F286" s="8" t="s">
        <v>1457</v>
      </c>
      <c r="G286" s="8" t="s">
        <v>1458</v>
      </c>
      <c r="H286" s="8" t="s">
        <v>36</v>
      </c>
      <c r="I286" s="8" t="s">
        <v>505</v>
      </c>
      <c r="J286" s="8" t="s">
        <v>960</v>
      </c>
      <c r="K286" s="6"/>
      <c r="L286" s="7">
        <v>43899</v>
      </c>
      <c r="M286" s="6" t="s">
        <v>51</v>
      </c>
      <c r="N286" s="8" t="s">
        <v>1459</v>
      </c>
      <c r="O286" s="6">
        <f>HYPERLINK("https://docs.wto.org/imrd/directdoc.asp?DDFDocuments/t/G/SPS/NRUS174.DOCX", "https://docs.wto.org/imrd/directdoc.asp?DDFDocuments/t/G/SPS/NRUS174.DOCX")</f>
      </c>
      <c r="P286" s="6">
        <f>HYPERLINK("https://docs.wto.org/imrd/directdoc.asp?DDFDocuments/u/G/SPS/NRUS174.DOCX", "https://docs.wto.org/imrd/directdoc.asp?DDFDocuments/u/G/SPS/NRUS174.DOCX")</f>
      </c>
      <c r="Q286" s="6">
        <f>HYPERLINK("https://docs.wto.org/imrd/directdoc.asp?DDFDocuments/v/G/SPS/NRUS174.DOCX", "https://docs.wto.org/imrd/directdoc.asp?DDFDocuments/v/G/SPS/NRUS174.DOCX")</f>
      </c>
      <c r="R286" s="0" t="s">
        <v>36</v>
      </c>
      <c r="S286" s="0" t="s">
        <v>36</v>
      </c>
      <c r="T286" s="0" t="s">
        <v>36</v>
      </c>
      <c r="U286" s="0" t="s">
        <v>36</v>
      </c>
      <c r="V286" s="0" t="s">
        <v>36</v>
      </c>
      <c r="W286" s="0" t="s">
        <v>36</v>
      </c>
      <c r="X286" s="0" t="s">
        <v>36</v>
      </c>
      <c r="Y286" s="2" t="s">
        <v>36</v>
      </c>
      <c r="Z286" s="0" t="s">
        <v>42</v>
      </c>
      <c r="AA286" s="0" t="s">
        <v>42</v>
      </c>
      <c r="AB286" s="0" t="s">
        <v>43</v>
      </c>
      <c r="AC286" s="0" t="s">
        <v>42</v>
      </c>
      <c r="AD286" s="0" t="s">
        <v>43</v>
      </c>
      <c r="AE286" s="2" t="s">
        <v>36</v>
      </c>
    </row>
    <row r="287">
      <c r="A287" s="6" t="s">
        <v>31</v>
      </c>
      <c r="B287" s="7">
        <v>43839</v>
      </c>
      <c r="C287" s="9">
        <f>HYPERLINK("https://www.epingalert.org/en/Search?viewData= G/TBT/N/RUS/96"," G/TBT/N/RUS/96")</f>
      </c>
      <c r="D287" s="8" t="s">
        <v>1460</v>
      </c>
      <c r="E287" s="8" t="s">
        <v>1461</v>
      </c>
      <c r="F287" s="8" t="s">
        <v>1462</v>
      </c>
      <c r="G287" s="8" t="s">
        <v>1463</v>
      </c>
      <c r="H287" s="8" t="s">
        <v>77</v>
      </c>
      <c r="I287" s="8" t="s">
        <v>164</v>
      </c>
      <c r="J287" s="8" t="s">
        <v>58</v>
      </c>
      <c r="K287" s="6"/>
      <c r="L287" s="7">
        <v>43915</v>
      </c>
      <c r="M287" s="6" t="s">
        <v>51</v>
      </c>
      <c r="N287" s="8" t="s">
        <v>1464</v>
      </c>
      <c r="O287" s="6">
        <f>HYPERLINK("https://docs.wto.org/imrd/directdoc.asp?DDFDocuments/t/G/TBTN20/RUS96.DOCX", "https://docs.wto.org/imrd/directdoc.asp?DDFDocuments/t/G/TBTN20/RUS96.DOCX")</f>
      </c>
      <c r="P287" s="6">
        <f>HYPERLINK("https://docs.wto.org/imrd/directdoc.asp?DDFDocuments/u/G/TBTN20/RUS96.DOCX", "https://docs.wto.org/imrd/directdoc.asp?DDFDocuments/u/G/TBTN20/RUS96.DOCX")</f>
      </c>
      <c r="Q287" s="6">
        <f>HYPERLINK("https://docs.wto.org/imrd/directdoc.asp?DDFDocuments/v/G/TBTN20/RUS96.DOCX", "https://docs.wto.org/imrd/directdoc.asp?DDFDocuments/v/G/TBTN20/RUS96.DOCX")</f>
      </c>
      <c r="R287" s="0" t="s">
        <v>43</v>
      </c>
      <c r="S287" s="0" t="s">
        <v>42</v>
      </c>
      <c r="T287" s="0" t="s">
        <v>42</v>
      </c>
      <c r="U287" s="0" t="s">
        <v>42</v>
      </c>
      <c r="V287" s="0" t="s">
        <v>42</v>
      </c>
      <c r="W287" s="0" t="s">
        <v>42</v>
      </c>
      <c r="X287" s="0" t="s">
        <v>42</v>
      </c>
      <c r="Y287" s="2" t="s">
        <v>1465</v>
      </c>
      <c r="Z287" s="0" t="s">
        <v>36</v>
      </c>
      <c r="AA287" s="0" t="s">
        <v>36</v>
      </c>
      <c r="AB287" s="0" t="s">
        <v>36</v>
      </c>
      <c r="AC287" s="0" t="s">
        <v>36</v>
      </c>
      <c r="AD287" s="0" t="s">
        <v>36</v>
      </c>
      <c r="AE287" s="2" t="s">
        <v>36</v>
      </c>
    </row>
    <row r="288">
      <c r="A288" s="6" t="s">
        <v>31</v>
      </c>
      <c r="B288" s="7">
        <v>43838</v>
      </c>
      <c r="C288" s="9">
        <f>HYPERLINK("https://www.epingalert.org/en/Search?viewData= G/SPS/N/RUS/173"," G/SPS/N/RUS/173")</f>
      </c>
      <c r="D288" s="8" t="s">
        <v>1466</v>
      </c>
      <c r="E288" s="8" t="s">
        <v>1467</v>
      </c>
      <c r="F288" s="8" t="s">
        <v>1468</v>
      </c>
      <c r="G288" s="8" t="s">
        <v>36</v>
      </c>
      <c r="H288" s="8" t="s">
        <v>36</v>
      </c>
      <c r="I288" s="8" t="s">
        <v>505</v>
      </c>
      <c r="J288" s="8" t="s">
        <v>1086</v>
      </c>
      <c r="K288" s="6"/>
      <c r="L288" s="7">
        <v>43884</v>
      </c>
      <c r="M288" s="6" t="s">
        <v>51</v>
      </c>
      <c r="N288" s="8" t="s">
        <v>1469</v>
      </c>
      <c r="O288" s="6">
        <f>HYPERLINK("https://docs.wto.org/imrd/directdoc.asp?DDFDocuments/t/G/SPS/NRUS173.DOCX", "https://docs.wto.org/imrd/directdoc.asp?DDFDocuments/t/G/SPS/NRUS173.DOCX")</f>
      </c>
      <c r="P288" s="6">
        <f>HYPERLINK("https://docs.wto.org/imrd/directdoc.asp?DDFDocuments/u/G/SPS/NRUS173.DOCX", "https://docs.wto.org/imrd/directdoc.asp?DDFDocuments/u/G/SPS/NRUS173.DOCX")</f>
      </c>
      <c r="Q288" s="6">
        <f>HYPERLINK("https://docs.wto.org/imrd/directdoc.asp?DDFDocuments/v/G/SPS/NRUS173.DOCX", "https://docs.wto.org/imrd/directdoc.asp?DDFDocuments/v/G/SPS/NRUS173.DOCX")</f>
      </c>
      <c r="R288" s="0" t="s">
        <v>36</v>
      </c>
      <c r="S288" s="0" t="s">
        <v>36</v>
      </c>
      <c r="T288" s="0" t="s">
        <v>36</v>
      </c>
      <c r="U288" s="0" t="s">
        <v>36</v>
      </c>
      <c r="V288" s="0" t="s">
        <v>36</v>
      </c>
      <c r="W288" s="0" t="s">
        <v>36</v>
      </c>
      <c r="X288" s="0" t="s">
        <v>36</v>
      </c>
      <c r="Y288" s="2" t="s">
        <v>36</v>
      </c>
      <c r="Z288" s="0" t="s">
        <v>42</v>
      </c>
      <c r="AA288" s="0" t="s">
        <v>42</v>
      </c>
      <c r="AB288" s="0" t="s">
        <v>43</v>
      </c>
      <c r="AC288" s="0" t="s">
        <v>42</v>
      </c>
      <c r="AD288" s="0" t="s">
        <v>43</v>
      </c>
      <c r="AE288" s="2" t="s">
        <v>36</v>
      </c>
    </row>
    <row r="289">
      <c r="A289" s="6" t="s">
        <v>31</v>
      </c>
      <c r="B289" s="7">
        <v>43838</v>
      </c>
      <c r="C289" s="9">
        <f>HYPERLINK("https://www.epingalert.org/en/Search?viewData= G/TBT/N/RUS/95"," G/TBT/N/RUS/95")</f>
      </c>
      <c r="D289" s="8" t="s">
        <v>1470</v>
      </c>
      <c r="E289" s="8" t="s">
        <v>1471</v>
      </c>
      <c r="F289" s="8" t="s">
        <v>1472</v>
      </c>
      <c r="G289" s="8" t="s">
        <v>36</v>
      </c>
      <c r="H289" s="8" t="s">
        <v>77</v>
      </c>
      <c r="I289" s="8" t="s">
        <v>164</v>
      </c>
      <c r="J289" s="8" t="s">
        <v>58</v>
      </c>
      <c r="K289" s="6"/>
      <c r="L289" s="7">
        <v>43854</v>
      </c>
      <c r="M289" s="6" t="s">
        <v>51</v>
      </c>
      <c r="N289" s="8" t="s">
        <v>1473</v>
      </c>
      <c r="O289" s="6">
        <f>HYPERLINK("https://docs.wto.org/imrd/directdoc.asp?DDFDocuments/t/G/TBTN20/RUS95.DOCX", "https://docs.wto.org/imrd/directdoc.asp?DDFDocuments/t/G/TBTN20/RUS95.DOCX")</f>
      </c>
      <c r="P289" s="6">
        <f>HYPERLINK("https://docs.wto.org/imrd/directdoc.asp?DDFDocuments/u/G/TBTN20/RUS95.DOCX", "https://docs.wto.org/imrd/directdoc.asp?DDFDocuments/u/G/TBTN20/RUS95.DOCX")</f>
      </c>
      <c r="Q289" s="6">
        <f>HYPERLINK("https://docs.wto.org/imrd/directdoc.asp?DDFDocuments/v/G/TBTN20/RUS95.DOCX", "https://docs.wto.org/imrd/directdoc.asp?DDFDocuments/v/G/TBTN20/RUS95.DOCX")</f>
      </c>
      <c r="R289" s="0" t="s">
        <v>43</v>
      </c>
      <c r="S289" s="0" t="s">
        <v>42</v>
      </c>
      <c r="T289" s="0" t="s">
        <v>42</v>
      </c>
      <c r="U289" s="0" t="s">
        <v>42</v>
      </c>
      <c r="V289" s="0" t="s">
        <v>42</v>
      </c>
      <c r="W289" s="0" t="s">
        <v>42</v>
      </c>
      <c r="X289" s="0" t="s">
        <v>42</v>
      </c>
      <c r="Y289" s="2" t="s">
        <v>1474</v>
      </c>
      <c r="Z289" s="0" t="s">
        <v>36</v>
      </c>
      <c r="AA289" s="0" t="s">
        <v>36</v>
      </c>
      <c r="AB289" s="0" t="s">
        <v>36</v>
      </c>
      <c r="AC289" s="0" t="s">
        <v>36</v>
      </c>
      <c r="AD289" s="0" t="s">
        <v>36</v>
      </c>
      <c r="AE289" s="2" t="s">
        <v>36</v>
      </c>
    </row>
    <row r="290">
      <c r="A290" s="6" t="s">
        <v>31</v>
      </c>
      <c r="B290" s="7">
        <v>43837</v>
      </c>
      <c r="C290" s="9">
        <f>HYPERLINK("https://www.epingalert.org/en/Search?viewData= G/TBT/N/RUS/94"," G/TBT/N/RUS/94")</f>
      </c>
      <c r="D290" s="8" t="s">
        <v>1475</v>
      </c>
      <c r="E290" s="8" t="s">
        <v>1476</v>
      </c>
      <c r="F290" s="8" t="s">
        <v>1477</v>
      </c>
      <c r="G290" s="8" t="s">
        <v>1296</v>
      </c>
      <c r="H290" s="8" t="s">
        <v>77</v>
      </c>
      <c r="I290" s="8" t="s">
        <v>164</v>
      </c>
      <c r="J290" s="8" t="s">
        <v>58</v>
      </c>
      <c r="K290" s="6"/>
      <c r="L290" s="7">
        <v>43855</v>
      </c>
      <c r="M290" s="6" t="s">
        <v>51</v>
      </c>
      <c r="N290" s="8" t="s">
        <v>1478</v>
      </c>
      <c r="O290" s="6">
        <f>HYPERLINK("https://docs.wto.org/imrd/directdoc.asp?DDFDocuments/t/G/TBTN20/RUS94.DOCX", "https://docs.wto.org/imrd/directdoc.asp?DDFDocuments/t/G/TBTN20/RUS94.DOCX")</f>
      </c>
      <c r="P290" s="6">
        <f>HYPERLINK("https://docs.wto.org/imrd/directdoc.asp?DDFDocuments/u/G/TBTN20/RUS94.DOCX", "https://docs.wto.org/imrd/directdoc.asp?DDFDocuments/u/G/TBTN20/RUS94.DOCX")</f>
      </c>
      <c r="Q290" s="6">
        <f>HYPERLINK("https://docs.wto.org/imrd/directdoc.asp?DDFDocuments/v/G/TBTN20/RUS94.DOCX", "https://docs.wto.org/imrd/directdoc.asp?DDFDocuments/v/G/TBTN20/RUS94.DOCX")</f>
      </c>
      <c r="R290" s="0" t="s">
        <v>43</v>
      </c>
      <c r="S290" s="0" t="s">
        <v>42</v>
      </c>
      <c r="T290" s="0" t="s">
        <v>42</v>
      </c>
      <c r="U290" s="0" t="s">
        <v>42</v>
      </c>
      <c r="V290" s="0" t="s">
        <v>42</v>
      </c>
      <c r="W290" s="0" t="s">
        <v>42</v>
      </c>
      <c r="X290" s="0" t="s">
        <v>42</v>
      </c>
      <c r="Y290" s="2" t="s">
        <v>1479</v>
      </c>
      <c r="Z290" s="0" t="s">
        <v>36</v>
      </c>
      <c r="AA290" s="0" t="s">
        <v>36</v>
      </c>
      <c r="AB290" s="0" t="s">
        <v>36</v>
      </c>
      <c r="AC290" s="0" t="s">
        <v>36</v>
      </c>
      <c r="AD290" s="0" t="s">
        <v>36</v>
      </c>
      <c r="AE290" s="2" t="s">
        <v>36</v>
      </c>
    </row>
    <row r="291">
      <c r="A291" s="6" t="s">
        <v>31</v>
      </c>
      <c r="B291" s="7">
        <v>43837</v>
      </c>
      <c r="C291" s="9">
        <f>HYPERLINK("https://www.epingalert.org/en/Search?viewData= G/TBT/N/RUS/93"," G/TBT/N/RUS/93")</f>
      </c>
      <c r="D291" s="8" t="s">
        <v>1480</v>
      </c>
      <c r="E291" s="8" t="s">
        <v>1481</v>
      </c>
      <c r="F291" s="8" t="s">
        <v>1482</v>
      </c>
      <c r="G291" s="8" t="s">
        <v>36</v>
      </c>
      <c r="H291" s="8" t="s">
        <v>1483</v>
      </c>
      <c r="I291" s="8" t="s">
        <v>164</v>
      </c>
      <c r="J291" s="8" t="s">
        <v>120</v>
      </c>
      <c r="K291" s="6"/>
      <c r="L291" s="7">
        <v>43946</v>
      </c>
      <c r="M291" s="6" t="s">
        <v>51</v>
      </c>
      <c r="N291" s="8" t="s">
        <v>1484</v>
      </c>
      <c r="O291" s="6">
        <f>HYPERLINK("https://docs.wto.org/imrd/directdoc.asp?DDFDocuments/t/G/TBTN20/RUS93.DOCX", "https://docs.wto.org/imrd/directdoc.asp?DDFDocuments/t/G/TBTN20/RUS93.DOCX")</f>
      </c>
      <c r="P291" s="6">
        <f>HYPERLINK("https://docs.wto.org/imrd/directdoc.asp?DDFDocuments/u/G/TBTN20/RUS93.DOCX", "https://docs.wto.org/imrd/directdoc.asp?DDFDocuments/u/G/TBTN20/RUS93.DOCX")</f>
      </c>
      <c r="Q291" s="6">
        <f>HYPERLINK("https://docs.wto.org/imrd/directdoc.asp?DDFDocuments/v/G/TBTN20/RUS93.DOCX", "https://docs.wto.org/imrd/directdoc.asp?DDFDocuments/v/G/TBTN20/RUS93.DOCX")</f>
      </c>
      <c r="R291" s="0" t="s">
        <v>43</v>
      </c>
      <c r="S291" s="0" t="s">
        <v>42</v>
      </c>
      <c r="T291" s="0" t="s">
        <v>42</v>
      </c>
      <c r="U291" s="0" t="s">
        <v>42</v>
      </c>
      <c r="V291" s="0" t="s">
        <v>42</v>
      </c>
      <c r="W291" s="0" t="s">
        <v>42</v>
      </c>
      <c r="X291" s="0" t="s">
        <v>42</v>
      </c>
      <c r="Y291" s="2" t="s">
        <v>1485</v>
      </c>
      <c r="Z291" s="0" t="s">
        <v>36</v>
      </c>
      <c r="AA291" s="0" t="s">
        <v>36</v>
      </c>
      <c r="AB291" s="0" t="s">
        <v>36</v>
      </c>
      <c r="AC291" s="0" t="s">
        <v>36</v>
      </c>
      <c r="AD291" s="0" t="s">
        <v>36</v>
      </c>
      <c r="AE291" s="2" t="s">
        <v>36</v>
      </c>
    </row>
    <row r="292">
      <c r="A292" s="6" t="s">
        <v>31</v>
      </c>
      <c r="B292" s="7">
        <v>43816</v>
      </c>
      <c r="C292" s="9">
        <f>HYPERLINK("https://www.epingalert.org/en/Search?viewData= G/SPS/N/RUS/172"," G/SPS/N/RUS/172")</f>
      </c>
      <c r="D292" s="8" t="s">
        <v>1486</v>
      </c>
      <c r="E292" s="8" t="s">
        <v>1487</v>
      </c>
      <c r="F292" s="8" t="s">
        <v>1488</v>
      </c>
      <c r="G292" s="8" t="s">
        <v>1489</v>
      </c>
      <c r="H292" s="8" t="s">
        <v>36</v>
      </c>
      <c r="I292" s="8" t="s">
        <v>37</v>
      </c>
      <c r="J292" s="8" t="s">
        <v>157</v>
      </c>
      <c r="K292" s="6"/>
      <c r="L292" s="7">
        <v>43876</v>
      </c>
      <c r="M292" s="6" t="s">
        <v>51</v>
      </c>
      <c r="N292" s="8" t="s">
        <v>1490</v>
      </c>
      <c r="O292" s="6">
        <f>HYPERLINK("https://docs.wto.org/imrd/directdoc.asp?DDFDocuments/t/G/SPS/NRUS172.DOCX", "https://docs.wto.org/imrd/directdoc.asp?DDFDocuments/t/G/SPS/NRUS172.DOCX")</f>
      </c>
      <c r="P292" s="6">
        <f>HYPERLINK("https://docs.wto.org/imrd/directdoc.asp?DDFDocuments/u/G/SPS/NRUS172.DOCX", "https://docs.wto.org/imrd/directdoc.asp?DDFDocuments/u/G/SPS/NRUS172.DOCX")</f>
      </c>
      <c r="Q292" s="6">
        <f>HYPERLINK("https://docs.wto.org/imrd/directdoc.asp?DDFDocuments/v/G/SPS/NRUS172.DOCX", "https://docs.wto.org/imrd/directdoc.asp?DDFDocuments/v/G/SPS/NRUS172.DOCX")</f>
      </c>
      <c r="R292" s="0" t="s">
        <v>36</v>
      </c>
      <c r="S292" s="0" t="s">
        <v>36</v>
      </c>
      <c r="T292" s="0" t="s">
        <v>36</v>
      </c>
      <c r="U292" s="0" t="s">
        <v>36</v>
      </c>
      <c r="V292" s="0" t="s">
        <v>36</v>
      </c>
      <c r="W292" s="0" t="s">
        <v>36</v>
      </c>
      <c r="X292" s="0" t="s">
        <v>36</v>
      </c>
      <c r="Y292" s="2" t="s">
        <v>36</v>
      </c>
      <c r="Z292" s="0" t="s">
        <v>42</v>
      </c>
      <c r="AA292" s="0" t="s">
        <v>43</v>
      </c>
      <c r="AB292" s="0" t="s">
        <v>42</v>
      </c>
      <c r="AC292" s="0" t="s">
        <v>42</v>
      </c>
      <c r="AD292" s="0" t="s">
        <v>43</v>
      </c>
      <c r="AE292" s="2" t="s">
        <v>36</v>
      </c>
    </row>
    <row r="293">
      <c r="A293" s="6" t="s">
        <v>31</v>
      </c>
      <c r="B293" s="7">
        <v>43776</v>
      </c>
      <c r="C293" s="9">
        <f>HYPERLINK("https://www.epingalert.org/en/Search?viewData= G/SPS/N/RUS/170/Corr.1"," G/SPS/N/RUS/170/Corr.1")</f>
      </c>
      <c r="D293" s="8" t="s">
        <v>1491</v>
      </c>
      <c r="E293" s="8" t="s">
        <v>1492</v>
      </c>
      <c r="F293" s="8"/>
      <c r="G293" s="8" t="s">
        <v>36</v>
      </c>
      <c r="H293" s="8" t="s">
        <v>36</v>
      </c>
      <c r="I293" s="8" t="s">
        <v>505</v>
      </c>
      <c r="J293" s="8" t="s">
        <v>1493</v>
      </c>
      <c r="K293" s="6"/>
      <c r="L293" s="7" t="s">
        <v>36</v>
      </c>
      <c r="M293" s="6" t="s">
        <v>690</v>
      </c>
      <c r="N293" s="6"/>
      <c r="O293" s="6">
        <f>HYPERLINK("https://docs.wto.org/imrd/directdoc.asp?DDFDocuments/t/G/SPS/NRUS170C1.DOCX", "https://docs.wto.org/imrd/directdoc.asp?DDFDocuments/t/G/SPS/NRUS170C1.DOCX")</f>
      </c>
      <c r="P293" s="6">
        <f>HYPERLINK("https://docs.wto.org/imrd/directdoc.asp?DDFDocuments/u/G/SPS/NRUS170C1.DOCX", "https://docs.wto.org/imrd/directdoc.asp?DDFDocuments/u/G/SPS/NRUS170C1.DOCX")</f>
      </c>
      <c r="Q293" s="6">
        <f>HYPERLINK("https://docs.wto.org/imrd/directdoc.asp?DDFDocuments/v/G/SPS/NRUS170C1.DOCX", "https://docs.wto.org/imrd/directdoc.asp?DDFDocuments/v/G/SPS/NRUS170C1.DOCX")</f>
      </c>
      <c r="R293" s="0" t="s">
        <v>36</v>
      </c>
      <c r="S293" s="0" t="s">
        <v>36</v>
      </c>
      <c r="T293" s="0" t="s">
        <v>36</v>
      </c>
      <c r="U293" s="0" t="s">
        <v>36</v>
      </c>
      <c r="V293" s="0" t="s">
        <v>36</v>
      </c>
      <c r="W293" s="0" t="s">
        <v>36</v>
      </c>
      <c r="X293" s="0" t="s">
        <v>36</v>
      </c>
      <c r="Y293" s="2" t="s">
        <v>36</v>
      </c>
      <c r="Z293" s="0" t="s">
        <v>36</v>
      </c>
      <c r="AA293" s="0" t="s">
        <v>36</v>
      </c>
      <c r="AB293" s="0" t="s">
        <v>36</v>
      </c>
      <c r="AC293" s="0" t="s">
        <v>36</v>
      </c>
      <c r="AD293" s="0" t="s">
        <v>36</v>
      </c>
      <c r="AE293" s="2" t="s">
        <v>36</v>
      </c>
    </row>
    <row r="294">
      <c r="A294" s="6" t="s">
        <v>31</v>
      </c>
      <c r="B294" s="7">
        <v>43767</v>
      </c>
      <c r="C294" s="9">
        <f>HYPERLINK("https://www.epingalert.org/en/Search?viewData= G/SPS/N/RUS/170"," G/SPS/N/RUS/170")</f>
      </c>
      <c r="D294" s="8" t="s">
        <v>1491</v>
      </c>
      <c r="E294" s="8" t="s">
        <v>1494</v>
      </c>
      <c r="F294" s="8" t="s">
        <v>1495</v>
      </c>
      <c r="G294" s="8" t="s">
        <v>1496</v>
      </c>
      <c r="H294" s="8" t="s">
        <v>36</v>
      </c>
      <c r="I294" s="8" t="s">
        <v>505</v>
      </c>
      <c r="J294" s="8" t="s">
        <v>1448</v>
      </c>
      <c r="K294" s="6" t="s">
        <v>1497</v>
      </c>
      <c r="L294" s="7" t="s">
        <v>36</v>
      </c>
      <c r="M294" s="6" t="s">
        <v>40</v>
      </c>
      <c r="N294" s="8" t="s">
        <v>1498</v>
      </c>
      <c r="O294" s="6">
        <f>HYPERLINK("https://docs.wto.org/imrd/directdoc.asp?DDFDocuments/t/G/SPS/NRUS170.DOCX", "https://docs.wto.org/imrd/directdoc.asp?DDFDocuments/t/G/SPS/NRUS170.DOCX")</f>
      </c>
      <c r="P294" s="6">
        <f>HYPERLINK("https://docs.wto.org/imrd/directdoc.asp?DDFDocuments/u/G/SPS/NRUS170.DOCX", "https://docs.wto.org/imrd/directdoc.asp?DDFDocuments/u/G/SPS/NRUS170.DOCX")</f>
      </c>
      <c r="Q294" s="6">
        <f>HYPERLINK("https://docs.wto.org/imrd/directdoc.asp?DDFDocuments/v/G/SPS/NRUS170.DOCX", "https://docs.wto.org/imrd/directdoc.asp?DDFDocuments/v/G/SPS/NRUS170.DOCX")</f>
      </c>
      <c r="R294" s="0" t="s">
        <v>36</v>
      </c>
      <c r="S294" s="0" t="s">
        <v>36</v>
      </c>
      <c r="T294" s="0" t="s">
        <v>36</v>
      </c>
      <c r="U294" s="0" t="s">
        <v>36</v>
      </c>
      <c r="V294" s="0" t="s">
        <v>36</v>
      </c>
      <c r="W294" s="0" t="s">
        <v>36</v>
      </c>
      <c r="X294" s="0" t="s">
        <v>36</v>
      </c>
      <c r="Y294" s="2" t="s">
        <v>36</v>
      </c>
      <c r="Z294" s="0" t="s">
        <v>42</v>
      </c>
      <c r="AA294" s="0" t="s">
        <v>42</v>
      </c>
      <c r="AB294" s="0" t="s">
        <v>43</v>
      </c>
      <c r="AC294" s="0" t="s">
        <v>42</v>
      </c>
      <c r="AD294" s="0" t="s">
        <v>43</v>
      </c>
      <c r="AE294" s="2" t="s">
        <v>36</v>
      </c>
    </row>
    <row r="295">
      <c r="A295" s="6" t="s">
        <v>31</v>
      </c>
      <c r="B295" s="7">
        <v>43766</v>
      </c>
      <c r="C295" s="9">
        <f>HYPERLINK("https://www.epingalert.org/en/Search?viewData= G/SPS/N/RUS/169"," G/SPS/N/RUS/169")</f>
      </c>
      <c r="D295" s="8" t="s">
        <v>1499</v>
      </c>
      <c r="E295" s="8" t="s">
        <v>1500</v>
      </c>
      <c r="F295" s="8" t="s">
        <v>1501</v>
      </c>
      <c r="G295" s="8" t="s">
        <v>1502</v>
      </c>
      <c r="H295" s="8" t="s">
        <v>36</v>
      </c>
      <c r="I295" s="8" t="s">
        <v>332</v>
      </c>
      <c r="J295" s="8" t="s">
        <v>1503</v>
      </c>
      <c r="K295" s="6" t="s">
        <v>1504</v>
      </c>
      <c r="L295" s="7" t="s">
        <v>36</v>
      </c>
      <c r="M295" s="6" t="s">
        <v>40</v>
      </c>
      <c r="N295" s="6"/>
      <c r="O295" s="6">
        <f>HYPERLINK("https://docs.wto.org/imrd/directdoc.asp?DDFDocuments/t/G/SPS/NRUS169.DOCX", "https://docs.wto.org/imrd/directdoc.asp?DDFDocuments/t/G/SPS/NRUS169.DOCX")</f>
      </c>
      <c r="P295" s="6">
        <f>HYPERLINK("https://docs.wto.org/imrd/directdoc.asp?DDFDocuments/u/G/SPS/NRUS169.DOCX", "https://docs.wto.org/imrd/directdoc.asp?DDFDocuments/u/G/SPS/NRUS169.DOCX")</f>
      </c>
      <c r="Q295" s="6">
        <f>HYPERLINK("https://docs.wto.org/imrd/directdoc.asp?DDFDocuments/v/G/SPS/NRUS169.DOCX", "https://docs.wto.org/imrd/directdoc.asp?DDFDocuments/v/G/SPS/NRUS169.DOCX")</f>
      </c>
      <c r="R295" s="0" t="s">
        <v>36</v>
      </c>
      <c r="S295" s="0" t="s">
        <v>36</v>
      </c>
      <c r="T295" s="0" t="s">
        <v>36</v>
      </c>
      <c r="U295" s="0" t="s">
        <v>36</v>
      </c>
      <c r="V295" s="0" t="s">
        <v>36</v>
      </c>
      <c r="W295" s="0" t="s">
        <v>36</v>
      </c>
      <c r="X295" s="0" t="s">
        <v>36</v>
      </c>
      <c r="Y295" s="2" t="s">
        <v>36</v>
      </c>
      <c r="Z295" s="0" t="s">
        <v>42</v>
      </c>
      <c r="AA295" s="0" t="s">
        <v>43</v>
      </c>
      <c r="AB295" s="0" t="s">
        <v>42</v>
      </c>
      <c r="AC295" s="0" t="s">
        <v>42</v>
      </c>
      <c r="AD295" s="0" t="s">
        <v>43</v>
      </c>
      <c r="AE295" s="2" t="s">
        <v>36</v>
      </c>
    </row>
    <row r="296">
      <c r="A296" s="6" t="s">
        <v>31</v>
      </c>
      <c r="B296" s="7">
        <v>43766</v>
      </c>
      <c r="C296" s="9">
        <f>HYPERLINK("https://www.epingalert.org/en/Search?viewData= G/SPS/N/RUS/167"," G/SPS/N/RUS/167")</f>
      </c>
      <c r="D296" s="8" t="s">
        <v>1505</v>
      </c>
      <c r="E296" s="8" t="s">
        <v>1506</v>
      </c>
      <c r="F296" s="8" t="s">
        <v>1501</v>
      </c>
      <c r="G296" s="8" t="s">
        <v>1507</v>
      </c>
      <c r="H296" s="8" t="s">
        <v>36</v>
      </c>
      <c r="I296" s="8" t="s">
        <v>332</v>
      </c>
      <c r="J296" s="8" t="s">
        <v>1508</v>
      </c>
      <c r="K296" s="6" t="s">
        <v>1509</v>
      </c>
      <c r="L296" s="7" t="s">
        <v>36</v>
      </c>
      <c r="M296" s="6" t="s">
        <v>40</v>
      </c>
      <c r="N296" s="8" t="s">
        <v>1510</v>
      </c>
      <c r="O296" s="6">
        <f>HYPERLINK("https://docs.wto.org/imrd/directdoc.asp?DDFDocuments/t/G/SPS/NRUS167.DOCX", "https://docs.wto.org/imrd/directdoc.asp?DDFDocuments/t/G/SPS/NRUS167.DOCX")</f>
      </c>
      <c r="P296" s="6">
        <f>HYPERLINK("https://docs.wto.org/imrd/directdoc.asp?DDFDocuments/u/G/SPS/NRUS167.DOCX", "https://docs.wto.org/imrd/directdoc.asp?DDFDocuments/u/G/SPS/NRUS167.DOCX")</f>
      </c>
      <c r="Q296" s="6">
        <f>HYPERLINK("https://docs.wto.org/imrd/directdoc.asp?DDFDocuments/v/G/SPS/NRUS167.DOCX", "https://docs.wto.org/imrd/directdoc.asp?DDFDocuments/v/G/SPS/NRUS167.DOCX")</f>
      </c>
      <c r="R296" s="0" t="s">
        <v>36</v>
      </c>
      <c r="S296" s="0" t="s">
        <v>36</v>
      </c>
      <c r="T296" s="0" t="s">
        <v>36</v>
      </c>
      <c r="U296" s="0" t="s">
        <v>36</v>
      </c>
      <c r="V296" s="0" t="s">
        <v>36</v>
      </c>
      <c r="W296" s="0" t="s">
        <v>36</v>
      </c>
      <c r="X296" s="0" t="s">
        <v>36</v>
      </c>
      <c r="Y296" s="2" t="s">
        <v>36</v>
      </c>
      <c r="Z296" s="0" t="s">
        <v>42</v>
      </c>
      <c r="AA296" s="0" t="s">
        <v>43</v>
      </c>
      <c r="AB296" s="0" t="s">
        <v>42</v>
      </c>
      <c r="AC296" s="0" t="s">
        <v>42</v>
      </c>
      <c r="AD296" s="0" t="s">
        <v>43</v>
      </c>
      <c r="AE296" s="2" t="s">
        <v>36</v>
      </c>
    </row>
    <row r="297">
      <c r="A297" s="6" t="s">
        <v>31</v>
      </c>
      <c r="B297" s="7">
        <v>43766</v>
      </c>
      <c r="C297" s="9">
        <f>HYPERLINK("https://www.epingalert.org/en/Search?viewData= G/SPS/N/RUS/168"," G/SPS/N/RUS/168")</f>
      </c>
      <c r="D297" s="8" t="s">
        <v>1511</v>
      </c>
      <c r="E297" s="8" t="s">
        <v>1512</v>
      </c>
      <c r="F297" s="8" t="s">
        <v>1501</v>
      </c>
      <c r="G297" s="8" t="s">
        <v>1513</v>
      </c>
      <c r="H297" s="8" t="s">
        <v>36</v>
      </c>
      <c r="I297" s="8" t="s">
        <v>332</v>
      </c>
      <c r="J297" s="8" t="s">
        <v>1514</v>
      </c>
      <c r="K297" s="6" t="s">
        <v>1515</v>
      </c>
      <c r="L297" s="7" t="s">
        <v>36</v>
      </c>
      <c r="M297" s="6" t="s">
        <v>40</v>
      </c>
      <c r="N297" s="8" t="s">
        <v>1516</v>
      </c>
      <c r="O297" s="6">
        <f>HYPERLINK("https://docs.wto.org/imrd/directdoc.asp?DDFDocuments/t/G/SPS/NRUS168.DOCX", "https://docs.wto.org/imrd/directdoc.asp?DDFDocuments/t/G/SPS/NRUS168.DOCX")</f>
      </c>
      <c r="P297" s="6">
        <f>HYPERLINK("https://docs.wto.org/imrd/directdoc.asp?DDFDocuments/u/G/SPS/NRUS168.DOCX", "https://docs.wto.org/imrd/directdoc.asp?DDFDocuments/u/G/SPS/NRUS168.DOCX")</f>
      </c>
      <c r="Q297" s="6">
        <f>HYPERLINK("https://docs.wto.org/imrd/directdoc.asp?DDFDocuments/v/G/SPS/NRUS168.DOCX", "https://docs.wto.org/imrd/directdoc.asp?DDFDocuments/v/G/SPS/NRUS168.DOCX")</f>
      </c>
      <c r="R297" s="0" t="s">
        <v>36</v>
      </c>
      <c r="S297" s="0" t="s">
        <v>36</v>
      </c>
      <c r="T297" s="0" t="s">
        <v>36</v>
      </c>
      <c r="U297" s="0" t="s">
        <v>36</v>
      </c>
      <c r="V297" s="0" t="s">
        <v>36</v>
      </c>
      <c r="W297" s="0" t="s">
        <v>36</v>
      </c>
      <c r="X297" s="0" t="s">
        <v>36</v>
      </c>
      <c r="Y297" s="2" t="s">
        <v>36</v>
      </c>
      <c r="Z297" s="0" t="s">
        <v>42</v>
      </c>
      <c r="AA297" s="0" t="s">
        <v>43</v>
      </c>
      <c r="AB297" s="0" t="s">
        <v>42</v>
      </c>
      <c r="AC297" s="0" t="s">
        <v>42</v>
      </c>
      <c r="AD297" s="0" t="s">
        <v>43</v>
      </c>
      <c r="AE297" s="2" t="s">
        <v>36</v>
      </c>
    </row>
    <row r="298">
      <c r="A298" s="6" t="s">
        <v>31</v>
      </c>
      <c r="B298" s="7">
        <v>43692</v>
      </c>
      <c r="C298" s="9">
        <f>HYPERLINK("https://www.epingalert.org/en/Search?viewData= G/SPS/N/RUS/166"," G/SPS/N/RUS/166")</f>
      </c>
      <c r="D298" s="8" t="s">
        <v>1517</v>
      </c>
      <c r="E298" s="8" t="s">
        <v>1518</v>
      </c>
      <c r="F298" s="8" t="s">
        <v>1519</v>
      </c>
      <c r="G298" s="8" t="s">
        <v>1520</v>
      </c>
      <c r="H298" s="8" t="s">
        <v>36</v>
      </c>
      <c r="I298" s="8" t="s">
        <v>332</v>
      </c>
      <c r="J298" s="8" t="s">
        <v>1521</v>
      </c>
      <c r="K298" s="6" t="s">
        <v>1522</v>
      </c>
      <c r="L298" s="7" t="s">
        <v>36</v>
      </c>
      <c r="M298" s="6" t="s">
        <v>40</v>
      </c>
      <c r="N298" s="8" t="s">
        <v>1523</v>
      </c>
      <c r="O298" s="6">
        <f>HYPERLINK("https://docs.wto.org/imrd/directdoc.asp?DDFDocuments/t/G/SPS/NRUS166.DOCX", "https://docs.wto.org/imrd/directdoc.asp?DDFDocuments/t/G/SPS/NRUS166.DOCX")</f>
      </c>
      <c r="P298" s="6">
        <f>HYPERLINK("https://docs.wto.org/imrd/directdoc.asp?DDFDocuments/u/G/SPS/NRUS166.DOCX", "https://docs.wto.org/imrd/directdoc.asp?DDFDocuments/u/G/SPS/NRUS166.DOCX")</f>
      </c>
      <c r="Q298" s="6">
        <f>HYPERLINK("https://docs.wto.org/imrd/directdoc.asp?DDFDocuments/v/G/SPS/NRUS166.DOCX", "https://docs.wto.org/imrd/directdoc.asp?DDFDocuments/v/G/SPS/NRUS166.DOCX")</f>
      </c>
      <c r="R298" s="0" t="s">
        <v>36</v>
      </c>
      <c r="S298" s="0" t="s">
        <v>36</v>
      </c>
      <c r="T298" s="0" t="s">
        <v>36</v>
      </c>
      <c r="U298" s="0" t="s">
        <v>36</v>
      </c>
      <c r="V298" s="0" t="s">
        <v>36</v>
      </c>
      <c r="W298" s="0" t="s">
        <v>36</v>
      </c>
      <c r="X298" s="0" t="s">
        <v>36</v>
      </c>
      <c r="Y298" s="2" t="s">
        <v>36</v>
      </c>
      <c r="Z298" s="0" t="s">
        <v>42</v>
      </c>
      <c r="AA298" s="0" t="s">
        <v>43</v>
      </c>
      <c r="AB298" s="0" t="s">
        <v>42</v>
      </c>
      <c r="AC298" s="0" t="s">
        <v>42</v>
      </c>
      <c r="AD298" s="0" t="s">
        <v>43</v>
      </c>
      <c r="AE298" s="2" t="s">
        <v>36</v>
      </c>
    </row>
    <row r="299">
      <c r="A299" s="6" t="s">
        <v>31</v>
      </c>
      <c r="B299" s="7">
        <v>43692</v>
      </c>
      <c r="C299" s="9">
        <f>HYPERLINK("https://www.epingalert.org/en/Search?viewData= G/SPS/N/RUS/165"," G/SPS/N/RUS/165")</f>
      </c>
      <c r="D299" s="8" t="s">
        <v>1524</v>
      </c>
      <c r="E299" s="8" t="s">
        <v>1525</v>
      </c>
      <c r="F299" s="8" t="s">
        <v>1526</v>
      </c>
      <c r="G299" s="8" t="s">
        <v>1527</v>
      </c>
      <c r="H299" s="8" t="s">
        <v>36</v>
      </c>
      <c r="I299" s="8" t="s">
        <v>505</v>
      </c>
      <c r="J299" s="8" t="s">
        <v>1528</v>
      </c>
      <c r="K299" s="6" t="s">
        <v>1434</v>
      </c>
      <c r="L299" s="7" t="s">
        <v>36</v>
      </c>
      <c r="M299" s="6" t="s">
        <v>40</v>
      </c>
      <c r="N299" s="8" t="s">
        <v>1529</v>
      </c>
      <c r="O299" s="6">
        <f>HYPERLINK("https://docs.wto.org/imrd/directdoc.asp?DDFDocuments/t/G/SPS/NRUS165.DOCX", "https://docs.wto.org/imrd/directdoc.asp?DDFDocuments/t/G/SPS/NRUS165.DOCX")</f>
      </c>
      <c r="P299" s="6">
        <f>HYPERLINK("https://docs.wto.org/imrd/directdoc.asp?DDFDocuments/u/G/SPS/NRUS165.DOCX", "https://docs.wto.org/imrd/directdoc.asp?DDFDocuments/u/G/SPS/NRUS165.DOCX")</f>
      </c>
      <c r="Q299" s="6">
        <f>HYPERLINK("https://docs.wto.org/imrd/directdoc.asp?DDFDocuments/v/G/SPS/NRUS165.DOCX", "https://docs.wto.org/imrd/directdoc.asp?DDFDocuments/v/G/SPS/NRUS165.DOCX")</f>
      </c>
      <c r="R299" s="0" t="s">
        <v>36</v>
      </c>
      <c r="S299" s="0" t="s">
        <v>36</v>
      </c>
      <c r="T299" s="0" t="s">
        <v>36</v>
      </c>
      <c r="U299" s="0" t="s">
        <v>36</v>
      </c>
      <c r="V299" s="0" t="s">
        <v>36</v>
      </c>
      <c r="W299" s="0" t="s">
        <v>36</v>
      </c>
      <c r="X299" s="0" t="s">
        <v>36</v>
      </c>
      <c r="Y299" s="2" t="s">
        <v>36</v>
      </c>
      <c r="Z299" s="0" t="s">
        <v>42</v>
      </c>
      <c r="AA299" s="0" t="s">
        <v>42</v>
      </c>
      <c r="AB299" s="0" t="s">
        <v>43</v>
      </c>
      <c r="AC299" s="0" t="s">
        <v>42</v>
      </c>
      <c r="AD299" s="0" t="s">
        <v>43</v>
      </c>
      <c r="AE299" s="2" t="s">
        <v>36</v>
      </c>
    </row>
    <row r="300">
      <c r="A300" s="6" t="s">
        <v>31</v>
      </c>
      <c r="B300" s="7">
        <v>43691</v>
      </c>
      <c r="C300" s="9">
        <f>HYPERLINK("https://www.epingalert.org/en/Search?viewData= G/SPS/N/RUS/164"," G/SPS/N/RUS/164")</f>
      </c>
      <c r="D300" s="8" t="s">
        <v>1530</v>
      </c>
      <c r="E300" s="8" t="s">
        <v>1531</v>
      </c>
      <c r="F300" s="8" t="s">
        <v>1532</v>
      </c>
      <c r="G300" s="8" t="s">
        <v>1533</v>
      </c>
      <c r="H300" s="8" t="s">
        <v>36</v>
      </c>
      <c r="I300" s="8" t="s">
        <v>37</v>
      </c>
      <c r="J300" s="8" t="s">
        <v>1534</v>
      </c>
      <c r="K300" s="6" t="s">
        <v>1535</v>
      </c>
      <c r="L300" s="7" t="s">
        <v>36</v>
      </c>
      <c r="M300" s="6" t="s">
        <v>40</v>
      </c>
      <c r="N300" s="8" t="s">
        <v>1536</v>
      </c>
      <c r="O300" s="6">
        <f>HYPERLINK("https://docs.wto.org/imrd/directdoc.asp?DDFDocuments/t/G/SPS/NRUS164.DOCX", "https://docs.wto.org/imrd/directdoc.asp?DDFDocuments/t/G/SPS/NRUS164.DOCX")</f>
      </c>
      <c r="P300" s="6">
        <f>HYPERLINK("https://docs.wto.org/imrd/directdoc.asp?DDFDocuments/u/G/SPS/NRUS164.DOCX", "https://docs.wto.org/imrd/directdoc.asp?DDFDocuments/u/G/SPS/NRUS164.DOCX")</f>
      </c>
      <c r="Q300" s="6">
        <f>HYPERLINK("https://docs.wto.org/imrd/directdoc.asp?DDFDocuments/v/G/SPS/NRUS164.DOCX", "https://docs.wto.org/imrd/directdoc.asp?DDFDocuments/v/G/SPS/NRUS164.DOCX")</f>
      </c>
      <c r="R300" s="0" t="s">
        <v>36</v>
      </c>
      <c r="S300" s="0" t="s">
        <v>36</v>
      </c>
      <c r="T300" s="0" t="s">
        <v>36</v>
      </c>
      <c r="U300" s="0" t="s">
        <v>36</v>
      </c>
      <c r="V300" s="0" t="s">
        <v>36</v>
      </c>
      <c r="W300" s="0" t="s">
        <v>36</v>
      </c>
      <c r="X300" s="0" t="s">
        <v>36</v>
      </c>
      <c r="Y300" s="2" t="s">
        <v>36</v>
      </c>
      <c r="Z300" s="0" t="s">
        <v>42</v>
      </c>
      <c r="AA300" s="0" t="s">
        <v>43</v>
      </c>
      <c r="AB300" s="0" t="s">
        <v>42</v>
      </c>
      <c r="AC300" s="0" t="s">
        <v>42</v>
      </c>
      <c r="AD300" s="0" t="s">
        <v>43</v>
      </c>
      <c r="AE300" s="2" t="s">
        <v>36</v>
      </c>
    </row>
    <row r="301">
      <c r="A301" s="6" t="s">
        <v>31</v>
      </c>
      <c r="B301" s="7">
        <v>43633</v>
      </c>
      <c r="C301" s="9">
        <f>HYPERLINK("https://www.epingalert.org/en/Search?viewData= G/SPS/N/RUS/162"," G/SPS/N/RUS/162")</f>
      </c>
      <c r="D301" s="8" t="s">
        <v>1537</v>
      </c>
      <c r="E301" s="8" t="s">
        <v>1538</v>
      </c>
      <c r="F301" s="8" t="s">
        <v>220</v>
      </c>
      <c r="G301" s="8" t="s">
        <v>36</v>
      </c>
      <c r="H301" s="8" t="s">
        <v>36</v>
      </c>
      <c r="I301" s="8" t="s">
        <v>37</v>
      </c>
      <c r="J301" s="8" t="s">
        <v>157</v>
      </c>
      <c r="K301" s="6"/>
      <c r="L301" s="7">
        <v>43693</v>
      </c>
      <c r="M301" s="6" t="s">
        <v>51</v>
      </c>
      <c r="N301" s="8" t="s">
        <v>1539</v>
      </c>
      <c r="O301" s="6">
        <f>HYPERLINK("https://docs.wto.org/imrd/directdoc.asp?DDFDocuments/t/G/SPS/NRUS162.DOCX", "https://docs.wto.org/imrd/directdoc.asp?DDFDocuments/t/G/SPS/NRUS162.DOCX")</f>
      </c>
      <c r="P301" s="6">
        <f>HYPERLINK("https://docs.wto.org/imrd/directdoc.asp?DDFDocuments/u/G/SPS/NRUS162.DOCX", "https://docs.wto.org/imrd/directdoc.asp?DDFDocuments/u/G/SPS/NRUS162.DOCX")</f>
      </c>
      <c r="Q301" s="6">
        <f>HYPERLINK("https://docs.wto.org/imrd/directdoc.asp?DDFDocuments/v/G/SPS/NRUS162.DOCX", "https://docs.wto.org/imrd/directdoc.asp?DDFDocuments/v/G/SPS/NRUS162.DOCX")</f>
      </c>
      <c r="R301" s="0" t="s">
        <v>36</v>
      </c>
      <c r="S301" s="0" t="s">
        <v>36</v>
      </c>
      <c r="T301" s="0" t="s">
        <v>36</v>
      </c>
      <c r="U301" s="0" t="s">
        <v>36</v>
      </c>
      <c r="V301" s="0" t="s">
        <v>36</v>
      </c>
      <c r="W301" s="0" t="s">
        <v>36</v>
      </c>
      <c r="X301" s="0" t="s">
        <v>36</v>
      </c>
      <c r="Y301" s="2" t="s">
        <v>36</v>
      </c>
      <c r="Z301" s="0" t="s">
        <v>42</v>
      </c>
      <c r="AA301" s="0" t="s">
        <v>43</v>
      </c>
      <c r="AB301" s="0" t="s">
        <v>42</v>
      </c>
      <c r="AC301" s="0" t="s">
        <v>42</v>
      </c>
      <c r="AD301" s="0" t="s">
        <v>43</v>
      </c>
      <c r="AE301" s="2" t="s">
        <v>36</v>
      </c>
    </row>
    <row r="302">
      <c r="A302" s="6" t="s">
        <v>31</v>
      </c>
      <c r="B302" s="7">
        <v>43633</v>
      </c>
      <c r="C302" s="9">
        <f>HYPERLINK("https://www.epingalert.org/en/Search?viewData= G/SPS/N/RUS/163"," G/SPS/N/RUS/163")</f>
      </c>
      <c r="D302" s="8" t="s">
        <v>1540</v>
      </c>
      <c r="E302" s="8" t="s">
        <v>1541</v>
      </c>
      <c r="F302" s="8" t="s">
        <v>220</v>
      </c>
      <c r="G302" s="8" t="s">
        <v>36</v>
      </c>
      <c r="H302" s="8" t="s">
        <v>36</v>
      </c>
      <c r="I302" s="8" t="s">
        <v>37</v>
      </c>
      <c r="J302" s="8" t="s">
        <v>157</v>
      </c>
      <c r="K302" s="6"/>
      <c r="L302" s="7">
        <v>43693</v>
      </c>
      <c r="M302" s="6" t="s">
        <v>51</v>
      </c>
      <c r="N302" s="8" t="s">
        <v>1542</v>
      </c>
      <c r="O302" s="6">
        <f>HYPERLINK("https://docs.wto.org/imrd/directdoc.asp?DDFDocuments/t/G/SPS/NRUS163.DOCX", "https://docs.wto.org/imrd/directdoc.asp?DDFDocuments/t/G/SPS/NRUS163.DOCX")</f>
      </c>
      <c r="P302" s="6">
        <f>HYPERLINK("https://docs.wto.org/imrd/directdoc.asp?DDFDocuments/u/G/SPS/NRUS163.DOCX", "https://docs.wto.org/imrd/directdoc.asp?DDFDocuments/u/G/SPS/NRUS163.DOCX")</f>
      </c>
      <c r="Q302" s="6">
        <f>HYPERLINK("https://docs.wto.org/imrd/directdoc.asp?DDFDocuments/v/G/SPS/NRUS163.DOCX", "https://docs.wto.org/imrd/directdoc.asp?DDFDocuments/v/G/SPS/NRUS163.DOCX")</f>
      </c>
      <c r="R302" s="0" t="s">
        <v>36</v>
      </c>
      <c r="S302" s="0" t="s">
        <v>36</v>
      </c>
      <c r="T302" s="0" t="s">
        <v>36</v>
      </c>
      <c r="U302" s="0" t="s">
        <v>36</v>
      </c>
      <c r="V302" s="0" t="s">
        <v>36</v>
      </c>
      <c r="W302" s="0" t="s">
        <v>36</v>
      </c>
      <c r="X302" s="0" t="s">
        <v>36</v>
      </c>
      <c r="Y302" s="2" t="s">
        <v>36</v>
      </c>
      <c r="Z302" s="0" t="s">
        <v>42</v>
      </c>
      <c r="AA302" s="0" t="s">
        <v>43</v>
      </c>
      <c r="AB302" s="0" t="s">
        <v>42</v>
      </c>
      <c r="AC302" s="0" t="s">
        <v>42</v>
      </c>
      <c r="AD302" s="0" t="s">
        <v>43</v>
      </c>
      <c r="AE302" s="2" t="s">
        <v>36</v>
      </c>
    </row>
    <row r="303">
      <c r="A303" s="6" t="s">
        <v>31</v>
      </c>
      <c r="B303" s="7">
        <v>43600</v>
      </c>
      <c r="C303" s="9">
        <f>HYPERLINK("https://www.epingalert.org/en/Search?viewData= G/TBT/N/RUS/92"," G/TBT/N/RUS/92")</f>
      </c>
      <c r="D303" s="8" t="s">
        <v>1543</v>
      </c>
      <c r="E303" s="8" t="s">
        <v>1544</v>
      </c>
      <c r="F303" s="8" t="s">
        <v>894</v>
      </c>
      <c r="G303" s="8" t="s">
        <v>36</v>
      </c>
      <c r="H303" s="8" t="s">
        <v>1545</v>
      </c>
      <c r="I303" s="8" t="s">
        <v>796</v>
      </c>
      <c r="J303" s="8" t="s">
        <v>36</v>
      </c>
      <c r="K303" s="6"/>
      <c r="L303" s="7">
        <v>43662</v>
      </c>
      <c r="M303" s="6" t="s">
        <v>51</v>
      </c>
      <c r="N303" s="6"/>
      <c r="O303" s="6">
        <f>HYPERLINK("https://docs.wto.org/imrd/directdoc.asp?DDFDocuments/t/G/TBTN19/RUS92.DOCX", "https://docs.wto.org/imrd/directdoc.asp?DDFDocuments/t/G/TBTN19/RUS92.DOCX")</f>
      </c>
      <c r="P303" s="6">
        <f>HYPERLINK("https://docs.wto.org/imrd/directdoc.asp?DDFDocuments/u/G/TBTN19/RUS92.DOCX", "https://docs.wto.org/imrd/directdoc.asp?DDFDocuments/u/G/TBTN19/RUS92.DOCX")</f>
      </c>
      <c r="Q303" s="6">
        <f>HYPERLINK("https://docs.wto.org/imrd/directdoc.asp?DDFDocuments/v/G/TBTN19/RUS92.DOCX", "https://docs.wto.org/imrd/directdoc.asp?DDFDocuments/v/G/TBTN19/RUS92.DOCX")</f>
      </c>
      <c r="R303" s="0" t="s">
        <v>43</v>
      </c>
      <c r="S303" s="0" t="s">
        <v>42</v>
      </c>
      <c r="T303" s="0" t="s">
        <v>42</v>
      </c>
      <c r="U303" s="0" t="s">
        <v>42</v>
      </c>
      <c r="V303" s="0" t="s">
        <v>42</v>
      </c>
      <c r="W303" s="0" t="s">
        <v>42</v>
      </c>
      <c r="X303" s="0" t="s">
        <v>42</v>
      </c>
      <c r="Y303" s="2" t="s">
        <v>1546</v>
      </c>
      <c r="Z303" s="0" t="s">
        <v>36</v>
      </c>
      <c r="AA303" s="0" t="s">
        <v>36</v>
      </c>
      <c r="AB303" s="0" t="s">
        <v>36</v>
      </c>
      <c r="AC303" s="0" t="s">
        <v>36</v>
      </c>
      <c r="AD303" s="0" t="s">
        <v>36</v>
      </c>
      <c r="AE303" s="2" t="s">
        <v>36</v>
      </c>
    </row>
    <row r="304">
      <c r="A304" s="6" t="s">
        <v>31</v>
      </c>
      <c r="B304" s="7">
        <v>43560</v>
      </c>
      <c r="C304" s="9">
        <f>HYPERLINK("https://www.epingalert.org/en/Search?viewData= G/SPS/N/RUS/161"," G/SPS/N/RUS/161")</f>
      </c>
      <c r="D304" s="8" t="s">
        <v>1547</v>
      </c>
      <c r="E304" s="8" t="s">
        <v>1548</v>
      </c>
      <c r="F304" s="8" t="s">
        <v>1549</v>
      </c>
      <c r="G304" s="8" t="s">
        <v>802</v>
      </c>
      <c r="H304" s="8" t="s">
        <v>36</v>
      </c>
      <c r="I304" s="8" t="s">
        <v>475</v>
      </c>
      <c r="J304" s="8" t="s">
        <v>1550</v>
      </c>
      <c r="K304" s="6"/>
      <c r="L304" s="7" t="s">
        <v>36</v>
      </c>
      <c r="M304" s="6" t="s">
        <v>40</v>
      </c>
      <c r="N304" s="8" t="s">
        <v>1551</v>
      </c>
      <c r="O304" s="6">
        <f>HYPERLINK("https://docs.wto.org/imrd/directdoc.asp?DDFDocuments/t/G/SPS/NRUS161.DOCX", "https://docs.wto.org/imrd/directdoc.asp?DDFDocuments/t/G/SPS/NRUS161.DOCX")</f>
      </c>
      <c r="P304" s="6">
        <f>HYPERLINK("https://docs.wto.org/imrd/directdoc.asp?DDFDocuments/u/G/SPS/NRUS161.DOCX", "https://docs.wto.org/imrd/directdoc.asp?DDFDocuments/u/G/SPS/NRUS161.DOCX")</f>
      </c>
      <c r="Q304" s="6">
        <f>HYPERLINK("https://docs.wto.org/imrd/directdoc.asp?DDFDocuments/v/G/SPS/NRUS161.DOCX", "https://docs.wto.org/imrd/directdoc.asp?DDFDocuments/v/G/SPS/NRUS161.DOCX")</f>
      </c>
      <c r="R304" s="0" t="s">
        <v>36</v>
      </c>
      <c r="S304" s="0" t="s">
        <v>36</v>
      </c>
      <c r="T304" s="0" t="s">
        <v>36</v>
      </c>
      <c r="U304" s="0" t="s">
        <v>36</v>
      </c>
      <c r="V304" s="0" t="s">
        <v>36</v>
      </c>
      <c r="W304" s="0" t="s">
        <v>36</v>
      </c>
      <c r="X304" s="0" t="s">
        <v>36</v>
      </c>
      <c r="Y304" s="2" t="s">
        <v>36</v>
      </c>
      <c r="Z304" s="0" t="s">
        <v>42</v>
      </c>
      <c r="AA304" s="0" t="s">
        <v>43</v>
      </c>
      <c r="AB304" s="0" t="s">
        <v>42</v>
      </c>
      <c r="AC304" s="0" t="s">
        <v>42</v>
      </c>
      <c r="AD304" s="0" t="s">
        <v>43</v>
      </c>
      <c r="AE304" s="2" t="s">
        <v>36</v>
      </c>
    </row>
    <row r="305">
      <c r="A305" s="6" t="s">
        <v>31</v>
      </c>
      <c r="B305" s="7">
        <v>43508</v>
      </c>
      <c r="C305" s="9">
        <f>HYPERLINK("https://www.epingalert.org/en/Search?viewData= G/TBT/N/RUS/91"," G/TBT/N/RUS/91")</f>
      </c>
      <c r="D305" s="8" t="s">
        <v>1552</v>
      </c>
      <c r="E305" s="8" t="s">
        <v>1553</v>
      </c>
      <c r="F305" s="8" t="s">
        <v>1554</v>
      </c>
      <c r="G305" s="8" t="s">
        <v>36</v>
      </c>
      <c r="H305" s="8" t="s">
        <v>564</v>
      </c>
      <c r="I305" s="8" t="s">
        <v>1555</v>
      </c>
      <c r="J305" s="8" t="s">
        <v>120</v>
      </c>
      <c r="K305" s="6"/>
      <c r="L305" s="7">
        <v>43565</v>
      </c>
      <c r="M305" s="6" t="s">
        <v>51</v>
      </c>
      <c r="N305" s="8" t="s">
        <v>1556</v>
      </c>
      <c r="O305" s="6">
        <f>HYPERLINK("https://docs.wto.org/imrd/directdoc.asp?DDFDocuments/t/G/TBTN19/RUS91.DOCX", "https://docs.wto.org/imrd/directdoc.asp?DDFDocuments/t/G/TBTN19/RUS91.DOCX")</f>
      </c>
      <c r="P305" s="6">
        <f>HYPERLINK("https://docs.wto.org/imrd/directdoc.asp?DDFDocuments/u/G/TBTN19/RUS91.DOCX", "https://docs.wto.org/imrd/directdoc.asp?DDFDocuments/u/G/TBTN19/RUS91.DOCX")</f>
      </c>
      <c r="Q305" s="6">
        <f>HYPERLINK("https://docs.wto.org/imrd/directdoc.asp?DDFDocuments/v/G/TBTN19/RUS91.DOCX", "https://docs.wto.org/imrd/directdoc.asp?DDFDocuments/v/G/TBTN19/RUS91.DOCX")</f>
      </c>
      <c r="R305" s="0" t="s">
        <v>43</v>
      </c>
      <c r="S305" s="0" t="s">
        <v>42</v>
      </c>
      <c r="T305" s="0" t="s">
        <v>42</v>
      </c>
      <c r="U305" s="0" t="s">
        <v>42</v>
      </c>
      <c r="V305" s="0" t="s">
        <v>42</v>
      </c>
      <c r="W305" s="0" t="s">
        <v>42</v>
      </c>
      <c r="X305" s="0" t="s">
        <v>42</v>
      </c>
      <c r="Y305" s="2" t="s">
        <v>1557</v>
      </c>
      <c r="Z305" s="0" t="s">
        <v>36</v>
      </c>
      <c r="AA305" s="0" t="s">
        <v>36</v>
      </c>
      <c r="AB305" s="0" t="s">
        <v>36</v>
      </c>
      <c r="AC305" s="0" t="s">
        <v>36</v>
      </c>
      <c r="AD305" s="0" t="s">
        <v>36</v>
      </c>
      <c r="AE305" s="2" t="s">
        <v>36</v>
      </c>
    </row>
    <row r="306">
      <c r="A306" s="6" t="s">
        <v>31</v>
      </c>
      <c r="B306" s="7">
        <v>43503</v>
      </c>
      <c r="C306" s="9">
        <f>HYPERLINK("https://www.epingalert.org/en/Search?viewData= G/SPS/N/RUS/160"," G/SPS/N/RUS/160")</f>
      </c>
      <c r="D306" s="8" t="s">
        <v>1558</v>
      </c>
      <c r="E306" s="8" t="s">
        <v>1559</v>
      </c>
      <c r="F306" s="8" t="s">
        <v>1560</v>
      </c>
      <c r="G306" s="8" t="s">
        <v>1561</v>
      </c>
      <c r="H306" s="8" t="s">
        <v>36</v>
      </c>
      <c r="I306" s="8" t="s">
        <v>97</v>
      </c>
      <c r="J306" s="8" t="s">
        <v>1562</v>
      </c>
      <c r="K306" s="6"/>
      <c r="L306" s="7">
        <v>43563</v>
      </c>
      <c r="M306" s="6" t="s">
        <v>51</v>
      </c>
      <c r="N306" s="8" t="s">
        <v>1563</v>
      </c>
      <c r="O306" s="6">
        <f>HYPERLINK("https://docs.wto.org/imrd/directdoc.asp?DDFDocuments/t/G/SPS/NRUS160.DOCX", "https://docs.wto.org/imrd/directdoc.asp?DDFDocuments/t/G/SPS/NRUS160.DOCX")</f>
      </c>
      <c r="P306" s="6">
        <f>HYPERLINK("https://docs.wto.org/imrd/directdoc.asp?DDFDocuments/u/G/SPS/NRUS160.DOCX", "https://docs.wto.org/imrd/directdoc.asp?DDFDocuments/u/G/SPS/NRUS160.DOCX")</f>
      </c>
      <c r="Q306" s="6">
        <f>HYPERLINK("https://docs.wto.org/imrd/directdoc.asp?DDFDocuments/v/G/SPS/NRUS160.DOCX", "https://docs.wto.org/imrd/directdoc.asp?DDFDocuments/v/G/SPS/NRUS160.DOCX")</f>
      </c>
      <c r="R306" s="0" t="s">
        <v>36</v>
      </c>
      <c r="S306" s="0" t="s">
        <v>36</v>
      </c>
      <c r="T306" s="0" t="s">
        <v>36</v>
      </c>
      <c r="U306" s="0" t="s">
        <v>36</v>
      </c>
      <c r="V306" s="0" t="s">
        <v>36</v>
      </c>
      <c r="W306" s="0" t="s">
        <v>36</v>
      </c>
      <c r="X306" s="0" t="s">
        <v>36</v>
      </c>
      <c r="Y306" s="2" t="s">
        <v>36</v>
      </c>
      <c r="Z306" s="0" t="s">
        <v>43</v>
      </c>
      <c r="AA306" s="0" t="s">
        <v>43</v>
      </c>
      <c r="AB306" s="0" t="s">
        <v>42</v>
      </c>
      <c r="AC306" s="0" t="s">
        <v>42</v>
      </c>
      <c r="AD306" s="0" t="s">
        <v>43</v>
      </c>
      <c r="AE306" s="2" t="s">
        <v>36</v>
      </c>
    </row>
    <row r="307">
      <c r="A307" s="6" t="s">
        <v>31</v>
      </c>
      <c r="B307" s="7">
        <v>43502</v>
      </c>
      <c r="C307" s="9">
        <f>HYPERLINK("https://www.epingalert.org/en/Search?viewData= G/SPS/N/RUS/159"," G/SPS/N/RUS/159")</f>
      </c>
      <c r="D307" s="8" t="s">
        <v>1564</v>
      </c>
      <c r="E307" s="8" t="s">
        <v>1565</v>
      </c>
      <c r="F307" s="8" t="s">
        <v>1566</v>
      </c>
      <c r="G307" s="8" t="s">
        <v>1567</v>
      </c>
      <c r="H307" s="8" t="s">
        <v>36</v>
      </c>
      <c r="I307" s="8" t="s">
        <v>475</v>
      </c>
      <c r="J307" s="8" t="s">
        <v>1568</v>
      </c>
      <c r="K307" s="6" t="s">
        <v>146</v>
      </c>
      <c r="L307" s="7" t="s">
        <v>36</v>
      </c>
      <c r="M307" s="6" t="s">
        <v>40</v>
      </c>
      <c r="N307" s="8" t="s">
        <v>1569</v>
      </c>
      <c r="O307" s="6">
        <f>HYPERLINK("https://docs.wto.org/imrd/directdoc.asp?DDFDocuments/t/G/SPS/NRUS159.DOCX", "https://docs.wto.org/imrd/directdoc.asp?DDFDocuments/t/G/SPS/NRUS159.DOCX")</f>
      </c>
      <c r="P307" s="6">
        <f>HYPERLINK("https://docs.wto.org/imrd/directdoc.asp?DDFDocuments/u/G/SPS/NRUS159.DOCX", "https://docs.wto.org/imrd/directdoc.asp?DDFDocuments/u/G/SPS/NRUS159.DOCX")</f>
      </c>
      <c r="Q307" s="6">
        <f>HYPERLINK("https://docs.wto.org/imrd/directdoc.asp?DDFDocuments/v/G/SPS/NRUS159.DOCX", "https://docs.wto.org/imrd/directdoc.asp?DDFDocuments/v/G/SPS/NRUS159.DOCX")</f>
      </c>
      <c r="R307" s="0" t="s">
        <v>36</v>
      </c>
      <c r="S307" s="0" t="s">
        <v>36</v>
      </c>
      <c r="T307" s="0" t="s">
        <v>36</v>
      </c>
      <c r="U307" s="0" t="s">
        <v>36</v>
      </c>
      <c r="V307" s="0" t="s">
        <v>36</v>
      </c>
      <c r="W307" s="0" t="s">
        <v>36</v>
      </c>
      <c r="X307" s="0" t="s">
        <v>36</v>
      </c>
      <c r="Y307" s="2" t="s">
        <v>36</v>
      </c>
      <c r="Z307" s="0" t="s">
        <v>42</v>
      </c>
      <c r="AA307" s="0" t="s">
        <v>43</v>
      </c>
      <c r="AB307" s="0" t="s">
        <v>42</v>
      </c>
      <c r="AC307" s="0" t="s">
        <v>42</v>
      </c>
      <c r="AD307" s="0" t="s">
        <v>43</v>
      </c>
      <c r="AE307" s="2" t="s">
        <v>36</v>
      </c>
    </row>
    <row r="308">
      <c r="A308" s="6" t="s">
        <v>31</v>
      </c>
      <c r="B308" s="7">
        <v>43501</v>
      </c>
      <c r="C308" s="9">
        <f>HYPERLINK("https://www.epingalert.org/en/Search?viewData= G/SPS/N/RUS/158"," G/SPS/N/RUS/158")</f>
      </c>
      <c r="D308" s="8" t="s">
        <v>1570</v>
      </c>
      <c r="E308" s="8" t="s">
        <v>1571</v>
      </c>
      <c r="F308" s="8" t="s">
        <v>1572</v>
      </c>
      <c r="G308" s="8" t="s">
        <v>1573</v>
      </c>
      <c r="H308" s="8" t="s">
        <v>36</v>
      </c>
      <c r="I308" s="8" t="s">
        <v>37</v>
      </c>
      <c r="J308" s="8" t="s">
        <v>1574</v>
      </c>
      <c r="K308" s="6" t="s">
        <v>1575</v>
      </c>
      <c r="L308" s="7" t="s">
        <v>36</v>
      </c>
      <c r="M308" s="6" t="s">
        <v>40</v>
      </c>
      <c r="N308" s="8" t="s">
        <v>1576</v>
      </c>
      <c r="O308" s="6">
        <f>HYPERLINK("https://docs.wto.org/imrd/directdoc.asp?DDFDocuments/t/G/SPS/NRUS158.DOCX", "https://docs.wto.org/imrd/directdoc.asp?DDFDocuments/t/G/SPS/NRUS158.DOCX")</f>
      </c>
      <c r="P308" s="6">
        <f>HYPERLINK("https://docs.wto.org/imrd/directdoc.asp?DDFDocuments/u/G/SPS/NRUS158.DOCX", "https://docs.wto.org/imrd/directdoc.asp?DDFDocuments/u/G/SPS/NRUS158.DOCX")</f>
      </c>
      <c r="Q308" s="6">
        <f>HYPERLINK("https://docs.wto.org/imrd/directdoc.asp?DDFDocuments/v/G/SPS/NRUS158.DOCX", "https://docs.wto.org/imrd/directdoc.asp?DDFDocuments/v/G/SPS/NRUS158.DOCX")</f>
      </c>
      <c r="R308" s="0" t="s">
        <v>36</v>
      </c>
      <c r="S308" s="0" t="s">
        <v>36</v>
      </c>
      <c r="T308" s="0" t="s">
        <v>36</v>
      </c>
      <c r="U308" s="0" t="s">
        <v>36</v>
      </c>
      <c r="V308" s="0" t="s">
        <v>36</v>
      </c>
      <c r="W308" s="0" t="s">
        <v>36</v>
      </c>
      <c r="X308" s="0" t="s">
        <v>36</v>
      </c>
      <c r="Y308" s="2" t="s">
        <v>36</v>
      </c>
      <c r="Z308" s="0" t="s">
        <v>42</v>
      </c>
      <c r="AA308" s="0" t="s">
        <v>43</v>
      </c>
      <c r="AB308" s="0" t="s">
        <v>42</v>
      </c>
      <c r="AC308" s="0" t="s">
        <v>42</v>
      </c>
      <c r="AD308" s="0" t="s">
        <v>43</v>
      </c>
      <c r="AE308" s="2" t="s">
        <v>36</v>
      </c>
    </row>
    <row r="309">
      <c r="A309" s="6" t="s">
        <v>31</v>
      </c>
      <c r="B309" s="7">
        <v>43476</v>
      </c>
      <c r="C309" s="9">
        <f>HYPERLINK("https://www.epingalert.org/en/Search?viewData= G/TBT/N/RUS/90/Add.1"," G/TBT/N/RUS/90/Add.1")</f>
      </c>
      <c r="D309" s="8" t="s">
        <v>1577</v>
      </c>
      <c r="E309" s="8"/>
      <c r="F309" s="8" t="s">
        <v>1578</v>
      </c>
      <c r="G309" s="8" t="s">
        <v>36</v>
      </c>
      <c r="H309" s="8" t="s">
        <v>1579</v>
      </c>
      <c r="I309" s="8" t="s">
        <v>164</v>
      </c>
      <c r="J309" s="8" t="s">
        <v>120</v>
      </c>
      <c r="K309" s="6"/>
      <c r="L309" s="7" t="s">
        <v>36</v>
      </c>
      <c r="M309" s="6" t="s">
        <v>1211</v>
      </c>
      <c r="N309" s="6"/>
      <c r="O309" s="6">
        <f>HYPERLINK("https://docs.wto.org/imrd/directdoc.asp?DDFDocuments/t/G/TBTN19/RUS90A1.DOCX", "https://docs.wto.org/imrd/directdoc.asp?DDFDocuments/t/G/TBTN19/RUS90A1.DOCX")</f>
      </c>
      <c r="P309" s="6">
        <f>HYPERLINK("https://docs.wto.org/imrd/directdoc.asp?DDFDocuments/u/G/TBTN19/RUS90A1.DOCX", "https://docs.wto.org/imrd/directdoc.asp?DDFDocuments/u/G/TBTN19/RUS90A1.DOCX")</f>
      </c>
      <c r="Q309" s="6">
        <f>HYPERLINK("https://docs.wto.org/imrd/directdoc.asp?DDFDocuments/v/G/TBTN19/RUS90A1.DOCX", "https://docs.wto.org/imrd/directdoc.asp?DDFDocuments/v/G/TBTN19/RUS90A1.DOCX")</f>
      </c>
      <c r="R309" s="0" t="s">
        <v>43</v>
      </c>
      <c r="S309" s="0" t="s">
        <v>42</v>
      </c>
      <c r="T309" s="0" t="s">
        <v>42</v>
      </c>
      <c r="U309" s="0" t="s">
        <v>42</v>
      </c>
      <c r="V309" s="0" t="s">
        <v>42</v>
      </c>
      <c r="W309" s="0" t="s">
        <v>42</v>
      </c>
      <c r="X309" s="0" t="s">
        <v>42</v>
      </c>
      <c r="Y309" s="2" t="s">
        <v>36</v>
      </c>
      <c r="Z309" s="0" t="s">
        <v>36</v>
      </c>
      <c r="AA309" s="0" t="s">
        <v>36</v>
      </c>
      <c r="AB309" s="0" t="s">
        <v>36</v>
      </c>
      <c r="AC309" s="0" t="s">
        <v>36</v>
      </c>
      <c r="AD309" s="0" t="s">
        <v>36</v>
      </c>
      <c r="AE309" s="2" t="s">
        <v>36</v>
      </c>
    </row>
    <row r="310">
      <c r="A310" s="6" t="s">
        <v>31</v>
      </c>
      <c r="B310" s="7">
        <v>43476</v>
      </c>
      <c r="C310" s="9">
        <f>HYPERLINK("https://www.epingalert.org/en/Search?viewData= G/TBT/N/RUS/89/Add.1"," G/TBT/N/RUS/89/Add.1")</f>
      </c>
      <c r="D310" s="8" t="s">
        <v>1577</v>
      </c>
      <c r="E310" s="8"/>
      <c r="F310" s="8" t="s">
        <v>1580</v>
      </c>
      <c r="G310" s="8" t="s">
        <v>36</v>
      </c>
      <c r="H310" s="8" t="s">
        <v>36</v>
      </c>
      <c r="I310" s="8" t="s">
        <v>164</v>
      </c>
      <c r="J310" s="8" t="s">
        <v>36</v>
      </c>
      <c r="K310" s="6"/>
      <c r="L310" s="7" t="s">
        <v>36</v>
      </c>
      <c r="M310" s="6" t="s">
        <v>1211</v>
      </c>
      <c r="N310" s="6"/>
      <c r="O310" s="6">
        <f>HYPERLINK("https://docs.wto.org/imrd/directdoc.asp?DDFDocuments/t/G/TBTN19/RUS89A1.DOCX", "https://docs.wto.org/imrd/directdoc.asp?DDFDocuments/t/G/TBTN19/RUS89A1.DOCX")</f>
      </c>
      <c r="P310" s="6">
        <f>HYPERLINK("https://docs.wto.org/imrd/directdoc.asp?DDFDocuments/u/G/TBTN19/RUS89A1.DOCX", "https://docs.wto.org/imrd/directdoc.asp?DDFDocuments/u/G/TBTN19/RUS89A1.DOCX")</f>
      </c>
      <c r="Q310" s="6">
        <f>HYPERLINK("https://docs.wto.org/imrd/directdoc.asp?DDFDocuments/v/G/TBTN19/RUS89A1.DOCX", "https://docs.wto.org/imrd/directdoc.asp?DDFDocuments/v/G/TBTN19/RUS89A1.DOCX")</f>
      </c>
      <c r="R310" s="0" t="s">
        <v>43</v>
      </c>
      <c r="S310" s="0" t="s">
        <v>42</v>
      </c>
      <c r="T310" s="0" t="s">
        <v>42</v>
      </c>
      <c r="U310" s="0" t="s">
        <v>42</v>
      </c>
      <c r="V310" s="0" t="s">
        <v>42</v>
      </c>
      <c r="W310" s="0" t="s">
        <v>42</v>
      </c>
      <c r="X310" s="0" t="s">
        <v>42</v>
      </c>
      <c r="Y310" s="2" t="s">
        <v>36</v>
      </c>
      <c r="Z310" s="0" t="s">
        <v>36</v>
      </c>
      <c r="AA310" s="0" t="s">
        <v>36</v>
      </c>
      <c r="AB310" s="0" t="s">
        <v>36</v>
      </c>
      <c r="AC310" s="0" t="s">
        <v>36</v>
      </c>
      <c r="AD310" s="0" t="s">
        <v>36</v>
      </c>
      <c r="AE310" s="2" t="s">
        <v>36</v>
      </c>
    </row>
    <row r="311">
      <c r="A311" s="6" t="s">
        <v>31</v>
      </c>
      <c r="B311" s="7">
        <v>43475</v>
      </c>
      <c r="C311" s="9">
        <f>HYPERLINK("https://www.epingalert.org/en/Search?viewData= G/TBT/N/RUS/89"," G/TBT/N/RUS/89")</f>
      </c>
      <c r="D311" s="8" t="s">
        <v>1581</v>
      </c>
      <c r="E311" s="8" t="s">
        <v>1582</v>
      </c>
      <c r="F311" s="8" t="s">
        <v>1580</v>
      </c>
      <c r="G311" s="8" t="s">
        <v>36</v>
      </c>
      <c r="H311" s="8" t="s">
        <v>36</v>
      </c>
      <c r="I311" s="8" t="s">
        <v>164</v>
      </c>
      <c r="J311" s="8" t="s">
        <v>36</v>
      </c>
      <c r="K311" s="6"/>
      <c r="L311" s="7">
        <v>43534</v>
      </c>
      <c r="M311" s="6" t="s">
        <v>51</v>
      </c>
      <c r="N311" s="8" t="s">
        <v>1583</v>
      </c>
      <c r="O311" s="6">
        <f>HYPERLINK("https://docs.wto.org/imrd/directdoc.asp?DDFDocuments/t/G/TBTN19/RUS89.DOCX", "https://docs.wto.org/imrd/directdoc.asp?DDFDocuments/t/G/TBTN19/RUS89.DOCX")</f>
      </c>
      <c r="P311" s="6">
        <f>HYPERLINK("https://docs.wto.org/imrd/directdoc.asp?DDFDocuments/u/G/TBTN19/RUS89.DOCX", "https://docs.wto.org/imrd/directdoc.asp?DDFDocuments/u/G/TBTN19/RUS89.DOCX")</f>
      </c>
      <c r="Q311" s="6">
        <f>HYPERLINK("https://docs.wto.org/imrd/directdoc.asp?DDFDocuments/v/G/TBTN19/RUS89.DOCX", "https://docs.wto.org/imrd/directdoc.asp?DDFDocuments/v/G/TBTN19/RUS89.DOCX")</f>
      </c>
      <c r="R311" s="0" t="s">
        <v>43</v>
      </c>
      <c r="S311" s="0" t="s">
        <v>42</v>
      </c>
      <c r="T311" s="0" t="s">
        <v>42</v>
      </c>
      <c r="U311" s="0" t="s">
        <v>42</v>
      </c>
      <c r="V311" s="0" t="s">
        <v>42</v>
      </c>
      <c r="W311" s="0" t="s">
        <v>42</v>
      </c>
      <c r="X311" s="0" t="s">
        <v>42</v>
      </c>
      <c r="Y311" s="2" t="s">
        <v>1584</v>
      </c>
      <c r="Z311" s="0" t="s">
        <v>36</v>
      </c>
      <c r="AA311" s="0" t="s">
        <v>36</v>
      </c>
      <c r="AB311" s="0" t="s">
        <v>36</v>
      </c>
      <c r="AC311" s="0" t="s">
        <v>36</v>
      </c>
      <c r="AD311" s="0" t="s">
        <v>36</v>
      </c>
      <c r="AE311" s="2" t="s">
        <v>36</v>
      </c>
    </row>
    <row r="312">
      <c r="A312" s="6" t="s">
        <v>31</v>
      </c>
      <c r="B312" s="7">
        <v>43475</v>
      </c>
      <c r="C312" s="9">
        <f>HYPERLINK("https://www.epingalert.org/en/Search?viewData= G/SPS/N/RUS/157"," G/SPS/N/RUS/157")</f>
      </c>
      <c r="D312" s="8" t="s">
        <v>1585</v>
      </c>
      <c r="E312" s="8" t="s">
        <v>1586</v>
      </c>
      <c r="F312" s="8" t="s">
        <v>1587</v>
      </c>
      <c r="G312" s="8" t="s">
        <v>1588</v>
      </c>
      <c r="H312" s="8" t="s">
        <v>36</v>
      </c>
      <c r="I312" s="8" t="s">
        <v>37</v>
      </c>
      <c r="J312" s="8" t="s">
        <v>1589</v>
      </c>
      <c r="K312" s="6" t="s">
        <v>1590</v>
      </c>
      <c r="L312" s="7" t="s">
        <v>36</v>
      </c>
      <c r="M312" s="6" t="s">
        <v>40</v>
      </c>
      <c r="N312" s="8" t="s">
        <v>1591</v>
      </c>
      <c r="O312" s="6">
        <f>HYPERLINK("https://docs.wto.org/imrd/directdoc.asp?DDFDocuments/t/G/SPS/NRUS157.DOCX", "https://docs.wto.org/imrd/directdoc.asp?DDFDocuments/t/G/SPS/NRUS157.DOCX")</f>
      </c>
      <c r="P312" s="6">
        <f>HYPERLINK("https://docs.wto.org/imrd/directdoc.asp?DDFDocuments/u/G/SPS/NRUS157.DOCX", "https://docs.wto.org/imrd/directdoc.asp?DDFDocuments/u/G/SPS/NRUS157.DOCX")</f>
      </c>
      <c r="Q312" s="6">
        <f>HYPERLINK("https://docs.wto.org/imrd/directdoc.asp?DDFDocuments/v/G/SPS/NRUS157.DOCX", "https://docs.wto.org/imrd/directdoc.asp?DDFDocuments/v/G/SPS/NRUS157.DOCX")</f>
      </c>
      <c r="R312" s="0" t="s">
        <v>36</v>
      </c>
      <c r="S312" s="0" t="s">
        <v>36</v>
      </c>
      <c r="T312" s="0" t="s">
        <v>36</v>
      </c>
      <c r="U312" s="0" t="s">
        <v>36</v>
      </c>
      <c r="V312" s="0" t="s">
        <v>36</v>
      </c>
      <c r="W312" s="0" t="s">
        <v>36</v>
      </c>
      <c r="X312" s="0" t="s">
        <v>36</v>
      </c>
      <c r="Y312" s="2" t="s">
        <v>36</v>
      </c>
      <c r="Z312" s="0" t="s">
        <v>42</v>
      </c>
      <c r="AA312" s="0" t="s">
        <v>43</v>
      </c>
      <c r="AB312" s="0" t="s">
        <v>42</v>
      </c>
      <c r="AC312" s="0" t="s">
        <v>42</v>
      </c>
      <c r="AD312" s="0" t="s">
        <v>43</v>
      </c>
      <c r="AE312" s="2" t="s">
        <v>36</v>
      </c>
    </row>
    <row r="313">
      <c r="A313" s="6" t="s">
        <v>31</v>
      </c>
      <c r="B313" s="7">
        <v>43475</v>
      </c>
      <c r="C313" s="9">
        <f>HYPERLINK("https://www.epingalert.org/en/Search?viewData= G/TBT/N/RUS/90"," G/TBT/N/RUS/90")</f>
      </c>
      <c r="D313" s="8" t="s">
        <v>1592</v>
      </c>
      <c r="E313" s="8" t="s">
        <v>1593</v>
      </c>
      <c r="F313" s="8" t="s">
        <v>1578</v>
      </c>
      <c r="G313" s="8" t="s">
        <v>36</v>
      </c>
      <c r="H313" s="8" t="s">
        <v>1594</v>
      </c>
      <c r="I313" s="8" t="s">
        <v>164</v>
      </c>
      <c r="J313" s="8" t="s">
        <v>120</v>
      </c>
      <c r="K313" s="6"/>
      <c r="L313" s="7">
        <v>43534</v>
      </c>
      <c r="M313" s="6" t="s">
        <v>51</v>
      </c>
      <c r="N313" s="8" t="s">
        <v>1583</v>
      </c>
      <c r="O313" s="6">
        <f>HYPERLINK("https://docs.wto.org/imrd/directdoc.asp?DDFDocuments/t/G/TBTN19/RUS90.DOCX", "https://docs.wto.org/imrd/directdoc.asp?DDFDocuments/t/G/TBTN19/RUS90.DOCX")</f>
      </c>
      <c r="P313" s="6">
        <f>HYPERLINK("https://docs.wto.org/imrd/directdoc.asp?DDFDocuments/u/G/TBTN19/RUS90.DOCX", "https://docs.wto.org/imrd/directdoc.asp?DDFDocuments/u/G/TBTN19/RUS90.DOCX")</f>
      </c>
      <c r="Q313" s="6">
        <f>HYPERLINK("https://docs.wto.org/imrd/directdoc.asp?DDFDocuments/v/G/TBTN19/RUS90.DOCX", "https://docs.wto.org/imrd/directdoc.asp?DDFDocuments/v/G/TBTN19/RUS90.DOCX")</f>
      </c>
      <c r="R313" s="0" t="s">
        <v>43</v>
      </c>
      <c r="S313" s="0" t="s">
        <v>42</v>
      </c>
      <c r="T313" s="0" t="s">
        <v>42</v>
      </c>
      <c r="U313" s="0" t="s">
        <v>42</v>
      </c>
      <c r="V313" s="0" t="s">
        <v>42</v>
      </c>
      <c r="W313" s="0" t="s">
        <v>42</v>
      </c>
      <c r="X313" s="0" t="s">
        <v>42</v>
      </c>
      <c r="Y313" s="2" t="s">
        <v>1595</v>
      </c>
      <c r="Z313" s="0" t="s">
        <v>36</v>
      </c>
      <c r="AA313" s="0" t="s">
        <v>36</v>
      </c>
      <c r="AB313" s="0" t="s">
        <v>36</v>
      </c>
      <c r="AC313" s="0" t="s">
        <v>36</v>
      </c>
      <c r="AD313" s="0" t="s">
        <v>36</v>
      </c>
      <c r="AE313" s="2" t="s">
        <v>36</v>
      </c>
    </row>
    <row r="314">
      <c r="A314" s="6" t="s">
        <v>31</v>
      </c>
      <c r="B314" s="7">
        <v>43438</v>
      </c>
      <c r="C314" s="9">
        <f>HYPERLINK("https://www.epingalert.org/en/Search?viewData= G/SPS/N/RUS/156"," G/SPS/N/RUS/156")</f>
      </c>
      <c r="D314" s="8" t="s">
        <v>1596</v>
      </c>
      <c r="E314" s="8" t="s">
        <v>1597</v>
      </c>
      <c r="F314" s="8" t="s">
        <v>220</v>
      </c>
      <c r="G314" s="8" t="s">
        <v>847</v>
      </c>
      <c r="H314" s="8" t="s">
        <v>36</v>
      </c>
      <c r="I314" s="8" t="s">
        <v>37</v>
      </c>
      <c r="J314" s="8" t="s">
        <v>157</v>
      </c>
      <c r="K314" s="6"/>
      <c r="L314" s="7">
        <v>43498</v>
      </c>
      <c r="M314" s="6" t="s">
        <v>51</v>
      </c>
      <c r="N314" s="8" t="s">
        <v>1598</v>
      </c>
      <c r="O314" s="6">
        <f>HYPERLINK("https://docs.wto.org/imrd/directdoc.asp?DDFDocuments/t/G/SPS/NRUS156.DOCX", "https://docs.wto.org/imrd/directdoc.asp?DDFDocuments/t/G/SPS/NRUS156.DOCX")</f>
      </c>
      <c r="P314" s="6">
        <f>HYPERLINK("https://docs.wto.org/imrd/directdoc.asp?DDFDocuments/u/G/SPS/NRUS156.DOCX", "https://docs.wto.org/imrd/directdoc.asp?DDFDocuments/u/G/SPS/NRUS156.DOCX")</f>
      </c>
      <c r="Q314" s="6">
        <f>HYPERLINK("https://docs.wto.org/imrd/directdoc.asp?DDFDocuments/v/G/SPS/NRUS156.DOCX", "https://docs.wto.org/imrd/directdoc.asp?DDFDocuments/v/G/SPS/NRUS156.DOCX")</f>
      </c>
      <c r="R314" s="0" t="s">
        <v>36</v>
      </c>
      <c r="S314" s="0" t="s">
        <v>36</v>
      </c>
      <c r="T314" s="0" t="s">
        <v>36</v>
      </c>
      <c r="U314" s="0" t="s">
        <v>36</v>
      </c>
      <c r="V314" s="0" t="s">
        <v>36</v>
      </c>
      <c r="W314" s="0" t="s">
        <v>36</v>
      </c>
      <c r="X314" s="0" t="s">
        <v>36</v>
      </c>
      <c r="Y314" s="2" t="s">
        <v>36</v>
      </c>
      <c r="Z314" s="0" t="s">
        <v>42</v>
      </c>
      <c r="AA314" s="0" t="s">
        <v>43</v>
      </c>
      <c r="AB314" s="0" t="s">
        <v>42</v>
      </c>
      <c r="AC314" s="0" t="s">
        <v>42</v>
      </c>
      <c r="AD314" s="0" t="s">
        <v>43</v>
      </c>
      <c r="AE314" s="2" t="s">
        <v>36</v>
      </c>
    </row>
    <row r="315">
      <c r="A315" s="6" t="s">
        <v>31</v>
      </c>
      <c r="B315" s="7">
        <v>43416</v>
      </c>
      <c r="C315" s="9">
        <f>HYPERLINK("https://www.epingalert.org/en/Search?viewData= G/SPS/N/RUS/155"," G/SPS/N/RUS/155")</f>
      </c>
      <c r="D315" s="8" t="s">
        <v>1599</v>
      </c>
      <c r="E315" s="8" t="s">
        <v>1600</v>
      </c>
      <c r="F315" s="8" t="s">
        <v>1601</v>
      </c>
      <c r="G315" s="8" t="s">
        <v>1602</v>
      </c>
      <c r="H315" s="8" t="s">
        <v>36</v>
      </c>
      <c r="I315" s="8" t="s">
        <v>332</v>
      </c>
      <c r="J315" s="8" t="s">
        <v>1603</v>
      </c>
      <c r="K315" s="6" t="s">
        <v>426</v>
      </c>
      <c r="L315" s="7" t="s">
        <v>36</v>
      </c>
      <c r="M315" s="6" t="s">
        <v>51</v>
      </c>
      <c r="N315" s="8" t="s">
        <v>1604</v>
      </c>
      <c r="O315" s="6">
        <f>HYPERLINK("https://docs.wto.org/imrd/directdoc.asp?DDFDocuments/t/G/SPS/NRUS155.DOCX", "https://docs.wto.org/imrd/directdoc.asp?DDFDocuments/t/G/SPS/NRUS155.DOCX")</f>
      </c>
      <c r="P315" s="6">
        <f>HYPERLINK("https://docs.wto.org/imrd/directdoc.asp?DDFDocuments/u/G/SPS/NRUS155.DOCX", "https://docs.wto.org/imrd/directdoc.asp?DDFDocuments/u/G/SPS/NRUS155.DOCX")</f>
      </c>
      <c r="Q315" s="6">
        <f>HYPERLINK("https://docs.wto.org/imrd/directdoc.asp?DDFDocuments/v/G/SPS/NRUS155.DOCX", "https://docs.wto.org/imrd/directdoc.asp?DDFDocuments/v/G/SPS/NRUS155.DOCX")</f>
      </c>
      <c r="R315" s="0" t="s">
        <v>36</v>
      </c>
      <c r="S315" s="0" t="s">
        <v>36</v>
      </c>
      <c r="T315" s="0" t="s">
        <v>36</v>
      </c>
      <c r="U315" s="0" t="s">
        <v>36</v>
      </c>
      <c r="V315" s="0" t="s">
        <v>36</v>
      </c>
      <c r="W315" s="0" t="s">
        <v>36</v>
      </c>
      <c r="X315" s="0" t="s">
        <v>36</v>
      </c>
      <c r="Y315" s="2" t="s">
        <v>36</v>
      </c>
      <c r="Z315" s="0" t="s">
        <v>42</v>
      </c>
      <c r="AA315" s="0" t="s">
        <v>43</v>
      </c>
      <c r="AB315" s="0" t="s">
        <v>42</v>
      </c>
      <c r="AC315" s="0" t="s">
        <v>42</v>
      </c>
      <c r="AD315" s="0" t="s">
        <v>43</v>
      </c>
      <c r="AE315" s="2" t="s">
        <v>36</v>
      </c>
    </row>
    <row r="316">
      <c r="A316" s="6" t="s">
        <v>31</v>
      </c>
      <c r="B316" s="7">
        <v>43314</v>
      </c>
      <c r="C316" s="9">
        <f>HYPERLINK("https://www.epingalert.org/en/Search?viewData= G/SPS/N/RUS/154"," G/SPS/N/RUS/154")</f>
      </c>
      <c r="D316" s="8" t="s">
        <v>1605</v>
      </c>
      <c r="E316" s="8" t="s">
        <v>1606</v>
      </c>
      <c r="F316" s="8" t="s">
        <v>1607</v>
      </c>
      <c r="G316" s="8" t="s">
        <v>1608</v>
      </c>
      <c r="H316" s="8" t="s">
        <v>36</v>
      </c>
      <c r="I316" s="8" t="s">
        <v>332</v>
      </c>
      <c r="J316" s="8" t="s">
        <v>1609</v>
      </c>
      <c r="K316" s="6" t="s">
        <v>1610</v>
      </c>
      <c r="L316" s="7" t="s">
        <v>36</v>
      </c>
      <c r="M316" s="6" t="s">
        <v>40</v>
      </c>
      <c r="N316" s="6"/>
      <c r="O316" s="6">
        <f>HYPERLINK("https://docs.wto.org/imrd/directdoc.asp?DDFDocuments/t/G/SPS/NRUS154.DOCX", "https://docs.wto.org/imrd/directdoc.asp?DDFDocuments/t/G/SPS/NRUS154.DOCX")</f>
      </c>
      <c r="P316" s="6">
        <f>HYPERLINK("https://docs.wto.org/imrd/directdoc.asp?DDFDocuments/u/G/SPS/NRUS154.DOCX", "https://docs.wto.org/imrd/directdoc.asp?DDFDocuments/u/G/SPS/NRUS154.DOCX")</f>
      </c>
      <c r="Q316" s="6">
        <f>HYPERLINK("https://docs.wto.org/imrd/directdoc.asp?DDFDocuments/v/G/SPS/NRUS154.DOCX", "https://docs.wto.org/imrd/directdoc.asp?DDFDocuments/v/G/SPS/NRUS154.DOCX")</f>
      </c>
      <c r="R316" s="0" t="s">
        <v>36</v>
      </c>
      <c r="S316" s="0" t="s">
        <v>36</v>
      </c>
      <c r="T316" s="0" t="s">
        <v>36</v>
      </c>
      <c r="U316" s="0" t="s">
        <v>36</v>
      </c>
      <c r="V316" s="0" t="s">
        <v>36</v>
      </c>
      <c r="W316" s="0" t="s">
        <v>36</v>
      </c>
      <c r="X316" s="0" t="s">
        <v>36</v>
      </c>
      <c r="Y316" s="2" t="s">
        <v>36</v>
      </c>
      <c r="Z316" s="0" t="s">
        <v>42</v>
      </c>
      <c r="AA316" s="0" t="s">
        <v>43</v>
      </c>
      <c r="AB316" s="0" t="s">
        <v>42</v>
      </c>
      <c r="AC316" s="0" t="s">
        <v>42</v>
      </c>
      <c r="AD316" s="0" t="s">
        <v>43</v>
      </c>
      <c r="AE316" s="2" t="s">
        <v>36</v>
      </c>
    </row>
    <row r="317">
      <c r="A317" s="6" t="s">
        <v>31</v>
      </c>
      <c r="B317" s="7">
        <v>43314</v>
      </c>
      <c r="C317" s="9">
        <f>HYPERLINK("https://www.epingalert.org/en/Search?viewData= G/SPS/N/RUS/153"," G/SPS/N/RUS/153")</f>
      </c>
      <c r="D317" s="8" t="s">
        <v>1611</v>
      </c>
      <c r="E317" s="8" t="s">
        <v>1612</v>
      </c>
      <c r="F317" s="8" t="s">
        <v>1613</v>
      </c>
      <c r="G317" s="8" t="s">
        <v>1614</v>
      </c>
      <c r="H317" s="8" t="s">
        <v>36</v>
      </c>
      <c r="I317" s="8" t="s">
        <v>332</v>
      </c>
      <c r="J317" s="8" t="s">
        <v>1615</v>
      </c>
      <c r="K317" s="6" t="s">
        <v>1616</v>
      </c>
      <c r="L317" s="7" t="s">
        <v>36</v>
      </c>
      <c r="M317" s="6" t="s">
        <v>40</v>
      </c>
      <c r="N317" s="6"/>
      <c r="O317" s="6">
        <f>HYPERLINK("https://docs.wto.org/imrd/directdoc.asp?DDFDocuments/t/G/SPS/NRUS153.DOCX", "https://docs.wto.org/imrd/directdoc.asp?DDFDocuments/t/G/SPS/NRUS153.DOCX")</f>
      </c>
      <c r="P317" s="6">
        <f>HYPERLINK("https://docs.wto.org/imrd/directdoc.asp?DDFDocuments/u/G/SPS/NRUS153.DOCX", "https://docs.wto.org/imrd/directdoc.asp?DDFDocuments/u/G/SPS/NRUS153.DOCX")</f>
      </c>
      <c r="Q317" s="6">
        <f>HYPERLINK("https://docs.wto.org/imrd/directdoc.asp?DDFDocuments/v/G/SPS/NRUS153.DOCX", "https://docs.wto.org/imrd/directdoc.asp?DDFDocuments/v/G/SPS/NRUS153.DOCX")</f>
      </c>
      <c r="R317" s="0" t="s">
        <v>36</v>
      </c>
      <c r="S317" s="0" t="s">
        <v>36</v>
      </c>
      <c r="T317" s="0" t="s">
        <v>36</v>
      </c>
      <c r="U317" s="0" t="s">
        <v>36</v>
      </c>
      <c r="V317" s="0" t="s">
        <v>36</v>
      </c>
      <c r="W317" s="0" t="s">
        <v>36</v>
      </c>
      <c r="X317" s="0" t="s">
        <v>36</v>
      </c>
      <c r="Y317" s="2" t="s">
        <v>36</v>
      </c>
      <c r="Z317" s="0" t="s">
        <v>42</v>
      </c>
      <c r="AA317" s="0" t="s">
        <v>43</v>
      </c>
      <c r="AB317" s="0" t="s">
        <v>42</v>
      </c>
      <c r="AC317" s="0" t="s">
        <v>42</v>
      </c>
      <c r="AD317" s="0" t="s">
        <v>43</v>
      </c>
      <c r="AE317" s="2" t="s">
        <v>36</v>
      </c>
    </row>
    <row r="318">
      <c r="A318" s="6" t="s">
        <v>31</v>
      </c>
      <c r="B318" s="7">
        <v>43312</v>
      </c>
      <c r="C318" s="9">
        <f>HYPERLINK("https://www.epingalert.org/en/Search?viewData= G/SPS/N/RUS/152"," G/SPS/N/RUS/152")</f>
      </c>
      <c r="D318" s="8" t="s">
        <v>1617</v>
      </c>
      <c r="E318" s="8" t="s">
        <v>1618</v>
      </c>
      <c r="F318" s="8" t="s">
        <v>1619</v>
      </c>
      <c r="G318" s="8" t="s">
        <v>36</v>
      </c>
      <c r="H318" s="8" t="s">
        <v>36</v>
      </c>
      <c r="I318" s="8" t="s">
        <v>769</v>
      </c>
      <c r="J318" s="8" t="s">
        <v>1620</v>
      </c>
      <c r="K318" s="6"/>
      <c r="L318" s="7">
        <v>43371</v>
      </c>
      <c r="M318" s="6" t="s">
        <v>51</v>
      </c>
      <c r="N318" s="8" t="s">
        <v>1621</v>
      </c>
      <c r="O318" s="6">
        <f>HYPERLINK("https://docs.wto.org/imrd/directdoc.asp?DDFDocuments/t/G/SPS/NRUS152.DOCX", "https://docs.wto.org/imrd/directdoc.asp?DDFDocuments/t/G/SPS/NRUS152.DOCX")</f>
      </c>
      <c r="P318" s="6">
        <f>HYPERLINK("https://docs.wto.org/imrd/directdoc.asp?DDFDocuments/u/G/SPS/NRUS152.DOCX", "https://docs.wto.org/imrd/directdoc.asp?DDFDocuments/u/G/SPS/NRUS152.DOCX")</f>
      </c>
      <c r="Q318" s="6">
        <f>HYPERLINK("https://docs.wto.org/imrd/directdoc.asp?DDFDocuments/v/G/SPS/NRUS152.DOCX", "https://docs.wto.org/imrd/directdoc.asp?DDFDocuments/v/G/SPS/NRUS152.DOCX")</f>
      </c>
      <c r="R318" s="0" t="s">
        <v>36</v>
      </c>
      <c r="S318" s="0" t="s">
        <v>36</v>
      </c>
      <c r="T318" s="0" t="s">
        <v>36</v>
      </c>
      <c r="U318" s="0" t="s">
        <v>36</v>
      </c>
      <c r="V318" s="0" t="s">
        <v>36</v>
      </c>
      <c r="W318" s="0" t="s">
        <v>36</v>
      </c>
      <c r="X318" s="0" t="s">
        <v>36</v>
      </c>
      <c r="Y318" s="2" t="s">
        <v>36</v>
      </c>
      <c r="Z318" s="0" t="s">
        <v>43</v>
      </c>
      <c r="AA318" s="0" t="s">
        <v>42</v>
      </c>
      <c r="AB318" s="0" t="s">
        <v>42</v>
      </c>
      <c r="AC318" s="0" t="s">
        <v>42</v>
      </c>
      <c r="AD318" s="0" t="s">
        <v>43</v>
      </c>
      <c r="AE318" s="2" t="s">
        <v>36</v>
      </c>
    </row>
    <row r="319">
      <c r="A319" s="6" t="s">
        <v>31</v>
      </c>
      <c r="B319" s="7">
        <v>43285</v>
      </c>
      <c r="C319" s="9">
        <f>HYPERLINK("https://www.epingalert.org/en/Search?viewData= G/SPS/N/RUS/151"," G/SPS/N/RUS/151")</f>
      </c>
      <c r="D319" s="8" t="s">
        <v>1622</v>
      </c>
      <c r="E319" s="8" t="s">
        <v>1623</v>
      </c>
      <c r="F319" s="8" t="s">
        <v>1624</v>
      </c>
      <c r="G319" s="8" t="s">
        <v>1081</v>
      </c>
      <c r="H319" s="8" t="s">
        <v>36</v>
      </c>
      <c r="I319" s="8" t="s">
        <v>65</v>
      </c>
      <c r="J319" s="8" t="s">
        <v>1625</v>
      </c>
      <c r="K319" s="6" t="s">
        <v>1626</v>
      </c>
      <c r="L319" s="7" t="s">
        <v>36</v>
      </c>
      <c r="M319" s="6" t="s">
        <v>40</v>
      </c>
      <c r="N319" s="6"/>
      <c r="O319" s="6">
        <f>HYPERLINK("https://docs.wto.org/imrd/directdoc.asp?DDFDocuments/t/G/SPS/NRUS151.DOCX", "https://docs.wto.org/imrd/directdoc.asp?DDFDocuments/t/G/SPS/NRUS151.DOCX")</f>
      </c>
      <c r="P319" s="6">
        <f>HYPERLINK("https://docs.wto.org/imrd/directdoc.asp?DDFDocuments/u/G/SPS/NRUS151.DOCX", "https://docs.wto.org/imrd/directdoc.asp?DDFDocuments/u/G/SPS/NRUS151.DOCX")</f>
      </c>
      <c r="Q319" s="6">
        <f>HYPERLINK("https://docs.wto.org/imrd/directdoc.asp?DDFDocuments/v/G/SPS/NRUS151.DOCX", "https://docs.wto.org/imrd/directdoc.asp?DDFDocuments/v/G/SPS/NRUS151.DOCX")</f>
      </c>
      <c r="R319" s="0" t="s">
        <v>36</v>
      </c>
      <c r="S319" s="0" t="s">
        <v>36</v>
      </c>
      <c r="T319" s="0" t="s">
        <v>36</v>
      </c>
      <c r="U319" s="0" t="s">
        <v>36</v>
      </c>
      <c r="V319" s="0" t="s">
        <v>36</v>
      </c>
      <c r="W319" s="0" t="s">
        <v>36</v>
      </c>
      <c r="X319" s="0" t="s">
        <v>36</v>
      </c>
      <c r="Y319" s="2" t="s">
        <v>36</v>
      </c>
      <c r="Z319" s="0" t="s">
        <v>42</v>
      </c>
      <c r="AA319" s="0" t="s">
        <v>42</v>
      </c>
      <c r="AB319" s="0" t="s">
        <v>43</v>
      </c>
      <c r="AC319" s="0" t="s">
        <v>42</v>
      </c>
      <c r="AD319" s="0" t="s">
        <v>43</v>
      </c>
      <c r="AE319" s="2" t="s">
        <v>36</v>
      </c>
    </row>
    <row r="320">
      <c r="A320" s="6" t="s">
        <v>31</v>
      </c>
      <c r="B320" s="7">
        <v>43257</v>
      </c>
      <c r="C320" s="9">
        <f>HYPERLINK("https://www.epingalert.org/en/Search?viewData= G/SPS/N/RUS/150"," G/SPS/N/RUS/150")</f>
      </c>
      <c r="D320" s="8" t="s">
        <v>1627</v>
      </c>
      <c r="E320" s="8" t="s">
        <v>1628</v>
      </c>
      <c r="F320" s="8" t="s">
        <v>1629</v>
      </c>
      <c r="G320" s="8" t="s">
        <v>1630</v>
      </c>
      <c r="H320" s="8" t="s">
        <v>36</v>
      </c>
      <c r="I320" s="8" t="s">
        <v>65</v>
      </c>
      <c r="J320" s="8" t="s">
        <v>1631</v>
      </c>
      <c r="K320" s="6"/>
      <c r="L320" s="7">
        <v>43317</v>
      </c>
      <c r="M320" s="6" t="s">
        <v>51</v>
      </c>
      <c r="N320" s="8" t="s">
        <v>1632</v>
      </c>
      <c r="O320" s="6">
        <f>HYPERLINK("https://docs.wto.org/imrd/directdoc.asp?DDFDocuments/t/G/SPS/NRUS150.DOCX", "https://docs.wto.org/imrd/directdoc.asp?DDFDocuments/t/G/SPS/NRUS150.DOCX")</f>
      </c>
      <c r="P320" s="6">
        <f>HYPERLINK("https://docs.wto.org/imrd/directdoc.asp?DDFDocuments/u/G/SPS/NRUS150.DOCX", "https://docs.wto.org/imrd/directdoc.asp?DDFDocuments/u/G/SPS/NRUS150.DOCX")</f>
      </c>
      <c r="Q320" s="6">
        <f>HYPERLINK("https://docs.wto.org/imrd/directdoc.asp?DDFDocuments/v/G/SPS/NRUS150.DOCX", "https://docs.wto.org/imrd/directdoc.asp?DDFDocuments/v/G/SPS/NRUS150.DOCX")</f>
      </c>
      <c r="R320" s="0" t="s">
        <v>36</v>
      </c>
      <c r="S320" s="0" t="s">
        <v>36</v>
      </c>
      <c r="T320" s="0" t="s">
        <v>36</v>
      </c>
      <c r="U320" s="0" t="s">
        <v>36</v>
      </c>
      <c r="V320" s="0" t="s">
        <v>36</v>
      </c>
      <c r="W320" s="0" t="s">
        <v>36</v>
      </c>
      <c r="X320" s="0" t="s">
        <v>36</v>
      </c>
      <c r="Y320" s="2" t="s">
        <v>36</v>
      </c>
      <c r="Z320" s="0" t="s">
        <v>42</v>
      </c>
      <c r="AA320" s="0" t="s">
        <v>42</v>
      </c>
      <c r="AB320" s="0" t="s">
        <v>43</v>
      </c>
      <c r="AC320" s="0" t="s">
        <v>42</v>
      </c>
      <c r="AD320" s="0" t="s">
        <v>43</v>
      </c>
      <c r="AE320" s="2" t="s">
        <v>36</v>
      </c>
    </row>
    <row r="321">
      <c r="A321" s="6" t="s">
        <v>31</v>
      </c>
      <c r="B321" s="7">
        <v>43248</v>
      </c>
      <c r="C321" s="9">
        <f>HYPERLINK("https://www.epingalert.org/en/Search?viewData= G/TBT/N/RUS/87"," G/TBT/N/RUS/87")</f>
      </c>
      <c r="D321" s="8" t="s">
        <v>1633</v>
      </c>
      <c r="E321" s="8" t="s">
        <v>1634</v>
      </c>
      <c r="F321" s="8" t="s">
        <v>1635</v>
      </c>
      <c r="G321" s="8" t="s">
        <v>36</v>
      </c>
      <c r="H321" s="8" t="s">
        <v>1636</v>
      </c>
      <c r="I321" s="8" t="s">
        <v>1637</v>
      </c>
      <c r="J321" s="8" t="s">
        <v>36</v>
      </c>
      <c r="K321" s="6"/>
      <c r="L321" s="7">
        <v>43306</v>
      </c>
      <c r="M321" s="6" t="s">
        <v>51</v>
      </c>
      <c r="N321" s="6"/>
      <c r="O321" s="6">
        <f>HYPERLINK("https://docs.wto.org/imrd/directdoc.asp?DDFDocuments/t/G/TBTN18/RUS87.DOCX", "https://docs.wto.org/imrd/directdoc.asp?DDFDocuments/t/G/TBTN18/RUS87.DOCX")</f>
      </c>
      <c r="P321" s="6">
        <f>HYPERLINK("https://docs.wto.org/imrd/directdoc.asp?DDFDocuments/u/G/TBTN18/RUS87.DOCX", "https://docs.wto.org/imrd/directdoc.asp?DDFDocuments/u/G/TBTN18/RUS87.DOCX")</f>
      </c>
      <c r="Q321" s="6">
        <f>HYPERLINK("https://docs.wto.org/imrd/directdoc.asp?DDFDocuments/v/G/TBTN18/RUS87.DOCX", "https://docs.wto.org/imrd/directdoc.asp?DDFDocuments/v/G/TBTN18/RUS87.DOCX")</f>
      </c>
      <c r="R321" s="0" t="s">
        <v>43</v>
      </c>
      <c r="S321" s="0" t="s">
        <v>42</v>
      </c>
      <c r="T321" s="0" t="s">
        <v>43</v>
      </c>
      <c r="U321" s="0" t="s">
        <v>42</v>
      </c>
      <c r="V321" s="0" t="s">
        <v>42</v>
      </c>
      <c r="W321" s="0" t="s">
        <v>42</v>
      </c>
      <c r="X321" s="0" t="s">
        <v>42</v>
      </c>
      <c r="Y321" s="2" t="s">
        <v>1638</v>
      </c>
      <c r="Z321" s="0" t="s">
        <v>36</v>
      </c>
      <c r="AA321" s="0" t="s">
        <v>36</v>
      </c>
      <c r="AB321" s="0" t="s">
        <v>36</v>
      </c>
      <c r="AC321" s="0" t="s">
        <v>36</v>
      </c>
      <c r="AD321" s="0" t="s">
        <v>36</v>
      </c>
      <c r="AE321" s="2" t="s">
        <v>36</v>
      </c>
    </row>
    <row r="322">
      <c r="A322" s="6" t="s">
        <v>31</v>
      </c>
      <c r="B322" s="7">
        <v>43248</v>
      </c>
      <c r="C322" s="9">
        <f>HYPERLINK("https://www.epingalert.org/en/Search?viewData= G/TBT/N/RUS/88"," G/TBT/N/RUS/88")</f>
      </c>
      <c r="D322" s="8" t="s">
        <v>1639</v>
      </c>
      <c r="E322" s="8" t="s">
        <v>1640</v>
      </c>
      <c r="F322" s="8" t="s">
        <v>1641</v>
      </c>
      <c r="G322" s="8" t="s">
        <v>36</v>
      </c>
      <c r="H322" s="8" t="s">
        <v>1636</v>
      </c>
      <c r="I322" s="8" t="s">
        <v>1637</v>
      </c>
      <c r="J322" s="8" t="s">
        <v>36</v>
      </c>
      <c r="K322" s="6"/>
      <c r="L322" s="7">
        <v>43306</v>
      </c>
      <c r="M322" s="6" t="s">
        <v>51</v>
      </c>
      <c r="N322" s="6"/>
      <c r="O322" s="6">
        <f>HYPERLINK("https://docs.wto.org/imrd/directdoc.asp?DDFDocuments/t/G/TBTN18/RUS88.DOCX", "https://docs.wto.org/imrd/directdoc.asp?DDFDocuments/t/G/TBTN18/RUS88.DOCX")</f>
      </c>
      <c r="P322" s="6">
        <f>HYPERLINK("https://docs.wto.org/imrd/directdoc.asp?DDFDocuments/u/G/TBTN18/RUS88.DOCX", "https://docs.wto.org/imrd/directdoc.asp?DDFDocuments/u/G/TBTN18/RUS88.DOCX")</f>
      </c>
      <c r="Q322" s="6">
        <f>HYPERLINK("https://docs.wto.org/imrd/directdoc.asp?DDFDocuments/v/G/TBTN18/RUS88.DOCX", "https://docs.wto.org/imrd/directdoc.asp?DDFDocuments/v/G/TBTN18/RUS88.DOCX")</f>
      </c>
      <c r="R322" s="0" t="s">
        <v>43</v>
      </c>
      <c r="S322" s="0" t="s">
        <v>42</v>
      </c>
      <c r="T322" s="0" t="s">
        <v>43</v>
      </c>
      <c r="U322" s="0" t="s">
        <v>42</v>
      </c>
      <c r="V322" s="0" t="s">
        <v>42</v>
      </c>
      <c r="W322" s="0" t="s">
        <v>42</v>
      </c>
      <c r="X322" s="0" t="s">
        <v>42</v>
      </c>
      <c r="Y322" s="2" t="s">
        <v>1642</v>
      </c>
      <c r="Z322" s="0" t="s">
        <v>36</v>
      </c>
      <c r="AA322" s="0" t="s">
        <v>36</v>
      </c>
      <c r="AB322" s="0" t="s">
        <v>36</v>
      </c>
      <c r="AC322" s="0" t="s">
        <v>36</v>
      </c>
      <c r="AD322" s="0" t="s">
        <v>36</v>
      </c>
      <c r="AE322" s="2" t="s">
        <v>36</v>
      </c>
    </row>
    <row r="323">
      <c r="A323" s="6" t="s">
        <v>31</v>
      </c>
      <c r="B323" s="7">
        <v>43234</v>
      </c>
      <c r="C323" s="9">
        <f>HYPERLINK("https://www.epingalert.org/en/Search?viewData= G/TBT/N/RUS/86"," G/TBT/N/RUS/86")</f>
      </c>
      <c r="D323" s="8" t="s">
        <v>1643</v>
      </c>
      <c r="E323" s="8" t="s">
        <v>1644</v>
      </c>
      <c r="F323" s="8" t="s">
        <v>1645</v>
      </c>
      <c r="G323" s="8" t="s">
        <v>36</v>
      </c>
      <c r="H323" s="8" t="s">
        <v>1646</v>
      </c>
      <c r="I323" s="8" t="s">
        <v>1647</v>
      </c>
      <c r="J323" s="8" t="s">
        <v>36</v>
      </c>
      <c r="K323" s="6"/>
      <c r="L323" s="7">
        <v>43290</v>
      </c>
      <c r="M323" s="6" t="s">
        <v>51</v>
      </c>
      <c r="N323" s="6"/>
      <c r="O323" s="6">
        <f>HYPERLINK("https://docs.wto.org/imrd/directdoc.asp?DDFDocuments/t/G/TBTN18/RUS86.DOCX", "https://docs.wto.org/imrd/directdoc.asp?DDFDocuments/t/G/TBTN18/RUS86.DOCX")</f>
      </c>
      <c r="P323" s="6">
        <f>HYPERLINK("https://docs.wto.org/imrd/directdoc.asp?DDFDocuments/u/G/TBTN18/RUS86.DOCX", "https://docs.wto.org/imrd/directdoc.asp?DDFDocuments/u/G/TBTN18/RUS86.DOCX")</f>
      </c>
      <c r="Q323" s="6">
        <f>HYPERLINK("https://docs.wto.org/imrd/directdoc.asp?DDFDocuments/v/G/TBTN18/RUS86.DOCX", "https://docs.wto.org/imrd/directdoc.asp?DDFDocuments/v/G/TBTN18/RUS86.DOCX")</f>
      </c>
      <c r="R323" s="0" t="s">
        <v>43</v>
      </c>
      <c r="S323" s="0" t="s">
        <v>42</v>
      </c>
      <c r="T323" s="0" t="s">
        <v>42</v>
      </c>
      <c r="U323" s="0" t="s">
        <v>42</v>
      </c>
      <c r="V323" s="0" t="s">
        <v>42</v>
      </c>
      <c r="W323" s="0" t="s">
        <v>42</v>
      </c>
      <c r="X323" s="0" t="s">
        <v>42</v>
      </c>
      <c r="Y323" s="2" t="s">
        <v>1648</v>
      </c>
      <c r="Z323" s="0" t="s">
        <v>36</v>
      </c>
      <c r="AA323" s="0" t="s">
        <v>36</v>
      </c>
      <c r="AB323" s="0" t="s">
        <v>36</v>
      </c>
      <c r="AC323" s="0" t="s">
        <v>36</v>
      </c>
      <c r="AD323" s="0" t="s">
        <v>36</v>
      </c>
      <c r="AE323" s="2" t="s">
        <v>36</v>
      </c>
    </row>
    <row r="324">
      <c r="A324" s="6" t="s">
        <v>31</v>
      </c>
      <c r="B324" s="7">
        <v>43214</v>
      </c>
      <c r="C324" s="9">
        <f>HYPERLINK("https://www.epingalert.org/en/Search?viewData= G/SPS/N/RUS/140/Add.1"," G/SPS/N/RUS/140/Add.1")</f>
      </c>
      <c r="D324" s="8" t="s">
        <v>1649</v>
      </c>
      <c r="E324" s="8" t="s">
        <v>1650</v>
      </c>
      <c r="F324" s="8"/>
      <c r="G324" s="8" t="s">
        <v>1651</v>
      </c>
      <c r="H324" s="8" t="s">
        <v>36</v>
      </c>
      <c r="I324" s="8" t="s">
        <v>65</v>
      </c>
      <c r="J324" s="8" t="s">
        <v>1652</v>
      </c>
      <c r="K324" s="6"/>
      <c r="L324" s="7" t="s">
        <v>36</v>
      </c>
      <c r="M324" s="6" t="s">
        <v>1211</v>
      </c>
      <c r="N324" s="6"/>
      <c r="O324" s="6">
        <f>HYPERLINK("https://docs.wto.org/imrd/directdoc.asp?DDFDocuments/t/G/SPS/NRUS140A1.DOCX", "https://docs.wto.org/imrd/directdoc.asp?DDFDocuments/t/G/SPS/NRUS140A1.DOCX")</f>
      </c>
      <c r="P324" s="6">
        <f>HYPERLINK("https://docs.wto.org/imrd/directdoc.asp?DDFDocuments/u/G/SPS/NRUS140A1.DOCX", "https://docs.wto.org/imrd/directdoc.asp?DDFDocuments/u/G/SPS/NRUS140A1.DOCX")</f>
      </c>
      <c r="Q324" s="6">
        <f>HYPERLINK("https://docs.wto.org/imrd/directdoc.asp?DDFDocuments/v/G/SPS/NRUS140A1.DOCX", "https://docs.wto.org/imrd/directdoc.asp?DDFDocuments/v/G/SPS/NRUS140A1.DOCX")</f>
      </c>
      <c r="R324" s="0" t="s">
        <v>36</v>
      </c>
      <c r="S324" s="0" t="s">
        <v>36</v>
      </c>
      <c r="T324" s="0" t="s">
        <v>36</v>
      </c>
      <c r="U324" s="0" t="s">
        <v>36</v>
      </c>
      <c r="V324" s="0" t="s">
        <v>36</v>
      </c>
      <c r="W324" s="0" t="s">
        <v>36</v>
      </c>
      <c r="X324" s="0" t="s">
        <v>36</v>
      </c>
      <c r="Y324" s="2" t="s">
        <v>36</v>
      </c>
      <c r="Z324" s="0" t="s">
        <v>36</v>
      </c>
      <c r="AA324" s="0" t="s">
        <v>36</v>
      </c>
      <c r="AB324" s="0" t="s">
        <v>36</v>
      </c>
      <c r="AC324" s="0" t="s">
        <v>36</v>
      </c>
      <c r="AD324" s="0" t="s">
        <v>36</v>
      </c>
      <c r="AE324" s="2" t="s">
        <v>36</v>
      </c>
    </row>
    <row r="325">
      <c r="A325" s="6" t="s">
        <v>31</v>
      </c>
      <c r="B325" s="7">
        <v>43214</v>
      </c>
      <c r="C325" s="9">
        <f>HYPERLINK("https://www.epingalert.org/en/Search?viewData= G/SPS/N/RUS/149"," G/SPS/N/RUS/149")</f>
      </c>
      <c r="D325" s="8" t="s">
        <v>1653</v>
      </c>
      <c r="E325" s="8" t="s">
        <v>1654</v>
      </c>
      <c r="F325" s="8" t="s">
        <v>220</v>
      </c>
      <c r="G325" s="8" t="s">
        <v>1655</v>
      </c>
      <c r="H325" s="8" t="s">
        <v>36</v>
      </c>
      <c r="I325" s="8" t="s">
        <v>97</v>
      </c>
      <c r="J325" s="8" t="s">
        <v>1562</v>
      </c>
      <c r="K325" s="6"/>
      <c r="L325" s="7">
        <v>43274</v>
      </c>
      <c r="M325" s="6" t="s">
        <v>51</v>
      </c>
      <c r="N325" s="8" t="s">
        <v>1656</v>
      </c>
      <c r="O325" s="6">
        <f>HYPERLINK("https://docs.wto.org/imrd/directdoc.asp?DDFDocuments/t/G/SPS/NRUS149.DOCX", "https://docs.wto.org/imrd/directdoc.asp?DDFDocuments/t/G/SPS/NRUS149.DOCX")</f>
      </c>
      <c r="P325" s="6">
        <f>HYPERLINK("https://docs.wto.org/imrd/directdoc.asp?DDFDocuments/u/G/SPS/NRUS149.DOCX", "https://docs.wto.org/imrd/directdoc.asp?DDFDocuments/u/G/SPS/NRUS149.DOCX")</f>
      </c>
      <c r="Q325" s="6">
        <f>HYPERLINK("https://docs.wto.org/imrd/directdoc.asp?DDFDocuments/v/G/SPS/NRUS149.DOCX", "https://docs.wto.org/imrd/directdoc.asp?DDFDocuments/v/G/SPS/NRUS149.DOCX")</f>
      </c>
      <c r="R325" s="0" t="s">
        <v>36</v>
      </c>
      <c r="S325" s="0" t="s">
        <v>36</v>
      </c>
      <c r="T325" s="0" t="s">
        <v>36</v>
      </c>
      <c r="U325" s="0" t="s">
        <v>36</v>
      </c>
      <c r="V325" s="0" t="s">
        <v>36</v>
      </c>
      <c r="W325" s="0" t="s">
        <v>36</v>
      </c>
      <c r="X325" s="0" t="s">
        <v>36</v>
      </c>
      <c r="Y325" s="2" t="s">
        <v>36</v>
      </c>
      <c r="Z325" s="0" t="s">
        <v>42</v>
      </c>
      <c r="AA325" s="0" t="s">
        <v>43</v>
      </c>
      <c r="AB325" s="0" t="s">
        <v>42</v>
      </c>
      <c r="AC325" s="0" t="s">
        <v>42</v>
      </c>
      <c r="AD325" s="0" t="s">
        <v>43</v>
      </c>
      <c r="AE325" s="2" t="s">
        <v>36</v>
      </c>
    </row>
    <row r="326">
      <c r="A326" s="6" t="s">
        <v>31</v>
      </c>
      <c r="B326" s="7">
        <v>43182</v>
      </c>
      <c r="C326" s="9">
        <f>HYPERLINK("https://www.epingalert.org/en/Search?viewData= G/SPS/N/RUS/148"," G/SPS/N/RUS/148")</f>
      </c>
      <c r="D326" s="8" t="s">
        <v>1657</v>
      </c>
      <c r="E326" s="8" t="s">
        <v>1658</v>
      </c>
      <c r="F326" s="8" t="s">
        <v>408</v>
      </c>
      <c r="G326" s="8" t="s">
        <v>1659</v>
      </c>
      <c r="H326" s="8" t="s">
        <v>36</v>
      </c>
      <c r="I326" s="8" t="s">
        <v>65</v>
      </c>
      <c r="J326" s="8" t="s">
        <v>1660</v>
      </c>
      <c r="K326" s="6"/>
      <c r="L326" s="7">
        <v>43242</v>
      </c>
      <c r="M326" s="6" t="s">
        <v>51</v>
      </c>
      <c r="N326" s="8" t="s">
        <v>1661</v>
      </c>
      <c r="O326" s="6">
        <f>HYPERLINK("https://docs.wto.org/imrd/directdoc.asp?DDFDocuments/t/G/SPS/NRUS148.DOCX", "https://docs.wto.org/imrd/directdoc.asp?DDFDocuments/t/G/SPS/NRUS148.DOCX")</f>
      </c>
      <c r="P326" s="6">
        <f>HYPERLINK("https://docs.wto.org/imrd/directdoc.asp?DDFDocuments/u/G/SPS/NRUS148.DOCX", "https://docs.wto.org/imrd/directdoc.asp?DDFDocuments/u/G/SPS/NRUS148.DOCX")</f>
      </c>
      <c r="Q326" s="6">
        <f>HYPERLINK("https://docs.wto.org/imrd/directdoc.asp?DDFDocuments/v/G/SPS/NRUS148.DOCX", "https://docs.wto.org/imrd/directdoc.asp?DDFDocuments/v/G/SPS/NRUS148.DOCX")</f>
      </c>
      <c r="R326" s="0" t="s">
        <v>36</v>
      </c>
      <c r="S326" s="0" t="s">
        <v>36</v>
      </c>
      <c r="T326" s="0" t="s">
        <v>36</v>
      </c>
      <c r="U326" s="0" t="s">
        <v>36</v>
      </c>
      <c r="V326" s="0" t="s">
        <v>36</v>
      </c>
      <c r="W326" s="0" t="s">
        <v>36</v>
      </c>
      <c r="X326" s="0" t="s">
        <v>36</v>
      </c>
      <c r="Y326" s="2" t="s">
        <v>36</v>
      </c>
      <c r="Z326" s="0" t="s">
        <v>42</v>
      </c>
      <c r="AA326" s="0" t="s">
        <v>42</v>
      </c>
      <c r="AB326" s="0" t="s">
        <v>43</v>
      </c>
      <c r="AC326" s="0" t="s">
        <v>42</v>
      </c>
      <c r="AD326" s="0" t="s">
        <v>43</v>
      </c>
      <c r="AE326" s="2" t="s">
        <v>36</v>
      </c>
    </row>
    <row r="327">
      <c r="A327" s="6" t="s">
        <v>31</v>
      </c>
      <c r="B327" s="7">
        <v>43182</v>
      </c>
      <c r="C327" s="9">
        <f>HYPERLINK("https://www.epingalert.org/en/Search?viewData= G/SPS/N/RUS/131/Add.1"," G/SPS/N/RUS/131/Add.1")</f>
      </c>
      <c r="D327" s="8" t="s">
        <v>1662</v>
      </c>
      <c r="E327" s="8" t="s">
        <v>1663</v>
      </c>
      <c r="F327" s="8"/>
      <c r="G327" s="8" t="s">
        <v>1664</v>
      </c>
      <c r="H327" s="8" t="s">
        <v>36</v>
      </c>
      <c r="I327" s="8" t="s">
        <v>65</v>
      </c>
      <c r="J327" s="8" t="s">
        <v>1652</v>
      </c>
      <c r="K327" s="6"/>
      <c r="L327" s="7" t="s">
        <v>36</v>
      </c>
      <c r="M327" s="6" t="s">
        <v>1211</v>
      </c>
      <c r="N327" s="6"/>
      <c r="O327" s="6">
        <f>HYPERLINK("https://docs.wto.org/imrd/directdoc.asp?DDFDocuments/t/G/SPS/NRUS131A1.DOCX", "https://docs.wto.org/imrd/directdoc.asp?DDFDocuments/t/G/SPS/NRUS131A1.DOCX")</f>
      </c>
      <c r="P327" s="6">
        <f>HYPERLINK("https://docs.wto.org/imrd/directdoc.asp?DDFDocuments/u/G/SPS/NRUS131A1.DOCX", "https://docs.wto.org/imrd/directdoc.asp?DDFDocuments/u/G/SPS/NRUS131A1.DOCX")</f>
      </c>
      <c r="Q327" s="6">
        <f>HYPERLINK("https://docs.wto.org/imrd/directdoc.asp?DDFDocuments/v/G/SPS/NRUS131A1.DOCX", "https://docs.wto.org/imrd/directdoc.asp?DDFDocuments/v/G/SPS/NRUS131A1.DOCX")</f>
      </c>
      <c r="R327" s="0" t="s">
        <v>36</v>
      </c>
      <c r="S327" s="0" t="s">
        <v>36</v>
      </c>
      <c r="T327" s="0" t="s">
        <v>36</v>
      </c>
      <c r="U327" s="0" t="s">
        <v>36</v>
      </c>
      <c r="V327" s="0" t="s">
        <v>36</v>
      </c>
      <c r="W327" s="0" t="s">
        <v>36</v>
      </c>
      <c r="X327" s="0" t="s">
        <v>36</v>
      </c>
      <c r="Y327" s="2" t="s">
        <v>36</v>
      </c>
      <c r="Z327" s="0" t="s">
        <v>36</v>
      </c>
      <c r="AA327" s="0" t="s">
        <v>36</v>
      </c>
      <c r="AB327" s="0" t="s">
        <v>36</v>
      </c>
      <c r="AC327" s="0" t="s">
        <v>36</v>
      </c>
      <c r="AD327" s="0" t="s">
        <v>36</v>
      </c>
      <c r="AE327" s="2" t="s">
        <v>36</v>
      </c>
    </row>
    <row r="328">
      <c r="A328" s="6" t="s">
        <v>31</v>
      </c>
      <c r="B328" s="7">
        <v>43144</v>
      </c>
      <c r="C328" s="9">
        <f>HYPERLINK("https://www.epingalert.org/en/Search?viewData= G/SPS/N/RUS/147"," G/SPS/N/RUS/147")</f>
      </c>
      <c r="D328" s="8" t="s">
        <v>1558</v>
      </c>
      <c r="E328" s="8" t="s">
        <v>1665</v>
      </c>
      <c r="F328" s="8" t="s">
        <v>220</v>
      </c>
      <c r="G328" s="8" t="s">
        <v>1666</v>
      </c>
      <c r="H328" s="8" t="s">
        <v>36</v>
      </c>
      <c r="I328" s="8" t="s">
        <v>37</v>
      </c>
      <c r="J328" s="8" t="s">
        <v>157</v>
      </c>
      <c r="K328" s="6"/>
      <c r="L328" s="7">
        <v>43204</v>
      </c>
      <c r="M328" s="6" t="s">
        <v>51</v>
      </c>
      <c r="N328" s="8" t="s">
        <v>1667</v>
      </c>
      <c r="O328" s="6">
        <f>HYPERLINK("https://docs.wto.org/imrd/directdoc.asp?DDFDocuments/t/G/SPS/NRUS147.DOCX", "https://docs.wto.org/imrd/directdoc.asp?DDFDocuments/t/G/SPS/NRUS147.DOCX")</f>
      </c>
      <c r="P328" s="6">
        <f>HYPERLINK("https://docs.wto.org/imrd/directdoc.asp?DDFDocuments/u/G/SPS/NRUS147.DOCX", "https://docs.wto.org/imrd/directdoc.asp?DDFDocuments/u/G/SPS/NRUS147.DOCX")</f>
      </c>
      <c r="Q328" s="6">
        <f>HYPERLINK("https://docs.wto.org/imrd/directdoc.asp?DDFDocuments/v/G/SPS/NRUS147.DOCX", "https://docs.wto.org/imrd/directdoc.asp?DDFDocuments/v/G/SPS/NRUS147.DOCX")</f>
      </c>
      <c r="R328" s="0" t="s">
        <v>36</v>
      </c>
      <c r="S328" s="0" t="s">
        <v>36</v>
      </c>
      <c r="T328" s="0" t="s">
        <v>36</v>
      </c>
      <c r="U328" s="0" t="s">
        <v>36</v>
      </c>
      <c r="V328" s="0" t="s">
        <v>36</v>
      </c>
      <c r="W328" s="0" t="s">
        <v>36</v>
      </c>
      <c r="X328" s="0" t="s">
        <v>36</v>
      </c>
      <c r="Y328" s="2" t="s">
        <v>36</v>
      </c>
      <c r="Z328" s="0" t="s">
        <v>42</v>
      </c>
      <c r="AA328" s="0" t="s">
        <v>43</v>
      </c>
      <c r="AB328" s="0" t="s">
        <v>42</v>
      </c>
      <c r="AC328" s="0" t="s">
        <v>42</v>
      </c>
      <c r="AD328" s="0" t="s">
        <v>43</v>
      </c>
      <c r="AE328" s="2" t="s">
        <v>36</v>
      </c>
    </row>
    <row r="329">
      <c r="A329" s="6" t="s">
        <v>31</v>
      </c>
      <c r="B329" s="7">
        <v>43088</v>
      </c>
      <c r="C329" s="9">
        <f>HYPERLINK("https://www.epingalert.org/en/Search?viewData= G/SPS/N/RUS/142/Add.1"," G/SPS/N/RUS/142/Add.1")</f>
      </c>
      <c r="D329" s="8" t="s">
        <v>1668</v>
      </c>
      <c r="E329" s="8" t="s">
        <v>1669</v>
      </c>
      <c r="F329" s="8"/>
      <c r="G329" s="8" t="s">
        <v>1670</v>
      </c>
      <c r="H329" s="8" t="s">
        <v>36</v>
      </c>
      <c r="I329" s="8" t="s">
        <v>37</v>
      </c>
      <c r="J329" s="8" t="s">
        <v>1671</v>
      </c>
      <c r="K329" s="6"/>
      <c r="L329" s="7" t="s">
        <v>36</v>
      </c>
      <c r="M329" s="6" t="s">
        <v>179</v>
      </c>
      <c r="N329" s="6"/>
      <c r="O329" s="6">
        <f>HYPERLINK("https://docs.wto.org/imrd/directdoc.asp?DDFDocuments/t/G/SPS/NRUS142A1.DOCX", "https://docs.wto.org/imrd/directdoc.asp?DDFDocuments/t/G/SPS/NRUS142A1.DOCX")</f>
      </c>
      <c r="P329" s="6">
        <f>HYPERLINK("https://docs.wto.org/imrd/directdoc.asp?DDFDocuments/u/G/SPS/NRUS142A1.DOCX", "https://docs.wto.org/imrd/directdoc.asp?DDFDocuments/u/G/SPS/NRUS142A1.DOCX")</f>
      </c>
      <c r="Q329" s="6">
        <f>HYPERLINK("https://docs.wto.org/imrd/directdoc.asp?DDFDocuments/v/G/SPS/NRUS142A1.DOCX", "https://docs.wto.org/imrd/directdoc.asp?DDFDocuments/v/G/SPS/NRUS142A1.DOCX")</f>
      </c>
      <c r="R329" s="0" t="s">
        <v>36</v>
      </c>
      <c r="S329" s="0" t="s">
        <v>36</v>
      </c>
      <c r="T329" s="0" t="s">
        <v>36</v>
      </c>
      <c r="U329" s="0" t="s">
        <v>36</v>
      </c>
      <c r="V329" s="0" t="s">
        <v>36</v>
      </c>
      <c r="W329" s="0" t="s">
        <v>36</v>
      </c>
      <c r="X329" s="0" t="s">
        <v>36</v>
      </c>
      <c r="Y329" s="2" t="s">
        <v>36</v>
      </c>
      <c r="Z329" s="0" t="s">
        <v>36</v>
      </c>
      <c r="AA329" s="0" t="s">
        <v>36</v>
      </c>
      <c r="AB329" s="0" t="s">
        <v>36</v>
      </c>
      <c r="AC329" s="0" t="s">
        <v>36</v>
      </c>
      <c r="AD329" s="0" t="s">
        <v>36</v>
      </c>
      <c r="AE329" s="2" t="s">
        <v>36</v>
      </c>
    </row>
    <row r="330">
      <c r="A330" s="6" t="s">
        <v>31</v>
      </c>
      <c r="B330" s="7">
        <v>43088</v>
      </c>
      <c r="C330" s="9">
        <f>HYPERLINK("https://www.epingalert.org/en/Search?viewData= G/SPS/N/RUS/48/Add.3"," G/SPS/N/RUS/48/Add.3")</f>
      </c>
      <c r="D330" s="8" t="s">
        <v>1668</v>
      </c>
      <c r="E330" s="8" t="s">
        <v>1672</v>
      </c>
      <c r="F330" s="8"/>
      <c r="G330" s="8" t="s">
        <v>1673</v>
      </c>
      <c r="H330" s="8" t="s">
        <v>36</v>
      </c>
      <c r="I330" s="8" t="s">
        <v>475</v>
      </c>
      <c r="J330" s="8" t="s">
        <v>1671</v>
      </c>
      <c r="K330" s="6"/>
      <c r="L330" s="7" t="s">
        <v>36</v>
      </c>
      <c r="M330" s="6" t="s">
        <v>179</v>
      </c>
      <c r="N330" s="6"/>
      <c r="O330" s="6">
        <f>HYPERLINK("https://docs.wto.org/imrd/directdoc.asp?DDFDocuments/t/G/SPS/NRUS48A3.DOCX", "https://docs.wto.org/imrd/directdoc.asp?DDFDocuments/t/G/SPS/NRUS48A3.DOCX")</f>
      </c>
      <c r="P330" s="6">
        <f>HYPERLINK("https://docs.wto.org/imrd/directdoc.asp?DDFDocuments/u/G/SPS/NRUS48A3.DOCX", "https://docs.wto.org/imrd/directdoc.asp?DDFDocuments/u/G/SPS/NRUS48A3.DOCX")</f>
      </c>
      <c r="Q330" s="6">
        <f>HYPERLINK("https://docs.wto.org/imrd/directdoc.asp?DDFDocuments/v/G/SPS/NRUS48A3.DOCX", "https://docs.wto.org/imrd/directdoc.asp?DDFDocuments/v/G/SPS/NRUS48A3.DOCX")</f>
      </c>
      <c r="R330" s="0" t="s">
        <v>36</v>
      </c>
      <c r="S330" s="0" t="s">
        <v>36</v>
      </c>
      <c r="T330" s="0" t="s">
        <v>36</v>
      </c>
      <c r="U330" s="0" t="s">
        <v>36</v>
      </c>
      <c r="V330" s="0" t="s">
        <v>36</v>
      </c>
      <c r="W330" s="0" t="s">
        <v>36</v>
      </c>
      <c r="X330" s="0" t="s">
        <v>36</v>
      </c>
      <c r="Y330" s="2" t="s">
        <v>36</v>
      </c>
      <c r="Z330" s="0" t="s">
        <v>36</v>
      </c>
      <c r="AA330" s="0" t="s">
        <v>36</v>
      </c>
      <c r="AB330" s="0" t="s">
        <v>36</v>
      </c>
      <c r="AC330" s="0" t="s">
        <v>36</v>
      </c>
      <c r="AD330" s="0" t="s">
        <v>36</v>
      </c>
      <c r="AE330" s="2" t="s">
        <v>36</v>
      </c>
    </row>
    <row r="331">
      <c r="A331" s="6" t="s">
        <v>31</v>
      </c>
      <c r="B331" s="7">
        <v>43088</v>
      </c>
      <c r="C331" s="9">
        <f>HYPERLINK("https://www.epingalert.org/en/Search?viewData= G/SPS/N/RUS/76/Add.1"," G/SPS/N/RUS/76/Add.1")</f>
      </c>
      <c r="D331" s="8" t="s">
        <v>1668</v>
      </c>
      <c r="E331" s="8" t="s">
        <v>1674</v>
      </c>
      <c r="F331" s="8"/>
      <c r="G331" s="8" t="s">
        <v>1675</v>
      </c>
      <c r="H331" s="8" t="s">
        <v>36</v>
      </c>
      <c r="I331" s="8" t="s">
        <v>332</v>
      </c>
      <c r="J331" s="8" t="s">
        <v>1671</v>
      </c>
      <c r="K331" s="6"/>
      <c r="L331" s="7" t="s">
        <v>36</v>
      </c>
      <c r="M331" s="6" t="s">
        <v>179</v>
      </c>
      <c r="N331" s="6"/>
      <c r="O331" s="6">
        <f>HYPERLINK("https://docs.wto.org/imrd/directdoc.asp?DDFDocuments/t/G/SPS/NRUS76A1.DOCX", "https://docs.wto.org/imrd/directdoc.asp?DDFDocuments/t/G/SPS/NRUS76A1.DOCX")</f>
      </c>
      <c r="P331" s="6">
        <f>HYPERLINK("https://docs.wto.org/imrd/directdoc.asp?DDFDocuments/u/G/SPS/NRUS76A1.DOCX", "https://docs.wto.org/imrd/directdoc.asp?DDFDocuments/u/G/SPS/NRUS76A1.DOCX")</f>
      </c>
      <c r="Q331" s="6">
        <f>HYPERLINK("https://docs.wto.org/imrd/directdoc.asp?DDFDocuments/v/G/SPS/NRUS76A1.DOCX", "https://docs.wto.org/imrd/directdoc.asp?DDFDocuments/v/G/SPS/NRUS76A1.DOCX")</f>
      </c>
      <c r="R331" s="0" t="s">
        <v>36</v>
      </c>
      <c r="S331" s="0" t="s">
        <v>36</v>
      </c>
      <c r="T331" s="0" t="s">
        <v>36</v>
      </c>
      <c r="U331" s="0" t="s">
        <v>36</v>
      </c>
      <c r="V331" s="0" t="s">
        <v>36</v>
      </c>
      <c r="W331" s="0" t="s">
        <v>36</v>
      </c>
      <c r="X331" s="0" t="s">
        <v>36</v>
      </c>
      <c r="Y331" s="2" t="s">
        <v>36</v>
      </c>
      <c r="Z331" s="0" t="s">
        <v>36</v>
      </c>
      <c r="AA331" s="0" t="s">
        <v>36</v>
      </c>
      <c r="AB331" s="0" t="s">
        <v>36</v>
      </c>
      <c r="AC331" s="0" t="s">
        <v>36</v>
      </c>
      <c r="AD331" s="0" t="s">
        <v>36</v>
      </c>
      <c r="AE331" s="2" t="s">
        <v>36</v>
      </c>
    </row>
    <row r="332">
      <c r="A332" s="6" t="s">
        <v>31</v>
      </c>
      <c r="B332" s="7">
        <v>43088</v>
      </c>
      <c r="C332" s="9">
        <f>HYPERLINK("https://www.epingalert.org/en/Search?viewData= G/SPS/N/RUS/64/Add.1"," G/SPS/N/RUS/64/Add.1")</f>
      </c>
      <c r="D332" s="8" t="s">
        <v>1668</v>
      </c>
      <c r="E332" s="8" t="s">
        <v>1676</v>
      </c>
      <c r="F332" s="8"/>
      <c r="G332" s="8" t="s">
        <v>1673</v>
      </c>
      <c r="H332" s="8" t="s">
        <v>36</v>
      </c>
      <c r="I332" s="8" t="s">
        <v>332</v>
      </c>
      <c r="J332" s="8" t="s">
        <v>1671</v>
      </c>
      <c r="K332" s="6"/>
      <c r="L332" s="7" t="s">
        <v>36</v>
      </c>
      <c r="M332" s="6" t="s">
        <v>179</v>
      </c>
      <c r="N332" s="6"/>
      <c r="O332" s="6">
        <f>HYPERLINK("https://docs.wto.org/imrd/directdoc.asp?DDFDocuments/t/G/SPS/NRUS64A1.DOCX", "https://docs.wto.org/imrd/directdoc.asp?DDFDocuments/t/G/SPS/NRUS64A1.DOCX")</f>
      </c>
      <c r="P332" s="6">
        <f>HYPERLINK("https://docs.wto.org/imrd/directdoc.asp?DDFDocuments/u/G/SPS/NRUS64A1.DOCX", "https://docs.wto.org/imrd/directdoc.asp?DDFDocuments/u/G/SPS/NRUS64A1.DOCX")</f>
      </c>
      <c r="Q332" s="6">
        <f>HYPERLINK("https://docs.wto.org/imrd/directdoc.asp?DDFDocuments/v/G/SPS/NRUS64A1.DOCX", "https://docs.wto.org/imrd/directdoc.asp?DDFDocuments/v/G/SPS/NRUS64A1.DOCX")</f>
      </c>
      <c r="R332" s="0" t="s">
        <v>36</v>
      </c>
      <c r="S332" s="0" t="s">
        <v>36</v>
      </c>
      <c r="T332" s="0" t="s">
        <v>36</v>
      </c>
      <c r="U332" s="0" t="s">
        <v>36</v>
      </c>
      <c r="V332" s="0" t="s">
        <v>36</v>
      </c>
      <c r="W332" s="0" t="s">
        <v>36</v>
      </c>
      <c r="X332" s="0" t="s">
        <v>36</v>
      </c>
      <c r="Y332" s="2" t="s">
        <v>36</v>
      </c>
      <c r="Z332" s="0" t="s">
        <v>36</v>
      </c>
      <c r="AA332" s="0" t="s">
        <v>36</v>
      </c>
      <c r="AB332" s="0" t="s">
        <v>36</v>
      </c>
      <c r="AC332" s="0" t="s">
        <v>36</v>
      </c>
      <c r="AD332" s="0" t="s">
        <v>36</v>
      </c>
      <c r="AE332" s="2" t="s">
        <v>36</v>
      </c>
    </row>
    <row r="333">
      <c r="A333" s="6" t="s">
        <v>31</v>
      </c>
      <c r="B333" s="7">
        <v>43088</v>
      </c>
      <c r="C333" s="9">
        <f>HYPERLINK("https://www.epingalert.org/en/Search?viewData= G/SPS/N/RUS/143/Add.1"," G/SPS/N/RUS/143/Add.1")</f>
      </c>
      <c r="D333" s="8" t="s">
        <v>1668</v>
      </c>
      <c r="E333" s="8" t="s">
        <v>1677</v>
      </c>
      <c r="F333" s="8"/>
      <c r="G333" s="8" t="s">
        <v>1678</v>
      </c>
      <c r="H333" s="8" t="s">
        <v>36</v>
      </c>
      <c r="I333" s="8" t="s">
        <v>37</v>
      </c>
      <c r="J333" s="8" t="s">
        <v>1679</v>
      </c>
      <c r="K333" s="6"/>
      <c r="L333" s="7" t="s">
        <v>36</v>
      </c>
      <c r="M333" s="6" t="s">
        <v>179</v>
      </c>
      <c r="N333" s="6"/>
      <c r="O333" s="6">
        <f>HYPERLINK("https://docs.wto.org/imrd/directdoc.asp?DDFDocuments/t/G/SPS/NRUS143A1.DOCX", "https://docs.wto.org/imrd/directdoc.asp?DDFDocuments/t/G/SPS/NRUS143A1.DOCX")</f>
      </c>
      <c r="P333" s="6">
        <f>HYPERLINK("https://docs.wto.org/imrd/directdoc.asp?DDFDocuments/u/G/SPS/NRUS143A1.DOCX", "https://docs.wto.org/imrd/directdoc.asp?DDFDocuments/u/G/SPS/NRUS143A1.DOCX")</f>
      </c>
      <c r="Q333" s="6">
        <f>HYPERLINK("https://docs.wto.org/imrd/directdoc.asp?DDFDocuments/v/G/SPS/NRUS143A1.DOCX", "https://docs.wto.org/imrd/directdoc.asp?DDFDocuments/v/G/SPS/NRUS143A1.DOCX")</f>
      </c>
      <c r="R333" s="0" t="s">
        <v>36</v>
      </c>
      <c r="S333" s="0" t="s">
        <v>36</v>
      </c>
      <c r="T333" s="0" t="s">
        <v>36</v>
      </c>
      <c r="U333" s="0" t="s">
        <v>36</v>
      </c>
      <c r="V333" s="0" t="s">
        <v>36</v>
      </c>
      <c r="W333" s="0" t="s">
        <v>36</v>
      </c>
      <c r="X333" s="0" t="s">
        <v>36</v>
      </c>
      <c r="Y333" s="2" t="s">
        <v>36</v>
      </c>
      <c r="Z333" s="0" t="s">
        <v>36</v>
      </c>
      <c r="AA333" s="0" t="s">
        <v>36</v>
      </c>
      <c r="AB333" s="0" t="s">
        <v>36</v>
      </c>
      <c r="AC333" s="0" t="s">
        <v>36</v>
      </c>
      <c r="AD333" s="0" t="s">
        <v>36</v>
      </c>
      <c r="AE333" s="2" t="s">
        <v>36</v>
      </c>
    </row>
    <row r="334">
      <c r="A334" s="6" t="s">
        <v>31</v>
      </c>
      <c r="B334" s="7">
        <v>43088</v>
      </c>
      <c r="C334" s="9">
        <f>HYPERLINK("https://www.epingalert.org/en/Search?viewData= G/SPS/N/RUS/49/Add.2"," G/SPS/N/RUS/49/Add.2")</f>
      </c>
      <c r="D334" s="8" t="s">
        <v>1668</v>
      </c>
      <c r="E334" s="8" t="s">
        <v>1680</v>
      </c>
      <c r="F334" s="8"/>
      <c r="G334" s="8" t="s">
        <v>1673</v>
      </c>
      <c r="H334" s="8" t="s">
        <v>36</v>
      </c>
      <c r="I334" s="8" t="s">
        <v>475</v>
      </c>
      <c r="J334" s="8" t="s">
        <v>1681</v>
      </c>
      <c r="K334" s="6"/>
      <c r="L334" s="7" t="s">
        <v>36</v>
      </c>
      <c r="M334" s="6" t="s">
        <v>179</v>
      </c>
      <c r="N334" s="6"/>
      <c r="O334" s="6">
        <f>HYPERLINK("https://docs.wto.org/imrd/directdoc.asp?DDFDocuments/t/G/SPS/NRUS49A2.DOCX", "https://docs.wto.org/imrd/directdoc.asp?DDFDocuments/t/G/SPS/NRUS49A2.DOCX")</f>
      </c>
      <c r="P334" s="6">
        <f>HYPERLINK("https://docs.wto.org/imrd/directdoc.asp?DDFDocuments/u/G/SPS/NRUS49A2.DOCX", "https://docs.wto.org/imrd/directdoc.asp?DDFDocuments/u/G/SPS/NRUS49A2.DOCX")</f>
      </c>
      <c r="Q334" s="6">
        <f>HYPERLINK("https://docs.wto.org/imrd/directdoc.asp?DDFDocuments/v/G/SPS/NRUS49A2.DOCX", "https://docs.wto.org/imrd/directdoc.asp?DDFDocuments/v/G/SPS/NRUS49A2.DOCX")</f>
      </c>
      <c r="R334" s="0" t="s">
        <v>36</v>
      </c>
      <c r="S334" s="0" t="s">
        <v>36</v>
      </c>
      <c r="T334" s="0" t="s">
        <v>36</v>
      </c>
      <c r="U334" s="0" t="s">
        <v>36</v>
      </c>
      <c r="V334" s="0" t="s">
        <v>36</v>
      </c>
      <c r="W334" s="0" t="s">
        <v>36</v>
      </c>
      <c r="X334" s="0" t="s">
        <v>36</v>
      </c>
      <c r="Y334" s="2" t="s">
        <v>36</v>
      </c>
      <c r="Z334" s="0" t="s">
        <v>36</v>
      </c>
      <c r="AA334" s="0" t="s">
        <v>36</v>
      </c>
      <c r="AB334" s="0" t="s">
        <v>36</v>
      </c>
      <c r="AC334" s="0" t="s">
        <v>36</v>
      </c>
      <c r="AD334" s="0" t="s">
        <v>36</v>
      </c>
      <c r="AE334" s="2" t="s">
        <v>36</v>
      </c>
    </row>
    <row r="335">
      <c r="A335" s="6" t="s">
        <v>31</v>
      </c>
      <c r="B335" s="7">
        <v>43084</v>
      </c>
      <c r="C335" s="9">
        <f>HYPERLINK("https://www.epingalert.org/en/Search?viewData= G/SPS/N/RUS/146"," G/SPS/N/RUS/146")</f>
      </c>
      <c r="D335" s="8" t="s">
        <v>1668</v>
      </c>
      <c r="E335" s="8" t="s">
        <v>1682</v>
      </c>
      <c r="F335" s="8" t="s">
        <v>1683</v>
      </c>
      <c r="G335" s="8" t="s">
        <v>1684</v>
      </c>
      <c r="H335" s="8" t="s">
        <v>36</v>
      </c>
      <c r="I335" s="8" t="s">
        <v>37</v>
      </c>
      <c r="J335" s="8" t="s">
        <v>1685</v>
      </c>
      <c r="K335" s="6" t="s">
        <v>1686</v>
      </c>
      <c r="L335" s="7" t="s">
        <v>36</v>
      </c>
      <c r="M335" s="6" t="s">
        <v>51</v>
      </c>
      <c r="N335" s="6"/>
      <c r="O335" s="6">
        <f>HYPERLINK("https://docs.wto.org/imrd/directdoc.asp?DDFDocuments/t/G/SPS/NRUS146.DOCX", "https://docs.wto.org/imrd/directdoc.asp?DDFDocuments/t/G/SPS/NRUS146.DOCX")</f>
      </c>
      <c r="P335" s="6">
        <f>HYPERLINK("https://docs.wto.org/imrd/directdoc.asp?DDFDocuments/u/G/SPS/NRUS146.DOCX", "https://docs.wto.org/imrd/directdoc.asp?DDFDocuments/u/G/SPS/NRUS146.DOCX")</f>
      </c>
      <c r="Q335" s="6">
        <f>HYPERLINK("https://docs.wto.org/imrd/directdoc.asp?DDFDocuments/v/G/SPS/NRUS146.DOCX", "https://docs.wto.org/imrd/directdoc.asp?DDFDocuments/v/G/SPS/NRUS146.DOCX")</f>
      </c>
      <c r="R335" s="0" t="s">
        <v>36</v>
      </c>
      <c r="S335" s="0" t="s">
        <v>36</v>
      </c>
      <c r="T335" s="0" t="s">
        <v>36</v>
      </c>
      <c r="U335" s="0" t="s">
        <v>36</v>
      </c>
      <c r="V335" s="0" t="s">
        <v>36</v>
      </c>
      <c r="W335" s="0" t="s">
        <v>36</v>
      </c>
      <c r="X335" s="0" t="s">
        <v>36</v>
      </c>
      <c r="Y335" s="2" t="s">
        <v>36</v>
      </c>
      <c r="Z335" s="0" t="s">
        <v>42</v>
      </c>
      <c r="AA335" s="0" t="s">
        <v>43</v>
      </c>
      <c r="AB335" s="0" t="s">
        <v>42</v>
      </c>
      <c r="AC335" s="0" t="s">
        <v>42</v>
      </c>
      <c r="AD335" s="0" t="s">
        <v>43</v>
      </c>
      <c r="AE335" s="2" t="s">
        <v>36</v>
      </c>
    </row>
    <row r="336">
      <c r="A336" s="6" t="s">
        <v>31</v>
      </c>
      <c r="B336" s="7">
        <v>43075</v>
      </c>
      <c r="C336" s="9">
        <f>HYPERLINK("https://www.epingalert.org/en/Search?viewData= G/SPS/N/RUS/145"," G/SPS/N/RUS/145")</f>
      </c>
      <c r="D336" s="8" t="s">
        <v>1687</v>
      </c>
      <c r="E336" s="8" t="s">
        <v>1688</v>
      </c>
      <c r="F336" s="8" t="s">
        <v>1689</v>
      </c>
      <c r="G336" s="8" t="s">
        <v>1690</v>
      </c>
      <c r="H336" s="8" t="s">
        <v>36</v>
      </c>
      <c r="I336" s="8" t="s">
        <v>97</v>
      </c>
      <c r="J336" s="8" t="s">
        <v>1691</v>
      </c>
      <c r="K336" s="6" t="s">
        <v>255</v>
      </c>
      <c r="L336" s="7" t="s">
        <v>36</v>
      </c>
      <c r="M336" s="6" t="s">
        <v>40</v>
      </c>
      <c r="N336" s="8" t="s">
        <v>1692</v>
      </c>
      <c r="O336" s="6">
        <f>HYPERLINK("https://docs.wto.org/imrd/directdoc.asp?DDFDocuments/t/G/SPS/NRUS145.DOCX", "https://docs.wto.org/imrd/directdoc.asp?DDFDocuments/t/G/SPS/NRUS145.DOCX")</f>
      </c>
      <c r="P336" s="6">
        <f>HYPERLINK("https://docs.wto.org/imrd/directdoc.asp?DDFDocuments/u/G/SPS/NRUS145.DOCX", "https://docs.wto.org/imrd/directdoc.asp?DDFDocuments/u/G/SPS/NRUS145.DOCX")</f>
      </c>
      <c r="Q336" s="6">
        <f>HYPERLINK("https://docs.wto.org/imrd/directdoc.asp?DDFDocuments/v/G/SPS/NRUS145.DOCX", "https://docs.wto.org/imrd/directdoc.asp?DDFDocuments/v/G/SPS/NRUS145.DOCX")</f>
      </c>
      <c r="R336" s="0" t="s">
        <v>36</v>
      </c>
      <c r="S336" s="0" t="s">
        <v>36</v>
      </c>
      <c r="T336" s="0" t="s">
        <v>36</v>
      </c>
      <c r="U336" s="0" t="s">
        <v>36</v>
      </c>
      <c r="V336" s="0" t="s">
        <v>36</v>
      </c>
      <c r="W336" s="0" t="s">
        <v>36</v>
      </c>
      <c r="X336" s="0" t="s">
        <v>36</v>
      </c>
      <c r="Y336" s="2" t="s">
        <v>36</v>
      </c>
      <c r="Z336" s="0" t="s">
        <v>42</v>
      </c>
      <c r="AA336" s="0" t="s">
        <v>42</v>
      </c>
      <c r="AB336" s="0" t="s">
        <v>42</v>
      </c>
      <c r="AC336" s="0" t="s">
        <v>43</v>
      </c>
      <c r="AD336" s="0" t="s">
        <v>107</v>
      </c>
      <c r="AE336" s="2" t="s">
        <v>36</v>
      </c>
    </row>
    <row r="337">
      <c r="A337" s="6" t="s">
        <v>31</v>
      </c>
      <c r="B337" s="7">
        <v>43054</v>
      </c>
      <c r="C337" s="9">
        <f>HYPERLINK("https://www.epingalert.org/en/Search?viewData= G/SPS/N/RUS/56/Add.1"," G/SPS/N/RUS/56/Add.1")</f>
      </c>
      <c r="D337" s="8" t="s">
        <v>1693</v>
      </c>
      <c r="E337" s="8" t="s">
        <v>1694</v>
      </c>
      <c r="F337" s="8"/>
      <c r="G337" s="8" t="s">
        <v>1695</v>
      </c>
      <c r="H337" s="8" t="s">
        <v>36</v>
      </c>
      <c r="I337" s="8" t="s">
        <v>475</v>
      </c>
      <c r="J337" s="8" t="s">
        <v>1696</v>
      </c>
      <c r="K337" s="6"/>
      <c r="L337" s="7" t="s">
        <v>36</v>
      </c>
      <c r="M337" s="6" t="s">
        <v>1211</v>
      </c>
      <c r="N337" s="6"/>
      <c r="O337" s="6">
        <f>HYPERLINK("https://docs.wto.org/imrd/directdoc.asp?DDFDocuments/t/G/SPS/NRUS56A1.DOCX", "https://docs.wto.org/imrd/directdoc.asp?DDFDocuments/t/G/SPS/NRUS56A1.DOCX")</f>
      </c>
      <c r="P337" s="6">
        <f>HYPERLINK("https://docs.wto.org/imrd/directdoc.asp?DDFDocuments/u/G/SPS/NRUS56A1.DOCX", "https://docs.wto.org/imrd/directdoc.asp?DDFDocuments/u/G/SPS/NRUS56A1.DOCX")</f>
      </c>
      <c r="Q337" s="6">
        <f>HYPERLINK("https://docs.wto.org/imrd/directdoc.asp?DDFDocuments/v/G/SPS/NRUS56A1.DOCX", "https://docs.wto.org/imrd/directdoc.asp?DDFDocuments/v/G/SPS/NRUS56A1.DOCX")</f>
      </c>
      <c r="R337" s="0" t="s">
        <v>36</v>
      </c>
      <c r="S337" s="0" t="s">
        <v>36</v>
      </c>
      <c r="T337" s="0" t="s">
        <v>36</v>
      </c>
      <c r="U337" s="0" t="s">
        <v>36</v>
      </c>
      <c r="V337" s="0" t="s">
        <v>36</v>
      </c>
      <c r="W337" s="0" t="s">
        <v>36</v>
      </c>
      <c r="X337" s="0" t="s">
        <v>36</v>
      </c>
      <c r="Y337" s="2" t="s">
        <v>36</v>
      </c>
      <c r="Z337" s="0" t="s">
        <v>36</v>
      </c>
      <c r="AA337" s="0" t="s">
        <v>36</v>
      </c>
      <c r="AB337" s="0" t="s">
        <v>36</v>
      </c>
      <c r="AC337" s="0" t="s">
        <v>36</v>
      </c>
      <c r="AD337" s="0" t="s">
        <v>36</v>
      </c>
      <c r="AE337" s="2" t="s">
        <v>36</v>
      </c>
    </row>
    <row r="338">
      <c r="A338" s="6" t="s">
        <v>31</v>
      </c>
      <c r="B338" s="7">
        <v>43038</v>
      </c>
      <c r="C338" s="9">
        <f>HYPERLINK("https://www.epingalert.org/en/Search?viewData= G/SPS/N/RUS/144"," G/SPS/N/RUS/144")</f>
      </c>
      <c r="D338" s="8" t="s">
        <v>1697</v>
      </c>
      <c r="E338" s="8" t="s">
        <v>1698</v>
      </c>
      <c r="F338" s="8" t="s">
        <v>1699</v>
      </c>
      <c r="G338" s="8" t="s">
        <v>1700</v>
      </c>
      <c r="H338" s="8" t="s">
        <v>36</v>
      </c>
      <c r="I338" s="8" t="s">
        <v>37</v>
      </c>
      <c r="J338" s="8" t="s">
        <v>199</v>
      </c>
      <c r="K338" s="6" t="s">
        <v>1701</v>
      </c>
      <c r="L338" s="7" t="s">
        <v>36</v>
      </c>
      <c r="M338" s="6" t="s">
        <v>51</v>
      </c>
      <c r="N338" s="8" t="s">
        <v>1702</v>
      </c>
      <c r="O338" s="6">
        <f>HYPERLINK("https://docs.wto.org/imrd/directdoc.asp?DDFDocuments/t/G/SPS/NRUS144.DOCX", "https://docs.wto.org/imrd/directdoc.asp?DDFDocuments/t/G/SPS/NRUS144.DOCX")</f>
      </c>
      <c r="P338" s="6">
        <f>HYPERLINK("https://docs.wto.org/imrd/directdoc.asp?DDFDocuments/u/G/SPS/NRUS144.DOCX", "https://docs.wto.org/imrd/directdoc.asp?DDFDocuments/u/G/SPS/NRUS144.DOCX")</f>
      </c>
      <c r="Q338" s="6">
        <f>HYPERLINK("https://docs.wto.org/imrd/directdoc.asp?DDFDocuments/v/G/SPS/NRUS144.DOCX", "https://docs.wto.org/imrd/directdoc.asp?DDFDocuments/v/G/SPS/NRUS144.DOCX")</f>
      </c>
      <c r="R338" s="0" t="s">
        <v>36</v>
      </c>
      <c r="S338" s="0" t="s">
        <v>36</v>
      </c>
      <c r="T338" s="0" t="s">
        <v>36</v>
      </c>
      <c r="U338" s="0" t="s">
        <v>36</v>
      </c>
      <c r="V338" s="0" t="s">
        <v>36</v>
      </c>
      <c r="W338" s="0" t="s">
        <v>36</v>
      </c>
      <c r="X338" s="0" t="s">
        <v>36</v>
      </c>
      <c r="Y338" s="2" t="s">
        <v>36</v>
      </c>
      <c r="Z338" s="0" t="s">
        <v>42</v>
      </c>
      <c r="AA338" s="0" t="s">
        <v>43</v>
      </c>
      <c r="AB338" s="0" t="s">
        <v>42</v>
      </c>
      <c r="AC338" s="0" t="s">
        <v>42</v>
      </c>
      <c r="AD338" s="0" t="s">
        <v>43</v>
      </c>
      <c r="AE338" s="2" t="s">
        <v>36</v>
      </c>
    </row>
    <row r="339">
      <c r="A339" s="6" t="s">
        <v>31</v>
      </c>
      <c r="B339" s="7">
        <v>42976</v>
      </c>
      <c r="C339" s="9">
        <f>HYPERLINK("https://www.epingalert.org/en/Search?viewData= G/TBT/N/RUS/85"," G/TBT/N/RUS/85")</f>
      </c>
      <c r="D339" s="8" t="s">
        <v>1703</v>
      </c>
      <c r="E339" s="8" t="s">
        <v>1704</v>
      </c>
      <c r="F339" s="8" t="s">
        <v>1705</v>
      </c>
      <c r="G339" s="8" t="s">
        <v>36</v>
      </c>
      <c r="H339" s="8" t="s">
        <v>36</v>
      </c>
      <c r="I339" s="8" t="s">
        <v>164</v>
      </c>
      <c r="J339" s="8" t="s">
        <v>36</v>
      </c>
      <c r="K339" s="6"/>
      <c r="L339" s="7">
        <v>43033</v>
      </c>
      <c r="M339" s="6" t="s">
        <v>51</v>
      </c>
      <c r="N339" s="6"/>
      <c r="O339" s="6">
        <f>HYPERLINK("https://docs.wto.org/imrd/directdoc.asp?DDFDocuments/t/G/TBTN17/RUS85.pdf", "https://docs.wto.org/imrd/directdoc.asp?DDFDocuments/t/G/TBTN17/RUS85.pdf")</f>
      </c>
      <c r="P339" s="6">
        <f>HYPERLINK("https://docs.wto.org/imrd/directdoc.asp?DDFDocuments/u/G/TBTN17/RUS85.pdf", "https://docs.wto.org/imrd/directdoc.asp?DDFDocuments/u/G/TBTN17/RUS85.pdf")</f>
      </c>
      <c r="Q339" s="6">
        <f>HYPERLINK("https://docs.wto.org/imrd/directdoc.asp?DDFDocuments/v/G/TBTN17/RUS85.pdf", "https://docs.wto.org/imrd/directdoc.asp?DDFDocuments/v/G/TBTN17/RUS85.pdf")</f>
      </c>
      <c r="R339" s="0" t="s">
        <v>43</v>
      </c>
      <c r="S339" s="0" t="s">
        <v>42</v>
      </c>
      <c r="T339" s="0" t="s">
        <v>43</v>
      </c>
      <c r="U339" s="0" t="s">
        <v>42</v>
      </c>
      <c r="V339" s="0" t="s">
        <v>42</v>
      </c>
      <c r="W339" s="0" t="s">
        <v>42</v>
      </c>
      <c r="X339" s="0" t="s">
        <v>42</v>
      </c>
      <c r="Y339" s="2" t="s">
        <v>1706</v>
      </c>
      <c r="Z339" s="0" t="s">
        <v>36</v>
      </c>
      <c r="AA339" s="0" t="s">
        <v>36</v>
      </c>
      <c r="AB339" s="0" t="s">
        <v>36</v>
      </c>
      <c r="AC339" s="0" t="s">
        <v>36</v>
      </c>
      <c r="AD339" s="0" t="s">
        <v>36</v>
      </c>
      <c r="AE339" s="2" t="s">
        <v>36</v>
      </c>
    </row>
    <row r="340">
      <c r="A340" s="6" t="s">
        <v>31</v>
      </c>
      <c r="B340" s="7">
        <v>42976</v>
      </c>
      <c r="C340" s="9">
        <f>HYPERLINK("https://www.epingalert.org/en/Search?viewData= G/TBT/N/RUS/84"," G/TBT/N/RUS/84")</f>
      </c>
      <c r="D340" s="8" t="s">
        <v>1707</v>
      </c>
      <c r="E340" s="8" t="s">
        <v>1708</v>
      </c>
      <c r="F340" s="8" t="s">
        <v>1709</v>
      </c>
      <c r="G340" s="8" t="s">
        <v>36</v>
      </c>
      <c r="H340" s="8" t="s">
        <v>36</v>
      </c>
      <c r="I340" s="8" t="s">
        <v>902</v>
      </c>
      <c r="J340" s="8" t="s">
        <v>36</v>
      </c>
      <c r="K340" s="6"/>
      <c r="L340" s="7">
        <v>43033</v>
      </c>
      <c r="M340" s="6" t="s">
        <v>51</v>
      </c>
      <c r="N340" s="6"/>
      <c r="O340" s="6">
        <f>HYPERLINK("https://docs.wto.org/imrd/directdoc.asp?DDFDocuments/t/G/TBTN17/RUS84.pdf", "https://docs.wto.org/imrd/directdoc.asp?DDFDocuments/t/G/TBTN17/RUS84.pdf")</f>
      </c>
      <c r="P340" s="6">
        <f>HYPERLINK("https://docs.wto.org/imrd/directdoc.asp?DDFDocuments/u/G/TBTN17/RUS84.pdf", "https://docs.wto.org/imrd/directdoc.asp?DDFDocuments/u/G/TBTN17/RUS84.pdf")</f>
      </c>
      <c r="Q340" s="6">
        <f>HYPERLINK("https://docs.wto.org/imrd/directdoc.asp?DDFDocuments/v/G/TBTN17/RUS84.pdf", "https://docs.wto.org/imrd/directdoc.asp?DDFDocuments/v/G/TBTN17/RUS84.pdf")</f>
      </c>
      <c r="R340" s="0" t="s">
        <v>43</v>
      </c>
      <c r="S340" s="0" t="s">
        <v>42</v>
      </c>
      <c r="T340" s="0" t="s">
        <v>42</v>
      </c>
      <c r="U340" s="0" t="s">
        <v>42</v>
      </c>
      <c r="V340" s="0" t="s">
        <v>42</v>
      </c>
      <c r="W340" s="0" t="s">
        <v>42</v>
      </c>
      <c r="X340" s="0" t="s">
        <v>42</v>
      </c>
      <c r="Y340" s="2" t="s">
        <v>1710</v>
      </c>
      <c r="Z340" s="0" t="s">
        <v>36</v>
      </c>
      <c r="AA340" s="0" t="s">
        <v>36</v>
      </c>
      <c r="AB340" s="0" t="s">
        <v>36</v>
      </c>
      <c r="AC340" s="0" t="s">
        <v>36</v>
      </c>
      <c r="AD340" s="0" t="s">
        <v>36</v>
      </c>
      <c r="AE340" s="2" t="s">
        <v>36</v>
      </c>
    </row>
    <row r="341">
      <c r="A341" s="6" t="s">
        <v>31</v>
      </c>
      <c r="B341" s="7">
        <v>42972</v>
      </c>
      <c r="C341" s="9">
        <f>HYPERLINK("https://www.epingalert.org/en/Search?viewData= G/SPS/N/RUS/139/Add.1"," G/SPS/N/RUS/139/Add.1")</f>
      </c>
      <c r="D341" s="8" t="s">
        <v>1711</v>
      </c>
      <c r="E341" s="8" t="s">
        <v>1712</v>
      </c>
      <c r="F341" s="8"/>
      <c r="G341" s="8" t="s">
        <v>1713</v>
      </c>
      <c r="H341" s="8" t="s">
        <v>36</v>
      </c>
      <c r="I341" s="8" t="s">
        <v>65</v>
      </c>
      <c r="J341" s="8" t="s">
        <v>1528</v>
      </c>
      <c r="K341" s="6"/>
      <c r="L341" s="7" t="s">
        <v>36</v>
      </c>
      <c r="M341" s="6" t="s">
        <v>1211</v>
      </c>
      <c r="N341" s="6"/>
      <c r="O341" s="6">
        <f>HYPERLINK("https://docs.wto.org/imrd/directdoc.asp?DDFDocuments/t/G/SPS/NRUS139A1.pdf", "https://docs.wto.org/imrd/directdoc.asp?DDFDocuments/t/G/SPS/NRUS139A1.pdf")</f>
      </c>
      <c r="P341" s="6">
        <f>HYPERLINK("https://docs.wto.org/imrd/directdoc.asp?DDFDocuments/u/G/SPS/NRUS139A1.pdf", "https://docs.wto.org/imrd/directdoc.asp?DDFDocuments/u/G/SPS/NRUS139A1.pdf")</f>
      </c>
      <c r="Q341" s="6">
        <f>HYPERLINK("https://docs.wto.org/imrd/directdoc.asp?DDFDocuments/v/G/SPS/NRUS139A1.pdf", "https://docs.wto.org/imrd/directdoc.asp?DDFDocuments/v/G/SPS/NRUS139A1.pdf")</f>
      </c>
      <c r="R341" s="0" t="s">
        <v>36</v>
      </c>
      <c r="S341" s="0" t="s">
        <v>36</v>
      </c>
      <c r="T341" s="0" t="s">
        <v>36</v>
      </c>
      <c r="U341" s="0" t="s">
        <v>36</v>
      </c>
      <c r="V341" s="0" t="s">
        <v>36</v>
      </c>
      <c r="W341" s="0" t="s">
        <v>36</v>
      </c>
      <c r="X341" s="0" t="s">
        <v>36</v>
      </c>
      <c r="Y341" s="2" t="s">
        <v>36</v>
      </c>
      <c r="Z341" s="0" t="s">
        <v>36</v>
      </c>
      <c r="AA341" s="0" t="s">
        <v>36</v>
      </c>
      <c r="AB341" s="0" t="s">
        <v>36</v>
      </c>
      <c r="AC341" s="0" t="s">
        <v>36</v>
      </c>
      <c r="AD341" s="0" t="s">
        <v>36</v>
      </c>
      <c r="AE341" s="2" t="s">
        <v>36</v>
      </c>
    </row>
    <row r="342">
      <c r="A342" s="6" t="s">
        <v>31</v>
      </c>
      <c r="B342" s="7">
        <v>42951</v>
      </c>
      <c r="C342" s="9">
        <f>HYPERLINK("https://www.epingalert.org/en/Search?viewData= G/SPS/N/RUS/143"," G/SPS/N/RUS/143")</f>
      </c>
      <c r="D342" s="8" t="s">
        <v>1714</v>
      </c>
      <c r="E342" s="8" t="s">
        <v>1715</v>
      </c>
      <c r="F342" s="8" t="s">
        <v>1716</v>
      </c>
      <c r="G342" s="8" t="s">
        <v>1675</v>
      </c>
      <c r="H342" s="8" t="s">
        <v>36</v>
      </c>
      <c r="I342" s="8" t="s">
        <v>37</v>
      </c>
      <c r="J342" s="8" t="s">
        <v>1717</v>
      </c>
      <c r="K342" s="6" t="s">
        <v>169</v>
      </c>
      <c r="L342" s="7" t="s">
        <v>36</v>
      </c>
      <c r="M342" s="6" t="s">
        <v>40</v>
      </c>
      <c r="N342" s="8" t="s">
        <v>1718</v>
      </c>
      <c r="O342" s="6">
        <f>HYPERLINK("https://docs.wto.org/imrd/directdoc.asp?DDFDocuments/t/G/SPS/NRUS143.pdf", "https://docs.wto.org/imrd/directdoc.asp?DDFDocuments/t/G/SPS/NRUS143.pdf")</f>
      </c>
      <c r="P342" s="6">
        <f>HYPERLINK("https://docs.wto.org/imrd/directdoc.asp?DDFDocuments/u/G/SPS/NRUS143.pdf", "https://docs.wto.org/imrd/directdoc.asp?DDFDocuments/u/G/SPS/NRUS143.pdf")</f>
      </c>
      <c r="Q342" s="6">
        <f>HYPERLINK("https://docs.wto.org/imrd/directdoc.asp?DDFDocuments/v/G/SPS/NRUS143.pdf", "https://docs.wto.org/imrd/directdoc.asp?DDFDocuments/v/G/SPS/NRUS143.pdf")</f>
      </c>
      <c r="R342" s="0" t="s">
        <v>36</v>
      </c>
      <c r="S342" s="0" t="s">
        <v>36</v>
      </c>
      <c r="T342" s="0" t="s">
        <v>36</v>
      </c>
      <c r="U342" s="0" t="s">
        <v>36</v>
      </c>
      <c r="V342" s="0" t="s">
        <v>36</v>
      </c>
      <c r="W342" s="0" t="s">
        <v>36</v>
      </c>
      <c r="X342" s="0" t="s">
        <v>36</v>
      </c>
      <c r="Y342" s="2" t="s">
        <v>36</v>
      </c>
      <c r="Z342" s="0" t="s">
        <v>42</v>
      </c>
      <c r="AA342" s="0" t="s">
        <v>43</v>
      </c>
      <c r="AB342" s="0" t="s">
        <v>42</v>
      </c>
      <c r="AC342" s="0" t="s">
        <v>42</v>
      </c>
      <c r="AD342" s="0" t="s">
        <v>43</v>
      </c>
      <c r="AE342" s="2" t="s">
        <v>36</v>
      </c>
    </row>
    <row r="343">
      <c r="A343" s="6" t="s">
        <v>31</v>
      </c>
      <c r="B343" s="7">
        <v>42940</v>
      </c>
      <c r="C343" s="9">
        <f>HYPERLINK("https://www.epingalert.org/en/Search?viewData= G/SPS/N/RUS/142"," G/SPS/N/RUS/142")</f>
      </c>
      <c r="D343" s="8" t="s">
        <v>1719</v>
      </c>
      <c r="E343" s="8" t="s">
        <v>1720</v>
      </c>
      <c r="F343" s="8" t="s">
        <v>1721</v>
      </c>
      <c r="G343" s="8" t="s">
        <v>1670</v>
      </c>
      <c r="H343" s="8" t="s">
        <v>36</v>
      </c>
      <c r="I343" s="8" t="s">
        <v>37</v>
      </c>
      <c r="J343" s="8" t="s">
        <v>1722</v>
      </c>
      <c r="K343" s="6" t="s">
        <v>697</v>
      </c>
      <c r="L343" s="7" t="s">
        <v>36</v>
      </c>
      <c r="M343" s="6" t="s">
        <v>40</v>
      </c>
      <c r="N343" s="8" t="s">
        <v>1723</v>
      </c>
      <c r="O343" s="6">
        <f>HYPERLINK("https://docs.wto.org/imrd/directdoc.asp?DDFDocuments/t/G/SPS/NRUS142.pdf", "https://docs.wto.org/imrd/directdoc.asp?DDFDocuments/t/G/SPS/NRUS142.pdf")</f>
      </c>
      <c r="P343" s="6">
        <f>HYPERLINK("https://docs.wto.org/imrd/directdoc.asp?DDFDocuments/u/G/SPS/NRUS142.pdf", "https://docs.wto.org/imrd/directdoc.asp?DDFDocuments/u/G/SPS/NRUS142.pdf")</f>
      </c>
      <c r="Q343" s="6">
        <f>HYPERLINK("https://docs.wto.org/imrd/directdoc.asp?DDFDocuments/v/G/SPS/NRUS142.pdf", "https://docs.wto.org/imrd/directdoc.asp?DDFDocuments/v/G/SPS/NRUS142.pdf")</f>
      </c>
      <c r="R343" s="0" t="s">
        <v>36</v>
      </c>
      <c r="S343" s="0" t="s">
        <v>36</v>
      </c>
      <c r="T343" s="0" t="s">
        <v>36</v>
      </c>
      <c r="U343" s="0" t="s">
        <v>36</v>
      </c>
      <c r="V343" s="0" t="s">
        <v>36</v>
      </c>
      <c r="W343" s="0" t="s">
        <v>36</v>
      </c>
      <c r="X343" s="0" t="s">
        <v>36</v>
      </c>
      <c r="Y343" s="2" t="s">
        <v>36</v>
      </c>
      <c r="Z343" s="0" t="s">
        <v>42</v>
      </c>
      <c r="AA343" s="0" t="s">
        <v>43</v>
      </c>
      <c r="AB343" s="0" t="s">
        <v>42</v>
      </c>
      <c r="AC343" s="0" t="s">
        <v>42</v>
      </c>
      <c r="AD343" s="0" t="s">
        <v>43</v>
      </c>
      <c r="AE343" s="2" t="s">
        <v>36</v>
      </c>
    </row>
    <row r="344">
      <c r="A344" s="6" t="s">
        <v>31</v>
      </c>
      <c r="B344" s="7">
        <v>42846</v>
      </c>
      <c r="C344" s="9">
        <f>HYPERLINK("https://www.epingalert.org/en/Search?viewData= G/SPS/N/RUS/141"," G/SPS/N/RUS/141")</f>
      </c>
      <c r="D344" s="8" t="s">
        <v>1724</v>
      </c>
      <c r="E344" s="8" t="s">
        <v>1725</v>
      </c>
      <c r="F344" s="8" t="s">
        <v>1726</v>
      </c>
      <c r="G344" s="8" t="s">
        <v>36</v>
      </c>
      <c r="H344" s="8" t="s">
        <v>36</v>
      </c>
      <c r="I344" s="8" t="s">
        <v>97</v>
      </c>
      <c r="J344" s="8" t="s">
        <v>1727</v>
      </c>
      <c r="K344" s="6"/>
      <c r="L344" s="7">
        <v>42906</v>
      </c>
      <c r="M344" s="6" t="s">
        <v>51</v>
      </c>
      <c r="N344" s="8" t="s">
        <v>1728</v>
      </c>
      <c r="O344" s="6">
        <f>HYPERLINK("https://docs.wto.org/imrd/directdoc.asp?DDFDocuments/t/G/SPS/NRUS141.pdf", "https://docs.wto.org/imrd/directdoc.asp?DDFDocuments/t/G/SPS/NRUS141.pdf")</f>
      </c>
      <c r="P344" s="6">
        <f>HYPERLINK("https://docs.wto.org/imrd/directdoc.asp?DDFDocuments/u/G/SPS/NRUS141.pdf", "https://docs.wto.org/imrd/directdoc.asp?DDFDocuments/u/G/SPS/NRUS141.pdf")</f>
      </c>
      <c r="Q344" s="6">
        <f>HYPERLINK("https://docs.wto.org/imrd/directdoc.asp?DDFDocuments/v/G/SPS/NRUS141.pdf", "https://docs.wto.org/imrd/directdoc.asp?DDFDocuments/v/G/SPS/NRUS141.pdf")</f>
      </c>
      <c r="R344" s="0" t="s">
        <v>36</v>
      </c>
      <c r="S344" s="0" t="s">
        <v>36</v>
      </c>
      <c r="T344" s="0" t="s">
        <v>36</v>
      </c>
      <c r="U344" s="0" t="s">
        <v>36</v>
      </c>
      <c r="V344" s="0" t="s">
        <v>36</v>
      </c>
      <c r="W344" s="0" t="s">
        <v>36</v>
      </c>
      <c r="X344" s="0" t="s">
        <v>36</v>
      </c>
      <c r="Y344" s="2" t="s">
        <v>36</v>
      </c>
      <c r="Z344" s="0" t="s">
        <v>42</v>
      </c>
      <c r="AA344" s="0" t="s">
        <v>42</v>
      </c>
      <c r="AB344" s="0" t="s">
        <v>42</v>
      </c>
      <c r="AC344" s="0" t="s">
        <v>43</v>
      </c>
      <c r="AD344" s="0" t="s">
        <v>107</v>
      </c>
      <c r="AE344" s="2"/>
    </row>
    <row r="345">
      <c r="A345" s="6" t="s">
        <v>31</v>
      </c>
      <c r="B345" s="7">
        <v>42845</v>
      </c>
      <c r="C345" s="9">
        <f>HYPERLINK("https://www.epingalert.org/en/Search?viewData= G/TBT/N/RUS/83"," G/TBT/N/RUS/83")</f>
      </c>
      <c r="D345" s="8" t="s">
        <v>1729</v>
      </c>
      <c r="E345" s="8" t="s">
        <v>1730</v>
      </c>
      <c r="F345" s="8" t="s">
        <v>1731</v>
      </c>
      <c r="G345" s="8" t="s">
        <v>36</v>
      </c>
      <c r="H345" s="8" t="s">
        <v>36</v>
      </c>
      <c r="I345" s="8" t="s">
        <v>902</v>
      </c>
      <c r="J345" s="8" t="s">
        <v>36</v>
      </c>
      <c r="K345" s="6"/>
      <c r="L345" s="7">
        <v>42905</v>
      </c>
      <c r="M345" s="6" t="s">
        <v>51</v>
      </c>
      <c r="N345" s="6"/>
      <c r="O345" s="6">
        <f>HYPERLINK("https://docs.wto.org/imrd/directdoc.asp?DDFDocuments/t/G/TBTN17/RUS83.DOC", "https://docs.wto.org/imrd/directdoc.asp?DDFDocuments/t/G/TBTN17/RUS83.DOC")</f>
      </c>
      <c r="P345" s="6">
        <f>HYPERLINK("https://docs.wto.org/imrd/directdoc.asp?DDFDocuments/u/G/TBTN17/RUS83.DOC", "https://docs.wto.org/imrd/directdoc.asp?DDFDocuments/u/G/TBTN17/RUS83.DOC")</f>
      </c>
      <c r="Q345" s="6">
        <f>HYPERLINK("https://docs.wto.org/imrd/directdoc.asp?DDFDocuments/v/G/TBTN17/RUS83.DOC", "https://docs.wto.org/imrd/directdoc.asp?DDFDocuments/v/G/TBTN17/RUS83.DOC")</f>
      </c>
      <c r="R345" s="0" t="s">
        <v>43</v>
      </c>
      <c r="S345" s="0" t="s">
        <v>42</v>
      </c>
      <c r="T345" s="0" t="s">
        <v>42</v>
      </c>
      <c r="U345" s="0" t="s">
        <v>42</v>
      </c>
      <c r="V345" s="0" t="s">
        <v>42</v>
      </c>
      <c r="W345" s="0" t="s">
        <v>42</v>
      </c>
      <c r="X345" s="0" t="s">
        <v>42</v>
      </c>
      <c r="Y345" s="2" t="s">
        <v>1732</v>
      </c>
      <c r="Z345" s="0" t="s">
        <v>36</v>
      </c>
      <c r="AA345" s="0" t="s">
        <v>36</v>
      </c>
      <c r="AB345" s="0" t="s">
        <v>36</v>
      </c>
      <c r="AC345" s="0" t="s">
        <v>36</v>
      </c>
      <c r="AD345" s="0" t="s">
        <v>36</v>
      </c>
      <c r="AE345" s="2" t="s">
        <v>36</v>
      </c>
    </row>
    <row r="346">
      <c r="A346" s="6" t="s">
        <v>31</v>
      </c>
      <c r="B346" s="7">
        <v>42836</v>
      </c>
      <c r="C346" s="9">
        <f>HYPERLINK("https://www.epingalert.org/en/Search?viewData= G/SPS/N/RUS/140/Corr.1"," G/SPS/N/RUS/140/Corr.1")</f>
      </c>
      <c r="D346" s="8" t="s">
        <v>1733</v>
      </c>
      <c r="E346" s="8" t="s">
        <v>1734</v>
      </c>
      <c r="F346" s="8"/>
      <c r="G346" s="8" t="s">
        <v>1735</v>
      </c>
      <c r="H346" s="8" t="s">
        <v>36</v>
      </c>
      <c r="I346" s="8" t="s">
        <v>65</v>
      </c>
      <c r="J346" s="8" t="s">
        <v>72</v>
      </c>
      <c r="K346" s="6"/>
      <c r="L346" s="7" t="s">
        <v>36</v>
      </c>
      <c r="M346" s="6" t="s">
        <v>1736</v>
      </c>
      <c r="N346" s="6"/>
      <c r="O346" s="6">
        <f>HYPERLINK("https://docs.wto.org/imrd/directdoc.asp?DDFDocuments/t/G/SPS/NRUS140C1.pdf", "https://docs.wto.org/imrd/directdoc.asp?DDFDocuments/t/G/SPS/NRUS140C1.pdf")</f>
      </c>
      <c r="P346" s="6">
        <f>HYPERLINK("https://docs.wto.org/imrd/directdoc.asp?DDFDocuments/u/G/SPS/NRUS140C1.pdf", "https://docs.wto.org/imrd/directdoc.asp?DDFDocuments/u/G/SPS/NRUS140C1.pdf")</f>
      </c>
      <c r="Q346" s="6">
        <f>HYPERLINK("https://docs.wto.org/imrd/directdoc.asp?DDFDocuments/v/G/SPS/NRUS140C1.pdf", "https://docs.wto.org/imrd/directdoc.asp?DDFDocuments/v/G/SPS/NRUS140C1.pdf")</f>
      </c>
      <c r="R346" s="0" t="s">
        <v>36</v>
      </c>
      <c r="S346" s="0" t="s">
        <v>36</v>
      </c>
      <c r="T346" s="0" t="s">
        <v>36</v>
      </c>
      <c r="U346" s="0" t="s">
        <v>36</v>
      </c>
      <c r="V346" s="0" t="s">
        <v>36</v>
      </c>
      <c r="W346" s="0" t="s">
        <v>36</v>
      </c>
      <c r="X346" s="0" t="s">
        <v>36</v>
      </c>
      <c r="Y346" s="2" t="s">
        <v>36</v>
      </c>
      <c r="Z346" s="0" t="s">
        <v>36</v>
      </c>
      <c r="AA346" s="0" t="s">
        <v>36</v>
      </c>
      <c r="AB346" s="0" t="s">
        <v>36</v>
      </c>
      <c r="AC346" s="0" t="s">
        <v>36</v>
      </c>
      <c r="AD346" s="0" t="s">
        <v>36</v>
      </c>
      <c r="AE346" s="2" t="s">
        <v>36</v>
      </c>
    </row>
    <row r="347">
      <c r="A347" s="6" t="s">
        <v>31</v>
      </c>
      <c r="B347" s="7">
        <v>42836</v>
      </c>
      <c r="C347" s="9">
        <f>HYPERLINK("https://www.epingalert.org/en/Search?viewData= G/SPS/N/RUS/128/Add.1"," G/SPS/N/RUS/128/Add.1")</f>
      </c>
      <c r="D347" s="8" t="s">
        <v>1737</v>
      </c>
      <c r="E347" s="8" t="s">
        <v>1738</v>
      </c>
      <c r="F347" s="8"/>
      <c r="G347" s="8" t="s">
        <v>1739</v>
      </c>
      <c r="H347" s="8" t="s">
        <v>36</v>
      </c>
      <c r="I347" s="8" t="s">
        <v>1323</v>
      </c>
      <c r="J347" s="8" t="s">
        <v>1696</v>
      </c>
      <c r="K347" s="6"/>
      <c r="L347" s="7" t="s">
        <v>36</v>
      </c>
      <c r="M347" s="6" t="s">
        <v>179</v>
      </c>
      <c r="N347" s="6"/>
      <c r="O347" s="6">
        <f>HYPERLINK("https://docs.wto.org/imrd/directdoc.asp?DDFDocuments/t/G/SPS/NRUS128A1.pdf", "https://docs.wto.org/imrd/directdoc.asp?DDFDocuments/t/G/SPS/NRUS128A1.pdf")</f>
      </c>
      <c r="P347" s="6">
        <f>HYPERLINK("https://docs.wto.org/imrd/directdoc.asp?DDFDocuments/u/G/SPS/NRUS128A1.pdf", "https://docs.wto.org/imrd/directdoc.asp?DDFDocuments/u/G/SPS/NRUS128A1.pdf")</f>
      </c>
      <c r="Q347" s="6">
        <f>HYPERLINK("https://docs.wto.org/imrd/directdoc.asp?DDFDocuments/v/G/SPS/NRUS128A1.pdf", "https://docs.wto.org/imrd/directdoc.asp?DDFDocuments/v/G/SPS/NRUS128A1.pdf")</f>
      </c>
      <c r="R347" s="0" t="s">
        <v>36</v>
      </c>
      <c r="S347" s="0" t="s">
        <v>36</v>
      </c>
      <c r="T347" s="0" t="s">
        <v>36</v>
      </c>
      <c r="U347" s="0" t="s">
        <v>36</v>
      </c>
      <c r="V347" s="0" t="s">
        <v>36</v>
      </c>
      <c r="W347" s="0" t="s">
        <v>36</v>
      </c>
      <c r="X347" s="0" t="s">
        <v>36</v>
      </c>
      <c r="Y347" s="2" t="s">
        <v>36</v>
      </c>
      <c r="Z347" s="0" t="s">
        <v>36</v>
      </c>
      <c r="AA347" s="0" t="s">
        <v>36</v>
      </c>
      <c r="AB347" s="0" t="s">
        <v>36</v>
      </c>
      <c r="AC347" s="0" t="s">
        <v>36</v>
      </c>
      <c r="AD347" s="0" t="s">
        <v>36</v>
      </c>
      <c r="AE347" s="2" t="s">
        <v>36</v>
      </c>
    </row>
    <row r="348">
      <c r="A348" s="6" t="s">
        <v>31</v>
      </c>
      <c r="B348" s="7">
        <v>42828</v>
      </c>
      <c r="C348" s="9">
        <f>HYPERLINK("https://www.epingalert.org/en/Search?viewData= G/SPS/N/RUS/140"," G/SPS/N/RUS/140")</f>
      </c>
      <c r="D348" s="8" t="s">
        <v>1733</v>
      </c>
      <c r="E348" s="8" t="s">
        <v>1740</v>
      </c>
      <c r="F348" s="8" t="s">
        <v>1629</v>
      </c>
      <c r="G348" s="8" t="s">
        <v>1735</v>
      </c>
      <c r="H348" s="8" t="s">
        <v>36</v>
      </c>
      <c r="I348" s="8" t="s">
        <v>65</v>
      </c>
      <c r="J348" s="8" t="s">
        <v>72</v>
      </c>
      <c r="K348" s="6"/>
      <c r="L348" s="7">
        <v>42888</v>
      </c>
      <c r="M348" s="6" t="s">
        <v>51</v>
      </c>
      <c r="N348" s="8" t="s">
        <v>1741</v>
      </c>
      <c r="O348" s="6">
        <f>HYPERLINK("https://docs.wto.org/imrd/directdoc.asp?DDFDocuments/t/G/SPS/NRUS140.pdf", "https://docs.wto.org/imrd/directdoc.asp?DDFDocuments/t/G/SPS/NRUS140.pdf")</f>
      </c>
      <c r="P348" s="6">
        <f>HYPERLINK("https://docs.wto.org/imrd/directdoc.asp?DDFDocuments/u/G/SPS/NRUS140.pdf", "https://docs.wto.org/imrd/directdoc.asp?DDFDocuments/u/G/SPS/NRUS140.pdf")</f>
      </c>
      <c r="Q348" s="6">
        <f>HYPERLINK("https://docs.wto.org/imrd/directdoc.asp?DDFDocuments/v/G/SPS/NRUS140.pdf", "https://docs.wto.org/imrd/directdoc.asp?DDFDocuments/v/G/SPS/NRUS140.pdf")</f>
      </c>
      <c r="R348" s="0" t="s">
        <v>36</v>
      </c>
      <c r="S348" s="0" t="s">
        <v>36</v>
      </c>
      <c r="T348" s="0" t="s">
        <v>36</v>
      </c>
      <c r="U348" s="0" t="s">
        <v>36</v>
      </c>
      <c r="V348" s="0" t="s">
        <v>36</v>
      </c>
      <c r="W348" s="0" t="s">
        <v>36</v>
      </c>
      <c r="X348" s="0" t="s">
        <v>36</v>
      </c>
      <c r="Y348" s="2" t="s">
        <v>36</v>
      </c>
      <c r="Z348" s="0" t="s">
        <v>42</v>
      </c>
      <c r="AA348" s="0" t="s">
        <v>42</v>
      </c>
      <c r="AB348" s="0" t="s">
        <v>43</v>
      </c>
      <c r="AC348" s="0" t="s">
        <v>42</v>
      </c>
      <c r="AD348" s="0" t="s">
        <v>43</v>
      </c>
      <c r="AE348" s="2"/>
    </row>
    <row r="349">
      <c r="A349" s="6" t="s">
        <v>31</v>
      </c>
      <c r="B349" s="7">
        <v>42823</v>
      </c>
      <c r="C349" s="9">
        <f>HYPERLINK("https://www.epingalert.org/en/Search?viewData= G/SPS/N/RUS/102/Add.1"," G/SPS/N/RUS/102/Add.1")</f>
      </c>
      <c r="D349" s="8" t="s">
        <v>1742</v>
      </c>
      <c r="E349" s="8" t="s">
        <v>1743</v>
      </c>
      <c r="F349" s="8"/>
      <c r="G349" s="8" t="s">
        <v>1744</v>
      </c>
      <c r="H349" s="8" t="s">
        <v>36</v>
      </c>
      <c r="I349" s="8" t="s">
        <v>65</v>
      </c>
      <c r="J349" s="8" t="s">
        <v>1652</v>
      </c>
      <c r="K349" s="6"/>
      <c r="L349" s="7" t="s">
        <v>36</v>
      </c>
      <c r="M349" s="6" t="s">
        <v>1211</v>
      </c>
      <c r="N349" s="6"/>
      <c r="O349" s="6">
        <f>HYPERLINK("https://docs.wto.org/imrd/directdoc.asp?DDFDocuments/t/G/SPS/NRUS102A1.pdf", "https://docs.wto.org/imrd/directdoc.asp?DDFDocuments/t/G/SPS/NRUS102A1.pdf")</f>
      </c>
      <c r="P349" s="6">
        <f>HYPERLINK("https://docs.wto.org/imrd/directdoc.asp?DDFDocuments/u/G/SPS/NRUS102A1.pdf", "https://docs.wto.org/imrd/directdoc.asp?DDFDocuments/u/G/SPS/NRUS102A1.pdf")</f>
      </c>
      <c r="Q349" s="6">
        <f>HYPERLINK("https://docs.wto.org/imrd/directdoc.asp?DDFDocuments/v/G/SPS/NRUS102A1.pdf", "https://docs.wto.org/imrd/directdoc.asp?DDFDocuments/v/G/SPS/NRUS102A1.pdf")</f>
      </c>
      <c r="R349" s="0" t="s">
        <v>36</v>
      </c>
      <c r="S349" s="0" t="s">
        <v>36</v>
      </c>
      <c r="T349" s="0" t="s">
        <v>36</v>
      </c>
      <c r="U349" s="0" t="s">
        <v>36</v>
      </c>
      <c r="V349" s="0" t="s">
        <v>36</v>
      </c>
      <c r="W349" s="0" t="s">
        <v>36</v>
      </c>
      <c r="X349" s="0" t="s">
        <v>36</v>
      </c>
      <c r="Y349" s="2" t="s">
        <v>36</v>
      </c>
      <c r="Z349" s="0" t="s">
        <v>36</v>
      </c>
      <c r="AA349" s="0" t="s">
        <v>36</v>
      </c>
      <c r="AB349" s="0" t="s">
        <v>36</v>
      </c>
      <c r="AC349" s="0" t="s">
        <v>36</v>
      </c>
      <c r="AD349" s="0" t="s">
        <v>36</v>
      </c>
      <c r="AE349" s="2" t="s">
        <v>36</v>
      </c>
    </row>
    <row r="350">
      <c r="A350" s="6" t="s">
        <v>31</v>
      </c>
      <c r="B350" s="7">
        <v>42823</v>
      </c>
      <c r="C350" s="9">
        <f>HYPERLINK("https://www.epingalert.org/en/Search?viewData= G/SPS/N/RUS/139"," G/SPS/N/RUS/139")</f>
      </c>
      <c r="D350" s="8" t="s">
        <v>1745</v>
      </c>
      <c r="E350" s="8" t="s">
        <v>1746</v>
      </c>
      <c r="F350" s="8" t="s">
        <v>1629</v>
      </c>
      <c r="G350" s="8" t="s">
        <v>1735</v>
      </c>
      <c r="H350" s="8" t="s">
        <v>36</v>
      </c>
      <c r="I350" s="8" t="s">
        <v>65</v>
      </c>
      <c r="J350" s="8" t="s">
        <v>1528</v>
      </c>
      <c r="K350" s="6"/>
      <c r="L350" s="7" t="s">
        <v>36</v>
      </c>
      <c r="M350" s="6" t="s">
        <v>51</v>
      </c>
      <c r="N350" s="8" t="s">
        <v>1747</v>
      </c>
      <c r="O350" s="6">
        <f>HYPERLINK("https://docs.wto.org/imrd/directdoc.asp?DDFDocuments/t/G/SPS/NRUS139.pdf", "https://docs.wto.org/imrd/directdoc.asp?DDFDocuments/t/G/SPS/NRUS139.pdf")</f>
      </c>
      <c r="P350" s="6">
        <f>HYPERLINK("https://docs.wto.org/imrd/directdoc.asp?DDFDocuments/u/G/SPS/NRUS139.pdf", "https://docs.wto.org/imrd/directdoc.asp?DDFDocuments/u/G/SPS/NRUS139.pdf")</f>
      </c>
      <c r="Q350" s="6">
        <f>HYPERLINK("https://docs.wto.org/imrd/directdoc.asp?DDFDocuments/v/G/SPS/NRUS139.pdf", "https://docs.wto.org/imrd/directdoc.asp?DDFDocuments/v/G/SPS/NRUS139.pdf")</f>
      </c>
      <c r="R350" s="0" t="s">
        <v>36</v>
      </c>
      <c r="S350" s="0" t="s">
        <v>36</v>
      </c>
      <c r="T350" s="0" t="s">
        <v>36</v>
      </c>
      <c r="U350" s="0" t="s">
        <v>36</v>
      </c>
      <c r="V350" s="0" t="s">
        <v>36</v>
      </c>
      <c r="W350" s="0" t="s">
        <v>36</v>
      </c>
      <c r="X350" s="0" t="s">
        <v>36</v>
      </c>
      <c r="Y350" s="2" t="s">
        <v>36</v>
      </c>
      <c r="Z350" s="0" t="s">
        <v>42</v>
      </c>
      <c r="AA350" s="0" t="s">
        <v>42</v>
      </c>
      <c r="AB350" s="0" t="s">
        <v>43</v>
      </c>
      <c r="AC350" s="0" t="s">
        <v>42</v>
      </c>
      <c r="AD350" s="0" t="s">
        <v>43</v>
      </c>
      <c r="AE350" s="2"/>
    </row>
    <row r="351">
      <c r="A351" s="6" t="s">
        <v>31</v>
      </c>
      <c r="B351" s="7">
        <v>42823</v>
      </c>
      <c r="C351" s="9">
        <f>HYPERLINK("https://www.epingalert.org/en/Search?viewData= G/SPS/N/RUS/111/Add.1"," G/SPS/N/RUS/111/Add.1")</f>
      </c>
      <c r="D351" s="8" t="s">
        <v>1748</v>
      </c>
      <c r="E351" s="8" t="s">
        <v>1749</v>
      </c>
      <c r="F351" s="8"/>
      <c r="G351" s="8" t="s">
        <v>36</v>
      </c>
      <c r="H351" s="8" t="s">
        <v>36</v>
      </c>
      <c r="I351" s="8" t="s">
        <v>65</v>
      </c>
      <c r="J351" s="8" t="s">
        <v>1652</v>
      </c>
      <c r="K351" s="6"/>
      <c r="L351" s="7" t="s">
        <v>36</v>
      </c>
      <c r="M351" s="6" t="s">
        <v>1211</v>
      </c>
      <c r="N351" s="6"/>
      <c r="O351" s="6">
        <f>HYPERLINK("https://docs.wto.org/imrd/directdoc.asp?DDFDocuments/t/G/SPS/NRUS111A1.pdf", "https://docs.wto.org/imrd/directdoc.asp?DDFDocuments/t/G/SPS/NRUS111A1.pdf")</f>
      </c>
      <c r="P351" s="6">
        <f>HYPERLINK("https://docs.wto.org/imrd/directdoc.asp?DDFDocuments/u/G/SPS/NRUS111A1.pdf", "https://docs.wto.org/imrd/directdoc.asp?DDFDocuments/u/G/SPS/NRUS111A1.pdf")</f>
      </c>
      <c r="Q351" s="6">
        <f>HYPERLINK("https://docs.wto.org/imrd/directdoc.asp?DDFDocuments/v/G/SPS/NRUS111A1.pdf", "https://docs.wto.org/imrd/directdoc.asp?DDFDocuments/v/G/SPS/NRUS111A1.pdf")</f>
      </c>
      <c r="R351" s="0" t="s">
        <v>36</v>
      </c>
      <c r="S351" s="0" t="s">
        <v>36</v>
      </c>
      <c r="T351" s="0" t="s">
        <v>36</v>
      </c>
      <c r="U351" s="0" t="s">
        <v>36</v>
      </c>
      <c r="V351" s="0" t="s">
        <v>36</v>
      </c>
      <c r="W351" s="0" t="s">
        <v>36</v>
      </c>
      <c r="X351" s="0" t="s">
        <v>36</v>
      </c>
      <c r="Y351" s="2" t="s">
        <v>36</v>
      </c>
      <c r="Z351" s="0" t="s">
        <v>36</v>
      </c>
      <c r="AA351" s="0" t="s">
        <v>36</v>
      </c>
      <c r="AB351" s="0" t="s">
        <v>36</v>
      </c>
      <c r="AC351" s="0" t="s">
        <v>36</v>
      </c>
      <c r="AD351" s="0" t="s">
        <v>36</v>
      </c>
      <c r="AE351" s="2" t="s">
        <v>36</v>
      </c>
    </row>
    <row r="352">
      <c r="A352" s="6" t="s">
        <v>31</v>
      </c>
      <c r="B352" s="7">
        <v>42795</v>
      </c>
      <c r="C352" s="9">
        <f>HYPERLINK("https://www.epingalert.org/en/Search?viewData= G/TBT/N/RUS/82"," G/TBT/N/RUS/82")</f>
      </c>
      <c r="D352" s="8" t="s">
        <v>1750</v>
      </c>
      <c r="E352" s="8" t="s">
        <v>1751</v>
      </c>
      <c r="F352" s="8" t="s">
        <v>1752</v>
      </c>
      <c r="G352" s="8" t="s">
        <v>36</v>
      </c>
      <c r="H352" s="8" t="s">
        <v>1753</v>
      </c>
      <c r="I352" s="8" t="s">
        <v>796</v>
      </c>
      <c r="J352" s="8" t="s">
        <v>120</v>
      </c>
      <c r="K352" s="6"/>
      <c r="L352" s="7">
        <v>42855</v>
      </c>
      <c r="M352" s="6" t="s">
        <v>51</v>
      </c>
      <c r="N352" s="6"/>
      <c r="O352" s="6">
        <f>HYPERLINK("https://docs.wto.org/imrd/directdoc.asp?DDFDocuments/t/G/TBTN17/RUS82.DOC", "https://docs.wto.org/imrd/directdoc.asp?DDFDocuments/t/G/TBTN17/RUS82.DOC")</f>
      </c>
      <c r="P352" s="6">
        <f>HYPERLINK("https://docs.wto.org/imrd/directdoc.asp?DDFDocuments/u/G/TBTN17/RUS82.DOC", "https://docs.wto.org/imrd/directdoc.asp?DDFDocuments/u/G/TBTN17/RUS82.DOC")</f>
      </c>
      <c r="Q352" s="6">
        <f>HYPERLINK("https://docs.wto.org/imrd/directdoc.asp?DDFDocuments/v/G/TBTN17/RUS82.DOC", "https://docs.wto.org/imrd/directdoc.asp?DDFDocuments/v/G/TBTN17/RUS82.DOC")</f>
      </c>
      <c r="R352" s="0" t="s">
        <v>43</v>
      </c>
      <c r="S352" s="0" t="s">
        <v>42</v>
      </c>
      <c r="T352" s="0" t="s">
        <v>42</v>
      </c>
      <c r="U352" s="0" t="s">
        <v>42</v>
      </c>
      <c r="V352" s="0" t="s">
        <v>42</v>
      </c>
      <c r="W352" s="0" t="s">
        <v>42</v>
      </c>
      <c r="X352" s="0" t="s">
        <v>42</v>
      </c>
      <c r="Y352" s="2" t="s">
        <v>1754</v>
      </c>
      <c r="Z352" s="0" t="s">
        <v>36</v>
      </c>
      <c r="AA352" s="0" t="s">
        <v>36</v>
      </c>
      <c r="AB352" s="0" t="s">
        <v>36</v>
      </c>
      <c r="AC352" s="0" t="s">
        <v>36</v>
      </c>
      <c r="AD352" s="0" t="s">
        <v>36</v>
      </c>
      <c r="AE352" s="2" t="s">
        <v>36</v>
      </c>
    </row>
    <row r="353">
      <c r="A353" s="6" t="s">
        <v>31</v>
      </c>
      <c r="B353" s="7">
        <v>42795</v>
      </c>
      <c r="C353" s="9">
        <f>HYPERLINK("https://www.epingalert.org/en/Search?viewData= G/SPS/N/RUS/138"," G/SPS/N/RUS/138")</f>
      </c>
      <c r="D353" s="8" t="s">
        <v>1755</v>
      </c>
      <c r="E353" s="8" t="s">
        <v>1756</v>
      </c>
      <c r="F353" s="8" t="s">
        <v>1757</v>
      </c>
      <c r="G353" s="8" t="s">
        <v>36</v>
      </c>
      <c r="H353" s="8" t="s">
        <v>36</v>
      </c>
      <c r="I353" s="8" t="s">
        <v>97</v>
      </c>
      <c r="J353" s="8" t="s">
        <v>105</v>
      </c>
      <c r="K353" s="6"/>
      <c r="L353" s="7">
        <v>42865</v>
      </c>
      <c r="M353" s="6" t="s">
        <v>51</v>
      </c>
      <c r="N353" s="8" t="s">
        <v>1758</v>
      </c>
      <c r="O353" s="6">
        <f>HYPERLINK("https://docs.wto.org/imrd/directdoc.asp?DDFDocuments/t/G/SPS/NRUS138.pdf", "https://docs.wto.org/imrd/directdoc.asp?DDFDocuments/t/G/SPS/NRUS138.pdf")</f>
      </c>
      <c r="P353" s="6">
        <f>HYPERLINK("https://docs.wto.org/imrd/directdoc.asp?DDFDocuments/u/G/SPS/NRUS138.pdf", "https://docs.wto.org/imrd/directdoc.asp?DDFDocuments/u/G/SPS/NRUS138.pdf")</f>
      </c>
      <c r="Q353" s="6">
        <f>HYPERLINK("https://docs.wto.org/imrd/directdoc.asp?DDFDocuments/v/G/SPS/NRUS138.pdf", "https://docs.wto.org/imrd/directdoc.asp?DDFDocuments/v/G/SPS/NRUS138.pdf")</f>
      </c>
      <c r="R353" s="0" t="s">
        <v>36</v>
      </c>
      <c r="S353" s="0" t="s">
        <v>36</v>
      </c>
      <c r="T353" s="0" t="s">
        <v>36</v>
      </c>
      <c r="U353" s="0" t="s">
        <v>36</v>
      </c>
      <c r="V353" s="0" t="s">
        <v>36</v>
      </c>
      <c r="W353" s="0" t="s">
        <v>36</v>
      </c>
      <c r="X353" s="0" t="s">
        <v>36</v>
      </c>
      <c r="Y353" s="2" t="s">
        <v>36</v>
      </c>
      <c r="Z353" s="0" t="s">
        <v>43</v>
      </c>
      <c r="AA353" s="0" t="s">
        <v>42</v>
      </c>
      <c r="AB353" s="0" t="s">
        <v>42</v>
      </c>
      <c r="AC353" s="0" t="s">
        <v>42</v>
      </c>
      <c r="AD353" s="0" t="s">
        <v>43</v>
      </c>
      <c r="AE353" s="2"/>
    </row>
    <row r="354">
      <c r="A354" s="6" t="s">
        <v>31</v>
      </c>
      <c r="B354" s="7">
        <v>42779</v>
      </c>
      <c r="C354" s="9">
        <f>HYPERLINK("https://www.epingalert.org/en/Search?viewData= G/SPS/N/RUS/137"," G/SPS/N/RUS/137")</f>
      </c>
      <c r="D354" s="8" t="s">
        <v>1759</v>
      </c>
      <c r="E354" s="8" t="s">
        <v>1760</v>
      </c>
      <c r="F354" s="8" t="s">
        <v>1726</v>
      </c>
      <c r="G354" s="8" t="s">
        <v>36</v>
      </c>
      <c r="H354" s="8" t="s">
        <v>36</v>
      </c>
      <c r="I354" s="8" t="s">
        <v>97</v>
      </c>
      <c r="J354" s="8" t="s">
        <v>1562</v>
      </c>
      <c r="K354" s="6"/>
      <c r="L354" s="7">
        <v>42839</v>
      </c>
      <c r="M354" s="6" t="s">
        <v>51</v>
      </c>
      <c r="N354" s="8" t="s">
        <v>1761</v>
      </c>
      <c r="O354" s="6">
        <f>HYPERLINK("https://docs.wto.org/imrd/directdoc.asp?DDFDocuments/t/G/SPS/NRUS137.pdf", "https://docs.wto.org/imrd/directdoc.asp?DDFDocuments/t/G/SPS/NRUS137.pdf")</f>
      </c>
      <c r="P354" s="6">
        <f>HYPERLINK("https://docs.wto.org/imrd/directdoc.asp?DDFDocuments/u/G/SPS/NRUS137.pdf", "https://docs.wto.org/imrd/directdoc.asp?DDFDocuments/u/G/SPS/NRUS137.pdf")</f>
      </c>
      <c r="Q354" s="6">
        <f>HYPERLINK("https://docs.wto.org/imrd/directdoc.asp?DDFDocuments/v/G/SPS/NRUS137.pdf", "https://docs.wto.org/imrd/directdoc.asp?DDFDocuments/v/G/SPS/NRUS137.pdf")</f>
      </c>
      <c r="R354" s="0" t="s">
        <v>36</v>
      </c>
      <c r="S354" s="0" t="s">
        <v>36</v>
      </c>
      <c r="T354" s="0" t="s">
        <v>36</v>
      </c>
      <c r="U354" s="0" t="s">
        <v>36</v>
      </c>
      <c r="V354" s="0" t="s">
        <v>36</v>
      </c>
      <c r="W354" s="0" t="s">
        <v>36</v>
      </c>
      <c r="X354" s="0" t="s">
        <v>36</v>
      </c>
      <c r="Y354" s="2" t="s">
        <v>36</v>
      </c>
      <c r="Z354" s="0" t="s">
        <v>42</v>
      </c>
      <c r="AA354" s="0" t="s">
        <v>42</v>
      </c>
      <c r="AB354" s="0" t="s">
        <v>42</v>
      </c>
      <c r="AC354" s="0" t="s">
        <v>43</v>
      </c>
      <c r="AD354" s="0" t="s">
        <v>107</v>
      </c>
      <c r="AE354" s="2"/>
    </row>
    <row r="355">
      <c r="A355" s="6" t="s">
        <v>31</v>
      </c>
      <c r="B355" s="7">
        <v>42774</v>
      </c>
      <c r="C355" s="9">
        <f>HYPERLINK("https://www.epingalert.org/en/Search?viewData= G/SPS/N/RUS/136"," G/SPS/N/RUS/136")</f>
      </c>
      <c r="D355" s="8" t="s">
        <v>1762</v>
      </c>
      <c r="E355" s="8" t="s">
        <v>1763</v>
      </c>
      <c r="F355" s="8" t="s">
        <v>220</v>
      </c>
      <c r="G355" s="8" t="s">
        <v>36</v>
      </c>
      <c r="H355" s="8" t="s">
        <v>36</v>
      </c>
      <c r="I355" s="8" t="s">
        <v>97</v>
      </c>
      <c r="J355" s="8" t="s">
        <v>1764</v>
      </c>
      <c r="K355" s="6"/>
      <c r="L355" s="7">
        <v>42834</v>
      </c>
      <c r="M355" s="6" t="s">
        <v>51</v>
      </c>
      <c r="N355" s="8" t="s">
        <v>1765</v>
      </c>
      <c r="O355" s="6">
        <f>HYPERLINK("https://docs.wto.org/imrd/directdoc.asp?DDFDocuments/t/G/SPS/NRUS136.pdf", "https://docs.wto.org/imrd/directdoc.asp?DDFDocuments/t/G/SPS/NRUS136.pdf")</f>
      </c>
      <c r="P355" s="6">
        <f>HYPERLINK("https://docs.wto.org/imrd/directdoc.asp?DDFDocuments/u/G/SPS/NRUS136.pdf", "https://docs.wto.org/imrd/directdoc.asp?DDFDocuments/u/G/SPS/NRUS136.pdf")</f>
      </c>
      <c r="Q355" s="6">
        <f>HYPERLINK("https://docs.wto.org/imrd/directdoc.asp?DDFDocuments/v/G/SPS/NRUS136.pdf", "https://docs.wto.org/imrd/directdoc.asp?DDFDocuments/v/G/SPS/NRUS136.pdf")</f>
      </c>
      <c r="R355" s="0" t="s">
        <v>36</v>
      </c>
      <c r="S355" s="0" t="s">
        <v>36</v>
      </c>
      <c r="T355" s="0" t="s">
        <v>36</v>
      </c>
      <c r="U355" s="0" t="s">
        <v>36</v>
      </c>
      <c r="V355" s="0" t="s">
        <v>36</v>
      </c>
      <c r="W355" s="0" t="s">
        <v>36</v>
      </c>
      <c r="X355" s="0" t="s">
        <v>36</v>
      </c>
      <c r="Y355" s="2" t="s">
        <v>36</v>
      </c>
      <c r="Z355" s="0" t="s">
        <v>43</v>
      </c>
      <c r="AA355" s="0" t="s">
        <v>42</v>
      </c>
      <c r="AB355" s="0" t="s">
        <v>42</v>
      </c>
      <c r="AC355" s="0" t="s">
        <v>42</v>
      </c>
      <c r="AD355" s="0" t="s">
        <v>43</v>
      </c>
      <c r="AE355" s="2"/>
    </row>
    <row r="356">
      <c r="A356" s="6" t="s">
        <v>31</v>
      </c>
      <c r="B356" s="7">
        <v>42773</v>
      </c>
      <c r="C356" s="9">
        <f>HYPERLINK("https://www.epingalert.org/en/Search?viewData= G/SPS/N/RUS/135"," G/SPS/N/RUS/135")</f>
      </c>
      <c r="D356" s="8" t="s">
        <v>1766</v>
      </c>
      <c r="E356" s="8" t="s">
        <v>1767</v>
      </c>
      <c r="F356" s="8" t="s">
        <v>1768</v>
      </c>
      <c r="G356" s="8" t="s">
        <v>1769</v>
      </c>
      <c r="H356" s="8" t="s">
        <v>36</v>
      </c>
      <c r="I356" s="8" t="s">
        <v>97</v>
      </c>
      <c r="J356" s="8" t="s">
        <v>105</v>
      </c>
      <c r="K356" s="6" t="s">
        <v>367</v>
      </c>
      <c r="L356" s="7" t="s">
        <v>36</v>
      </c>
      <c r="M356" s="6" t="s">
        <v>40</v>
      </c>
      <c r="N356" s="6"/>
      <c r="O356" s="6">
        <f>HYPERLINK("https://docs.wto.org/imrd/directdoc.asp?DDFDocuments/t/G/SPS/NRUS135.pdf", "https://docs.wto.org/imrd/directdoc.asp?DDFDocuments/t/G/SPS/NRUS135.pdf")</f>
      </c>
      <c r="P356" s="6">
        <f>HYPERLINK("https://docs.wto.org/imrd/directdoc.asp?DDFDocuments/u/G/SPS/NRUS135.pdf", "https://docs.wto.org/imrd/directdoc.asp?DDFDocuments/u/G/SPS/NRUS135.pdf")</f>
      </c>
      <c r="Q356" s="6">
        <f>HYPERLINK("https://docs.wto.org/imrd/directdoc.asp?DDFDocuments/v/G/SPS/NRUS135.pdf", "https://docs.wto.org/imrd/directdoc.asp?DDFDocuments/v/G/SPS/NRUS135.pdf")</f>
      </c>
      <c r="R356" s="0" t="s">
        <v>36</v>
      </c>
      <c r="S356" s="0" t="s">
        <v>36</v>
      </c>
      <c r="T356" s="0" t="s">
        <v>36</v>
      </c>
      <c r="U356" s="0" t="s">
        <v>36</v>
      </c>
      <c r="V356" s="0" t="s">
        <v>36</v>
      </c>
      <c r="W356" s="0" t="s">
        <v>36</v>
      </c>
      <c r="X356" s="0" t="s">
        <v>36</v>
      </c>
      <c r="Y356" s="2" t="s">
        <v>36</v>
      </c>
      <c r="Z356" s="0" t="s">
        <v>42</v>
      </c>
      <c r="AA356" s="0" t="s">
        <v>42</v>
      </c>
      <c r="AB356" s="0" t="s">
        <v>42</v>
      </c>
      <c r="AC356" s="0" t="s">
        <v>43</v>
      </c>
      <c r="AD356" s="0" t="s">
        <v>107</v>
      </c>
      <c r="AE356" s="2"/>
    </row>
    <row r="357">
      <c r="A357" s="6" t="s">
        <v>31</v>
      </c>
      <c r="B357" s="7">
        <v>42769</v>
      </c>
      <c r="C357" s="9">
        <f>HYPERLINK("https://www.epingalert.org/en/Search?viewData= G/TBT/N/RUS/81"," G/TBT/N/RUS/81")</f>
      </c>
      <c r="D357" s="8" t="s">
        <v>1770</v>
      </c>
      <c r="E357" s="8" t="s">
        <v>1771</v>
      </c>
      <c r="F357" s="8" t="s">
        <v>1772</v>
      </c>
      <c r="G357" s="8" t="s">
        <v>36</v>
      </c>
      <c r="H357" s="8" t="s">
        <v>1773</v>
      </c>
      <c r="I357" s="8" t="s">
        <v>164</v>
      </c>
      <c r="J357" s="8" t="s">
        <v>36</v>
      </c>
      <c r="K357" s="6"/>
      <c r="L357" s="7" t="s">
        <v>36</v>
      </c>
      <c r="M357" s="6" t="s">
        <v>51</v>
      </c>
      <c r="N357" s="6"/>
      <c r="O357" s="6">
        <f>HYPERLINK("https://docs.wto.org/imrd/directdoc.asp?DDFDocuments/t/G/TBTN17/RUS81.DOC", "https://docs.wto.org/imrd/directdoc.asp?DDFDocuments/t/G/TBTN17/RUS81.DOC")</f>
      </c>
      <c r="P357" s="6">
        <f>HYPERLINK("https://docs.wto.org/imrd/directdoc.asp?DDFDocuments/u/G/TBTN17/RUS81.DOC", "https://docs.wto.org/imrd/directdoc.asp?DDFDocuments/u/G/TBTN17/RUS81.DOC")</f>
      </c>
      <c r="Q357" s="6">
        <f>HYPERLINK("https://docs.wto.org/imrd/directdoc.asp?DDFDocuments/v/G/TBTN17/RUS81.DOC", "https://docs.wto.org/imrd/directdoc.asp?DDFDocuments/v/G/TBTN17/RUS81.DOC")</f>
      </c>
      <c r="R357" s="0" t="s">
        <v>42</v>
      </c>
      <c r="S357" s="0" t="s">
        <v>43</v>
      </c>
      <c r="T357" s="0" t="s">
        <v>42</v>
      </c>
      <c r="U357" s="0" t="s">
        <v>43</v>
      </c>
      <c r="V357" s="0" t="s">
        <v>42</v>
      </c>
      <c r="W357" s="0" t="s">
        <v>42</v>
      </c>
      <c r="X357" s="0" t="s">
        <v>42</v>
      </c>
      <c r="Y357" s="2" t="s">
        <v>1774</v>
      </c>
      <c r="Z357" s="0" t="s">
        <v>36</v>
      </c>
      <c r="AA357" s="0" t="s">
        <v>36</v>
      </c>
      <c r="AB357" s="0" t="s">
        <v>36</v>
      </c>
      <c r="AC357" s="0" t="s">
        <v>36</v>
      </c>
      <c r="AD357" s="0" t="s">
        <v>36</v>
      </c>
      <c r="AE357" s="2" t="s">
        <v>36</v>
      </c>
    </row>
    <row r="358">
      <c r="A358" s="6" t="s">
        <v>31</v>
      </c>
      <c r="B358" s="7">
        <v>42746</v>
      </c>
      <c r="C358" s="9">
        <f>HYPERLINK("https://www.epingalert.org/en/Search?viewData= G/TBT/N/RUS/77"," G/TBT/N/RUS/77")</f>
      </c>
      <c r="D358" s="8" t="s">
        <v>1775</v>
      </c>
      <c r="E358" s="8" t="s">
        <v>1776</v>
      </c>
      <c r="F358" s="8" t="s">
        <v>1777</v>
      </c>
      <c r="G358" s="8" t="s">
        <v>36</v>
      </c>
      <c r="H358" s="8" t="s">
        <v>1636</v>
      </c>
      <c r="I358" s="8" t="s">
        <v>902</v>
      </c>
      <c r="J358" s="8" t="s">
        <v>36</v>
      </c>
      <c r="K358" s="6"/>
      <c r="L358" s="7">
        <v>42794</v>
      </c>
      <c r="M358" s="6" t="s">
        <v>51</v>
      </c>
      <c r="N358" s="6"/>
      <c r="O358" s="6">
        <f>HYPERLINK("https://docs.wto.org/imrd/directdoc.asp?DDFDocuments/t/G/TBTN17/RUS77.DOC", "https://docs.wto.org/imrd/directdoc.asp?DDFDocuments/t/G/TBTN17/RUS77.DOC")</f>
      </c>
      <c r="P358" s="6">
        <f>HYPERLINK("https://docs.wto.org/imrd/directdoc.asp?DDFDocuments/u/G/TBTN17/RUS77.DOC", "https://docs.wto.org/imrd/directdoc.asp?DDFDocuments/u/G/TBTN17/RUS77.DOC")</f>
      </c>
      <c r="Q358" s="6">
        <f>HYPERLINK("https://docs.wto.org/imrd/directdoc.asp?DDFDocuments/v/G/TBTN17/RUS77.DOC", "https://docs.wto.org/imrd/directdoc.asp?DDFDocuments/v/G/TBTN17/RUS77.DOC")</f>
      </c>
      <c r="R358" s="0" t="s">
        <v>43</v>
      </c>
      <c r="S358" s="0" t="s">
        <v>42</v>
      </c>
      <c r="T358" s="0" t="s">
        <v>43</v>
      </c>
      <c r="U358" s="0" t="s">
        <v>42</v>
      </c>
      <c r="V358" s="0" t="s">
        <v>42</v>
      </c>
      <c r="W358" s="0" t="s">
        <v>42</v>
      </c>
      <c r="X358" s="0" t="s">
        <v>42</v>
      </c>
      <c r="Y358" s="2" t="s">
        <v>1778</v>
      </c>
      <c r="Z358" s="0" t="s">
        <v>36</v>
      </c>
      <c r="AA358" s="0" t="s">
        <v>36</v>
      </c>
      <c r="AB358" s="0" t="s">
        <v>36</v>
      </c>
      <c r="AC358" s="0" t="s">
        <v>36</v>
      </c>
      <c r="AD358" s="0" t="s">
        <v>36</v>
      </c>
      <c r="AE358" s="2" t="s">
        <v>36</v>
      </c>
    </row>
    <row r="359">
      <c r="A359" s="6" t="s">
        <v>31</v>
      </c>
      <c r="B359" s="7">
        <v>42746</v>
      </c>
      <c r="C359" s="9">
        <f>HYPERLINK("https://www.epingalert.org/en/Search?viewData= G/TBT/N/RUS/79"," G/TBT/N/RUS/79")</f>
      </c>
      <c r="D359" s="8" t="s">
        <v>1779</v>
      </c>
      <c r="E359" s="8" t="s">
        <v>1780</v>
      </c>
      <c r="F359" s="8" t="s">
        <v>1781</v>
      </c>
      <c r="G359" s="8" t="s">
        <v>36</v>
      </c>
      <c r="H359" s="8" t="s">
        <v>1782</v>
      </c>
      <c r="I359" s="8" t="s">
        <v>902</v>
      </c>
      <c r="J359" s="8" t="s">
        <v>36</v>
      </c>
      <c r="K359" s="6"/>
      <c r="L359" s="7">
        <v>42794</v>
      </c>
      <c r="M359" s="6" t="s">
        <v>51</v>
      </c>
      <c r="N359" s="6"/>
      <c r="O359" s="6">
        <f>HYPERLINK("https://docs.wto.org/imrd/directdoc.asp?DDFDocuments/t/G/TBTN17/RUS79.DOC", "https://docs.wto.org/imrd/directdoc.asp?DDFDocuments/t/G/TBTN17/RUS79.DOC")</f>
      </c>
      <c r="P359" s="6">
        <f>HYPERLINK("https://docs.wto.org/imrd/directdoc.asp?DDFDocuments/u/G/TBTN17/RUS79.DOC", "https://docs.wto.org/imrd/directdoc.asp?DDFDocuments/u/G/TBTN17/RUS79.DOC")</f>
      </c>
      <c r="Q359" s="6">
        <f>HYPERLINK("https://docs.wto.org/imrd/directdoc.asp?DDFDocuments/v/G/TBTN17/RUS79.DOC", "https://docs.wto.org/imrd/directdoc.asp?DDFDocuments/v/G/TBTN17/RUS79.DOC")</f>
      </c>
      <c r="R359" s="0" t="s">
        <v>43</v>
      </c>
      <c r="S359" s="0" t="s">
        <v>42</v>
      </c>
      <c r="T359" s="0" t="s">
        <v>42</v>
      </c>
      <c r="U359" s="0" t="s">
        <v>42</v>
      </c>
      <c r="V359" s="0" t="s">
        <v>42</v>
      </c>
      <c r="W359" s="0" t="s">
        <v>42</v>
      </c>
      <c r="X359" s="0" t="s">
        <v>42</v>
      </c>
      <c r="Y359" s="2" t="s">
        <v>1783</v>
      </c>
      <c r="Z359" s="0" t="s">
        <v>36</v>
      </c>
      <c r="AA359" s="0" t="s">
        <v>36</v>
      </c>
      <c r="AB359" s="0" t="s">
        <v>36</v>
      </c>
      <c r="AC359" s="0" t="s">
        <v>36</v>
      </c>
      <c r="AD359" s="0" t="s">
        <v>36</v>
      </c>
      <c r="AE359" s="2" t="s">
        <v>36</v>
      </c>
    </row>
    <row r="360">
      <c r="A360" s="6" t="s">
        <v>31</v>
      </c>
      <c r="B360" s="7">
        <v>42746</v>
      </c>
      <c r="C360" s="9">
        <f>HYPERLINK("https://www.epingalert.org/en/Search?viewData= G/TBT/N/RUS/80"," G/TBT/N/RUS/80")</f>
      </c>
      <c r="D360" s="8" t="s">
        <v>1784</v>
      </c>
      <c r="E360" s="8" t="s">
        <v>1785</v>
      </c>
      <c r="F360" s="8" t="s">
        <v>1786</v>
      </c>
      <c r="G360" s="8" t="s">
        <v>36</v>
      </c>
      <c r="H360" s="8" t="s">
        <v>1787</v>
      </c>
      <c r="I360" s="8" t="s">
        <v>902</v>
      </c>
      <c r="J360" s="8" t="s">
        <v>36</v>
      </c>
      <c r="K360" s="6"/>
      <c r="L360" s="7">
        <v>42794</v>
      </c>
      <c r="M360" s="6" t="s">
        <v>51</v>
      </c>
      <c r="N360" s="6"/>
      <c r="O360" s="6">
        <f>HYPERLINK("https://docs.wto.org/imrd/directdoc.asp?DDFDocuments/t/G/TBTN17/RUS80.DOC", "https://docs.wto.org/imrd/directdoc.asp?DDFDocuments/t/G/TBTN17/RUS80.DOC")</f>
      </c>
      <c r="P360" s="6">
        <f>HYPERLINK("https://docs.wto.org/imrd/directdoc.asp?DDFDocuments/u/G/TBTN17/RUS80.DOC", "https://docs.wto.org/imrd/directdoc.asp?DDFDocuments/u/G/TBTN17/RUS80.DOC")</f>
      </c>
      <c r="Q360" s="6">
        <f>HYPERLINK("https://docs.wto.org/imrd/directdoc.asp?DDFDocuments/v/G/TBTN17/RUS80.DOC", "https://docs.wto.org/imrd/directdoc.asp?DDFDocuments/v/G/TBTN17/RUS80.DOC")</f>
      </c>
      <c r="R360" s="0" t="s">
        <v>43</v>
      </c>
      <c r="S360" s="0" t="s">
        <v>42</v>
      </c>
      <c r="T360" s="0" t="s">
        <v>42</v>
      </c>
      <c r="U360" s="0" t="s">
        <v>42</v>
      </c>
      <c r="V360" s="0" t="s">
        <v>42</v>
      </c>
      <c r="W360" s="0" t="s">
        <v>42</v>
      </c>
      <c r="X360" s="0" t="s">
        <v>42</v>
      </c>
      <c r="Y360" s="2" t="s">
        <v>1788</v>
      </c>
      <c r="Z360" s="0" t="s">
        <v>36</v>
      </c>
      <c r="AA360" s="0" t="s">
        <v>36</v>
      </c>
      <c r="AB360" s="0" t="s">
        <v>36</v>
      </c>
      <c r="AC360" s="0" t="s">
        <v>36</v>
      </c>
      <c r="AD360" s="0" t="s">
        <v>36</v>
      </c>
      <c r="AE360" s="2" t="s">
        <v>36</v>
      </c>
    </row>
    <row r="361">
      <c r="A361" s="6" t="s">
        <v>31</v>
      </c>
      <c r="B361" s="7">
        <v>42746</v>
      </c>
      <c r="C361" s="9">
        <f>HYPERLINK("https://www.epingalert.org/en/Search?viewData= G/TBT/N/RUS/78"," G/TBT/N/RUS/78")</f>
      </c>
      <c r="D361" s="8" t="s">
        <v>1789</v>
      </c>
      <c r="E361" s="8" t="s">
        <v>1790</v>
      </c>
      <c r="F361" s="8" t="s">
        <v>1791</v>
      </c>
      <c r="G361" s="8" t="s">
        <v>36</v>
      </c>
      <c r="H361" s="8" t="s">
        <v>36</v>
      </c>
      <c r="I361" s="8" t="s">
        <v>902</v>
      </c>
      <c r="J361" s="8" t="s">
        <v>36</v>
      </c>
      <c r="K361" s="6"/>
      <c r="L361" s="7">
        <v>42794</v>
      </c>
      <c r="M361" s="6" t="s">
        <v>51</v>
      </c>
      <c r="N361" s="6"/>
      <c r="O361" s="6">
        <f>HYPERLINK("https://docs.wto.org/imrd/directdoc.asp?DDFDocuments/t/G/TBTN17/RUS78.DOC", "https://docs.wto.org/imrd/directdoc.asp?DDFDocuments/t/G/TBTN17/RUS78.DOC")</f>
      </c>
      <c r="P361" s="6">
        <f>HYPERLINK("https://docs.wto.org/imrd/directdoc.asp?DDFDocuments/u/G/TBTN17/RUS78.DOC", "https://docs.wto.org/imrd/directdoc.asp?DDFDocuments/u/G/TBTN17/RUS78.DOC")</f>
      </c>
      <c r="Q361" s="6">
        <f>HYPERLINK("https://docs.wto.org/imrd/directdoc.asp?DDFDocuments/v/G/TBTN17/RUS78.DOC", "https://docs.wto.org/imrd/directdoc.asp?DDFDocuments/v/G/TBTN17/RUS78.DOC")</f>
      </c>
      <c r="R361" s="0" t="s">
        <v>43</v>
      </c>
      <c r="S361" s="0" t="s">
        <v>42</v>
      </c>
      <c r="T361" s="0" t="s">
        <v>43</v>
      </c>
      <c r="U361" s="0" t="s">
        <v>42</v>
      </c>
      <c r="V361" s="0" t="s">
        <v>42</v>
      </c>
      <c r="W361" s="0" t="s">
        <v>42</v>
      </c>
      <c r="X361" s="0" t="s">
        <v>42</v>
      </c>
      <c r="Y361" s="2" t="s">
        <v>1792</v>
      </c>
      <c r="Z361" s="0" t="s">
        <v>36</v>
      </c>
      <c r="AA361" s="0" t="s">
        <v>36</v>
      </c>
      <c r="AB361" s="0" t="s">
        <v>36</v>
      </c>
      <c r="AC361" s="0" t="s">
        <v>36</v>
      </c>
      <c r="AD361" s="0" t="s">
        <v>36</v>
      </c>
      <c r="AE361" s="2" t="s">
        <v>36</v>
      </c>
    </row>
    <row r="362">
      <c r="A362" s="6" t="s">
        <v>31</v>
      </c>
      <c r="B362" s="7">
        <v>42720</v>
      </c>
      <c r="C362" s="9">
        <f>HYPERLINK("https://www.epingalert.org/en/Search?viewData= G/SPS/N/RUS/134"," G/SPS/N/RUS/134")</f>
      </c>
      <c r="D362" s="8" t="s">
        <v>1793</v>
      </c>
      <c r="E362" s="8" t="s">
        <v>1794</v>
      </c>
      <c r="F362" s="8" t="s">
        <v>1795</v>
      </c>
      <c r="G362" s="8" t="s">
        <v>1796</v>
      </c>
      <c r="H362" s="8" t="s">
        <v>36</v>
      </c>
      <c r="I362" s="8" t="s">
        <v>332</v>
      </c>
      <c r="J362" s="8" t="s">
        <v>1797</v>
      </c>
      <c r="K362" s="6" t="s">
        <v>1798</v>
      </c>
      <c r="L362" s="7" t="s">
        <v>36</v>
      </c>
      <c r="M362" s="6" t="s">
        <v>40</v>
      </c>
      <c r="N362" s="8" t="s">
        <v>1799</v>
      </c>
      <c r="O362" s="6">
        <f>HYPERLINK("https://docs.wto.org/imrd/directdoc.asp?DDFDocuments/t/G/SPS/NRUS134.pdf", "https://docs.wto.org/imrd/directdoc.asp?DDFDocuments/t/G/SPS/NRUS134.pdf")</f>
      </c>
      <c r="P362" s="6">
        <f>HYPERLINK("https://docs.wto.org/imrd/directdoc.asp?DDFDocuments/u/G/SPS/NRUS134.pdf", "https://docs.wto.org/imrd/directdoc.asp?DDFDocuments/u/G/SPS/NRUS134.pdf")</f>
      </c>
      <c r="Q362" s="6">
        <f>HYPERLINK("https://docs.wto.org/imrd/directdoc.asp?DDFDocuments/v/G/SPS/NRUS134.pdf", "https://docs.wto.org/imrd/directdoc.asp?DDFDocuments/v/G/SPS/NRUS134.pdf")</f>
      </c>
      <c r="R362" s="0" t="s">
        <v>36</v>
      </c>
      <c r="S362" s="0" t="s">
        <v>36</v>
      </c>
      <c r="T362" s="0" t="s">
        <v>36</v>
      </c>
      <c r="U362" s="0" t="s">
        <v>36</v>
      </c>
      <c r="V362" s="0" t="s">
        <v>36</v>
      </c>
      <c r="W362" s="0" t="s">
        <v>36</v>
      </c>
      <c r="X362" s="0" t="s">
        <v>36</v>
      </c>
      <c r="Y362" s="2" t="s">
        <v>36</v>
      </c>
      <c r="Z362" s="0" t="s">
        <v>42</v>
      </c>
      <c r="AA362" s="0" t="s">
        <v>43</v>
      </c>
      <c r="AB362" s="0" t="s">
        <v>42</v>
      </c>
      <c r="AC362" s="0" t="s">
        <v>42</v>
      </c>
      <c r="AD362" s="0" t="s">
        <v>43</v>
      </c>
      <c r="AE362" s="2"/>
    </row>
    <row r="363">
      <c r="A363" s="6" t="s">
        <v>31</v>
      </c>
      <c r="B363" s="7">
        <v>42705</v>
      </c>
      <c r="C363" s="9">
        <f>HYPERLINK("https://www.epingalert.org/en/Search?viewData= G/SPS/N/RUS/133"," G/SPS/N/RUS/133")</f>
      </c>
      <c r="D363" s="8" t="s">
        <v>1800</v>
      </c>
      <c r="E363" s="8" t="s">
        <v>1801</v>
      </c>
      <c r="F363" s="8" t="s">
        <v>1802</v>
      </c>
      <c r="G363" s="8" t="s">
        <v>1803</v>
      </c>
      <c r="H363" s="8" t="s">
        <v>36</v>
      </c>
      <c r="I363" s="8" t="s">
        <v>1323</v>
      </c>
      <c r="J363" s="8" t="s">
        <v>1804</v>
      </c>
      <c r="K363" s="6" t="s">
        <v>1805</v>
      </c>
      <c r="L363" s="7" t="s">
        <v>36</v>
      </c>
      <c r="M363" s="6" t="s">
        <v>40</v>
      </c>
      <c r="N363" s="8" t="s">
        <v>1806</v>
      </c>
      <c r="O363" s="6">
        <f>HYPERLINK("https://docs.wto.org/imrd/directdoc.asp?DDFDocuments/t/G/SPS/NRUS133.pdf", "https://docs.wto.org/imrd/directdoc.asp?DDFDocuments/t/G/SPS/NRUS133.pdf")</f>
      </c>
      <c r="P363" s="6">
        <f>HYPERLINK("https://docs.wto.org/imrd/directdoc.asp?DDFDocuments/u/G/SPS/NRUS133.pdf", "https://docs.wto.org/imrd/directdoc.asp?DDFDocuments/u/G/SPS/NRUS133.pdf")</f>
      </c>
      <c r="Q363" s="6">
        <f>HYPERLINK("https://docs.wto.org/imrd/directdoc.asp?DDFDocuments/v/G/SPS/NRUS133.pdf", "https://docs.wto.org/imrd/directdoc.asp?DDFDocuments/v/G/SPS/NRUS133.pdf")</f>
      </c>
      <c r="R363" s="0" t="s">
        <v>36</v>
      </c>
      <c r="S363" s="0" t="s">
        <v>36</v>
      </c>
      <c r="T363" s="0" t="s">
        <v>36</v>
      </c>
      <c r="U363" s="0" t="s">
        <v>36</v>
      </c>
      <c r="V363" s="0" t="s">
        <v>36</v>
      </c>
      <c r="W363" s="0" t="s">
        <v>36</v>
      </c>
      <c r="X363" s="0" t="s">
        <v>36</v>
      </c>
      <c r="Y363" s="2" t="s">
        <v>36</v>
      </c>
      <c r="Z363" s="0" t="s">
        <v>42</v>
      </c>
      <c r="AA363" s="0" t="s">
        <v>43</v>
      </c>
      <c r="AB363" s="0" t="s">
        <v>42</v>
      </c>
      <c r="AC363" s="0" t="s">
        <v>42</v>
      </c>
      <c r="AD363" s="0" t="s">
        <v>43</v>
      </c>
      <c r="AE363" s="2"/>
    </row>
    <row r="364">
      <c r="A364" s="6" t="s">
        <v>31</v>
      </c>
      <c r="B364" s="7">
        <v>42646</v>
      </c>
      <c r="C364" s="9">
        <f>HYPERLINK("https://www.epingalert.org/en/Search?viewData= G/SPS/N/RUS/132/Add.1"," G/SPS/N/RUS/132/Add.1")</f>
      </c>
      <c r="D364" s="8" t="s">
        <v>1807</v>
      </c>
      <c r="E364" s="8" t="s">
        <v>1808</v>
      </c>
      <c r="F364" s="8"/>
      <c r="G364" s="8" t="s">
        <v>1809</v>
      </c>
      <c r="H364" s="8" t="s">
        <v>36</v>
      </c>
      <c r="I364" s="8" t="s">
        <v>65</v>
      </c>
      <c r="J364" s="8" t="s">
        <v>1810</v>
      </c>
      <c r="K364" s="6"/>
      <c r="L364" s="7" t="s">
        <v>36</v>
      </c>
      <c r="M364" s="6" t="s">
        <v>179</v>
      </c>
      <c r="N364" s="6"/>
      <c r="O364" s="6">
        <f>HYPERLINK("https://docs.wto.org/imrd/directdoc.asp?DDFDocuments/t/G/SPS/NRUS132A1.pdf", "https://docs.wto.org/imrd/directdoc.asp?DDFDocuments/t/G/SPS/NRUS132A1.pdf")</f>
      </c>
      <c r="P364" s="6">
        <f>HYPERLINK("https://docs.wto.org/imrd/directdoc.asp?DDFDocuments/u/G/SPS/NRUS132A1.pdf", "https://docs.wto.org/imrd/directdoc.asp?DDFDocuments/u/G/SPS/NRUS132A1.pdf")</f>
      </c>
      <c r="Q364" s="6">
        <f>HYPERLINK("https://docs.wto.org/imrd/directdoc.asp?DDFDocuments/v/G/SPS/NRUS132A1.pdf", "https://docs.wto.org/imrd/directdoc.asp?DDFDocuments/v/G/SPS/NRUS132A1.pdf")</f>
      </c>
      <c r="R364" s="0" t="s">
        <v>36</v>
      </c>
      <c r="S364" s="0" t="s">
        <v>36</v>
      </c>
      <c r="T364" s="0" t="s">
        <v>36</v>
      </c>
      <c r="U364" s="0" t="s">
        <v>36</v>
      </c>
      <c r="V364" s="0" t="s">
        <v>36</v>
      </c>
      <c r="W364" s="0" t="s">
        <v>36</v>
      </c>
      <c r="X364" s="0" t="s">
        <v>36</v>
      </c>
      <c r="Y364" s="2" t="s">
        <v>36</v>
      </c>
      <c r="Z364" s="0" t="s">
        <v>36</v>
      </c>
      <c r="AA364" s="0" t="s">
        <v>36</v>
      </c>
      <c r="AB364" s="0" t="s">
        <v>36</v>
      </c>
      <c r="AC364" s="0" t="s">
        <v>36</v>
      </c>
      <c r="AD364" s="0" t="s">
        <v>36</v>
      </c>
      <c r="AE364" s="2" t="s">
        <v>36</v>
      </c>
    </row>
    <row r="365">
      <c r="A365" s="6" t="s">
        <v>31</v>
      </c>
      <c r="B365" s="7">
        <v>42635</v>
      </c>
      <c r="C365" s="9">
        <f>HYPERLINK("https://www.epingalert.org/en/Search?viewData= G/SPS/N/RUS/132"," G/SPS/N/RUS/132")</f>
      </c>
      <c r="D365" s="8" t="s">
        <v>1811</v>
      </c>
      <c r="E365" s="8" t="s">
        <v>1812</v>
      </c>
      <c r="F365" s="8" t="s">
        <v>1813</v>
      </c>
      <c r="G365" s="8" t="s">
        <v>1735</v>
      </c>
      <c r="H365" s="8" t="s">
        <v>36</v>
      </c>
      <c r="I365" s="8" t="s">
        <v>65</v>
      </c>
      <c r="J365" s="8" t="s">
        <v>409</v>
      </c>
      <c r="K365" s="6" t="s">
        <v>1814</v>
      </c>
      <c r="L365" s="7" t="s">
        <v>36</v>
      </c>
      <c r="M365" s="6" t="s">
        <v>40</v>
      </c>
      <c r="N365" s="6"/>
      <c r="O365" s="6">
        <f>HYPERLINK("https://docs.wto.org/imrd/directdoc.asp?DDFDocuments/t/G/SPS/NRUS132.pdf", "https://docs.wto.org/imrd/directdoc.asp?DDFDocuments/t/G/SPS/NRUS132.pdf")</f>
      </c>
      <c r="P365" s="6">
        <f>HYPERLINK("https://docs.wto.org/imrd/directdoc.asp?DDFDocuments/u/G/SPS/NRUS132.pdf", "https://docs.wto.org/imrd/directdoc.asp?DDFDocuments/u/G/SPS/NRUS132.pdf")</f>
      </c>
      <c r="Q365" s="6">
        <f>HYPERLINK("https://docs.wto.org/imrd/directdoc.asp?DDFDocuments/v/G/SPS/NRUS132.pdf", "https://docs.wto.org/imrd/directdoc.asp?DDFDocuments/v/G/SPS/NRUS132.pdf")</f>
      </c>
      <c r="R365" s="0" t="s">
        <v>36</v>
      </c>
      <c r="S365" s="0" t="s">
        <v>36</v>
      </c>
      <c r="T365" s="0" t="s">
        <v>36</v>
      </c>
      <c r="U365" s="0" t="s">
        <v>36</v>
      </c>
      <c r="V365" s="0" t="s">
        <v>36</v>
      </c>
      <c r="W365" s="0" t="s">
        <v>36</v>
      </c>
      <c r="X365" s="0" t="s">
        <v>36</v>
      </c>
      <c r="Y365" s="2" t="s">
        <v>36</v>
      </c>
      <c r="Z365" s="0" t="s">
        <v>42</v>
      </c>
      <c r="AA365" s="0" t="s">
        <v>42</v>
      </c>
      <c r="AB365" s="0" t="s">
        <v>43</v>
      </c>
      <c r="AC365" s="0" t="s">
        <v>42</v>
      </c>
      <c r="AD365" s="0" t="s">
        <v>43</v>
      </c>
      <c r="AE365" s="2"/>
    </row>
    <row r="366">
      <c r="A366" s="6" t="s">
        <v>31</v>
      </c>
      <c r="B366" s="7">
        <v>42634</v>
      </c>
      <c r="C366" s="9">
        <f>HYPERLINK("https://www.epingalert.org/en/Search?viewData= G/TBT/N/RUS/75"," G/TBT/N/RUS/75")</f>
      </c>
      <c r="D366" s="8" t="s">
        <v>1815</v>
      </c>
      <c r="E366" s="8" t="s">
        <v>1816</v>
      </c>
      <c r="F366" s="8" t="s">
        <v>782</v>
      </c>
      <c r="G366" s="8" t="s">
        <v>36</v>
      </c>
      <c r="H366" s="8" t="s">
        <v>783</v>
      </c>
      <c r="I366" s="8" t="s">
        <v>164</v>
      </c>
      <c r="J366" s="8" t="s">
        <v>36</v>
      </c>
      <c r="K366" s="6"/>
      <c r="L366" s="7">
        <v>42684</v>
      </c>
      <c r="M366" s="6" t="s">
        <v>51</v>
      </c>
      <c r="N366" s="6"/>
      <c r="O366" s="6">
        <f>HYPERLINK("https://docs.wto.org/imrd/directdoc.asp?DDFDocuments/t/G/TBTN16/RUS75.DOC", "https://docs.wto.org/imrd/directdoc.asp?DDFDocuments/t/G/TBTN16/RUS75.DOC")</f>
      </c>
      <c r="P366" s="6">
        <f>HYPERLINK("https://docs.wto.org/imrd/directdoc.asp?DDFDocuments/u/G/TBTN16/RUS75.DOC", "https://docs.wto.org/imrd/directdoc.asp?DDFDocuments/u/G/TBTN16/RUS75.DOC")</f>
      </c>
      <c r="Q366" s="6">
        <f>HYPERLINK("https://docs.wto.org/imrd/directdoc.asp?DDFDocuments/v/G/TBTN16/RUS75.DOC", "https://docs.wto.org/imrd/directdoc.asp?DDFDocuments/v/G/TBTN16/RUS75.DOC")</f>
      </c>
      <c r="R366" s="0" t="s">
        <v>43</v>
      </c>
      <c r="S366" s="0" t="s">
        <v>42</v>
      </c>
      <c r="T366" s="0" t="s">
        <v>42</v>
      </c>
      <c r="U366" s="0" t="s">
        <v>42</v>
      </c>
      <c r="V366" s="0" t="s">
        <v>42</v>
      </c>
      <c r="W366" s="0" t="s">
        <v>42</v>
      </c>
      <c r="X366" s="0" t="s">
        <v>42</v>
      </c>
      <c r="Y366" s="2" t="s">
        <v>1817</v>
      </c>
      <c r="Z366" s="0" t="s">
        <v>36</v>
      </c>
      <c r="AA366" s="0" t="s">
        <v>36</v>
      </c>
      <c r="AB366" s="0" t="s">
        <v>36</v>
      </c>
      <c r="AC366" s="0" t="s">
        <v>36</v>
      </c>
      <c r="AD366" s="0" t="s">
        <v>36</v>
      </c>
      <c r="AE366" s="2" t="s">
        <v>36</v>
      </c>
    </row>
    <row r="367">
      <c r="A367" s="6" t="s">
        <v>31</v>
      </c>
      <c r="B367" s="7">
        <v>42634</v>
      </c>
      <c r="C367" s="9">
        <f>HYPERLINK("https://www.epingalert.org/en/Search?viewData= G/TBT/N/RUS/76"," G/TBT/N/RUS/76")</f>
      </c>
      <c r="D367" s="8" t="s">
        <v>1818</v>
      </c>
      <c r="E367" s="8" t="s">
        <v>1819</v>
      </c>
      <c r="F367" s="8" t="s">
        <v>1820</v>
      </c>
      <c r="G367" s="8" t="s">
        <v>36</v>
      </c>
      <c r="H367" s="8" t="s">
        <v>1821</v>
      </c>
      <c r="I367" s="8" t="s">
        <v>164</v>
      </c>
      <c r="J367" s="8" t="s">
        <v>36</v>
      </c>
      <c r="K367" s="6"/>
      <c r="L367" s="7">
        <v>42684</v>
      </c>
      <c r="M367" s="6" t="s">
        <v>51</v>
      </c>
      <c r="N367" s="6"/>
      <c r="O367" s="6">
        <f>HYPERLINK("https://docs.wto.org/imrd/directdoc.asp?DDFDocuments/t/G/TBTN16/RUS76.DOC", "https://docs.wto.org/imrd/directdoc.asp?DDFDocuments/t/G/TBTN16/RUS76.DOC")</f>
      </c>
      <c r="P367" s="6">
        <f>HYPERLINK("https://docs.wto.org/imrd/directdoc.asp?DDFDocuments/u/G/TBTN16/RUS76.DOC", "https://docs.wto.org/imrd/directdoc.asp?DDFDocuments/u/G/TBTN16/RUS76.DOC")</f>
      </c>
      <c r="Q367" s="6">
        <f>HYPERLINK("https://docs.wto.org/imrd/directdoc.asp?DDFDocuments/v/G/TBTN16/RUS76.DOC", "https://docs.wto.org/imrd/directdoc.asp?DDFDocuments/v/G/TBTN16/RUS76.DOC")</f>
      </c>
      <c r="R367" s="0" t="s">
        <v>43</v>
      </c>
      <c r="S367" s="0" t="s">
        <v>42</v>
      </c>
      <c r="T367" s="0" t="s">
        <v>43</v>
      </c>
      <c r="U367" s="0" t="s">
        <v>42</v>
      </c>
      <c r="V367" s="0" t="s">
        <v>42</v>
      </c>
      <c r="W367" s="0" t="s">
        <v>42</v>
      </c>
      <c r="X367" s="0" t="s">
        <v>42</v>
      </c>
      <c r="Y367" s="2" t="s">
        <v>1822</v>
      </c>
      <c r="Z367" s="0" t="s">
        <v>36</v>
      </c>
      <c r="AA367" s="0" t="s">
        <v>36</v>
      </c>
      <c r="AB367" s="0" t="s">
        <v>36</v>
      </c>
      <c r="AC367" s="0" t="s">
        <v>36</v>
      </c>
      <c r="AD367" s="0" t="s">
        <v>36</v>
      </c>
      <c r="AE367" s="2" t="s">
        <v>36</v>
      </c>
    </row>
    <row r="368">
      <c r="A368" s="6" t="s">
        <v>31</v>
      </c>
      <c r="B368" s="7">
        <v>42634</v>
      </c>
      <c r="C368" s="9">
        <f>HYPERLINK("https://www.epingalert.org/en/Search?viewData= G/TBT/N/RUS/74"," G/TBT/N/RUS/74")</f>
      </c>
      <c r="D368" s="8" t="s">
        <v>1823</v>
      </c>
      <c r="E368" s="8" t="s">
        <v>1824</v>
      </c>
      <c r="F368" s="8" t="s">
        <v>1825</v>
      </c>
      <c r="G368" s="8" t="s">
        <v>36</v>
      </c>
      <c r="H368" s="8" t="s">
        <v>735</v>
      </c>
      <c r="I368" s="8" t="s">
        <v>796</v>
      </c>
      <c r="J368" s="8" t="s">
        <v>58</v>
      </c>
      <c r="K368" s="6"/>
      <c r="L368" s="7">
        <v>42684</v>
      </c>
      <c r="M368" s="6" t="s">
        <v>51</v>
      </c>
      <c r="N368" s="6"/>
      <c r="O368" s="6">
        <f>HYPERLINK("https://docs.wto.org/imrd/directdoc.asp?DDFDocuments/t/G/TBTN16/RUS74.DOC", "https://docs.wto.org/imrd/directdoc.asp?DDFDocuments/t/G/TBTN16/RUS74.DOC")</f>
      </c>
      <c r="P368" s="6">
        <f>HYPERLINK("https://docs.wto.org/imrd/directdoc.asp?DDFDocuments/u/G/TBTN16/RUS74.DOC", "https://docs.wto.org/imrd/directdoc.asp?DDFDocuments/u/G/TBTN16/RUS74.DOC")</f>
      </c>
      <c r="Q368" s="6">
        <f>HYPERLINK("https://docs.wto.org/imrd/directdoc.asp?DDFDocuments/v/G/TBTN16/RUS74.DOC", "https://docs.wto.org/imrd/directdoc.asp?DDFDocuments/v/G/TBTN16/RUS74.DOC")</f>
      </c>
      <c r="R368" s="0" t="s">
        <v>43</v>
      </c>
      <c r="S368" s="0" t="s">
        <v>42</v>
      </c>
      <c r="T368" s="0" t="s">
        <v>43</v>
      </c>
      <c r="U368" s="0" t="s">
        <v>42</v>
      </c>
      <c r="V368" s="0" t="s">
        <v>42</v>
      </c>
      <c r="W368" s="0" t="s">
        <v>42</v>
      </c>
      <c r="X368" s="0" t="s">
        <v>42</v>
      </c>
      <c r="Y368" s="2" t="s">
        <v>1826</v>
      </c>
      <c r="Z368" s="0" t="s">
        <v>36</v>
      </c>
      <c r="AA368" s="0" t="s">
        <v>36</v>
      </c>
      <c r="AB368" s="0" t="s">
        <v>36</v>
      </c>
      <c r="AC368" s="0" t="s">
        <v>36</v>
      </c>
      <c r="AD368" s="0" t="s">
        <v>36</v>
      </c>
      <c r="AE368" s="2" t="s">
        <v>36</v>
      </c>
    </row>
    <row r="369">
      <c r="A369" s="6" t="s">
        <v>31</v>
      </c>
      <c r="B369" s="7">
        <v>42600</v>
      </c>
      <c r="C369" s="9">
        <f>HYPERLINK("https://www.epingalert.org/en/Search?viewData= G/SPS/N/RUS/131"," G/SPS/N/RUS/131")</f>
      </c>
      <c r="D369" s="8" t="s">
        <v>1662</v>
      </c>
      <c r="E369" s="8" t="s">
        <v>1827</v>
      </c>
      <c r="F369" s="8" t="s">
        <v>1828</v>
      </c>
      <c r="G369" s="8" t="s">
        <v>1664</v>
      </c>
      <c r="H369" s="8" t="s">
        <v>36</v>
      </c>
      <c r="I369" s="8" t="s">
        <v>65</v>
      </c>
      <c r="J369" s="8" t="s">
        <v>1829</v>
      </c>
      <c r="K369" s="6"/>
      <c r="L369" s="7">
        <v>42660</v>
      </c>
      <c r="M369" s="6" t="s">
        <v>51</v>
      </c>
      <c r="N369" s="8" t="s">
        <v>1830</v>
      </c>
      <c r="O369" s="6">
        <f>HYPERLINK("https://docs.wto.org/imrd/directdoc.asp?DDFDocuments/t/G/SPS/NRUS131.pdf", "https://docs.wto.org/imrd/directdoc.asp?DDFDocuments/t/G/SPS/NRUS131.pdf")</f>
      </c>
      <c r="P369" s="6">
        <f>HYPERLINK("https://docs.wto.org/imrd/directdoc.asp?DDFDocuments/u/G/SPS/NRUS131.pdf", "https://docs.wto.org/imrd/directdoc.asp?DDFDocuments/u/G/SPS/NRUS131.pdf")</f>
      </c>
      <c r="Q369" s="6">
        <f>HYPERLINK("https://docs.wto.org/imrd/directdoc.asp?DDFDocuments/v/G/SPS/NRUS131.pdf", "https://docs.wto.org/imrd/directdoc.asp?DDFDocuments/v/G/SPS/NRUS131.pdf")</f>
      </c>
      <c r="R369" s="0" t="s">
        <v>36</v>
      </c>
      <c r="S369" s="0" t="s">
        <v>36</v>
      </c>
      <c r="T369" s="0" t="s">
        <v>36</v>
      </c>
      <c r="U369" s="0" t="s">
        <v>36</v>
      </c>
      <c r="V369" s="0" t="s">
        <v>36</v>
      </c>
      <c r="W369" s="0" t="s">
        <v>36</v>
      </c>
      <c r="X369" s="0" t="s">
        <v>36</v>
      </c>
      <c r="Y369" s="2" t="s">
        <v>36</v>
      </c>
      <c r="Z369" s="0" t="s">
        <v>42</v>
      </c>
      <c r="AA369" s="0" t="s">
        <v>42</v>
      </c>
      <c r="AB369" s="0" t="s">
        <v>43</v>
      </c>
      <c r="AC369" s="0" t="s">
        <v>42</v>
      </c>
      <c r="AD369" s="0" t="s">
        <v>43</v>
      </c>
      <c r="AE369" s="2"/>
    </row>
    <row r="370">
      <c r="A370" s="6" t="s">
        <v>31</v>
      </c>
      <c r="B370" s="7">
        <v>42598</v>
      </c>
      <c r="C370" s="9">
        <f>HYPERLINK("https://www.epingalert.org/en/Search?viewData= G/SPS/N/RUS/130"," G/SPS/N/RUS/130")</f>
      </c>
      <c r="D370" s="8" t="s">
        <v>1831</v>
      </c>
      <c r="E370" s="8" t="s">
        <v>1832</v>
      </c>
      <c r="F370" s="8" t="s">
        <v>1833</v>
      </c>
      <c r="G370" s="8" t="s">
        <v>1834</v>
      </c>
      <c r="H370" s="8" t="s">
        <v>36</v>
      </c>
      <c r="I370" s="8" t="s">
        <v>37</v>
      </c>
      <c r="J370" s="8" t="s">
        <v>157</v>
      </c>
      <c r="K370" s="6" t="s">
        <v>1835</v>
      </c>
      <c r="L370" s="7" t="s">
        <v>36</v>
      </c>
      <c r="M370" s="6" t="s">
        <v>51</v>
      </c>
      <c r="N370" s="8" t="s">
        <v>1836</v>
      </c>
      <c r="O370" s="6">
        <f>HYPERLINK("https://docs.wto.org/imrd/directdoc.asp?DDFDocuments/t/G/SPS/NRUS130.pdf", "https://docs.wto.org/imrd/directdoc.asp?DDFDocuments/t/G/SPS/NRUS130.pdf")</f>
      </c>
      <c r="P370" s="6">
        <f>HYPERLINK("https://docs.wto.org/imrd/directdoc.asp?DDFDocuments/u/G/SPS/NRUS130.pdf", "https://docs.wto.org/imrd/directdoc.asp?DDFDocuments/u/G/SPS/NRUS130.pdf")</f>
      </c>
      <c r="Q370" s="6">
        <f>HYPERLINK("https://docs.wto.org/imrd/directdoc.asp?DDFDocuments/v/G/SPS/NRUS130.pdf", "https://docs.wto.org/imrd/directdoc.asp?DDFDocuments/v/G/SPS/NRUS130.pdf")</f>
      </c>
      <c r="R370" s="0" t="s">
        <v>36</v>
      </c>
      <c r="S370" s="0" t="s">
        <v>36</v>
      </c>
      <c r="T370" s="0" t="s">
        <v>36</v>
      </c>
      <c r="U370" s="0" t="s">
        <v>36</v>
      </c>
      <c r="V370" s="0" t="s">
        <v>36</v>
      </c>
      <c r="W370" s="0" t="s">
        <v>36</v>
      </c>
      <c r="X370" s="0" t="s">
        <v>36</v>
      </c>
      <c r="Y370" s="2" t="s">
        <v>36</v>
      </c>
      <c r="Z370" s="0" t="s">
        <v>42</v>
      </c>
      <c r="AA370" s="0" t="s">
        <v>43</v>
      </c>
      <c r="AB370" s="0" t="s">
        <v>42</v>
      </c>
      <c r="AC370" s="0" t="s">
        <v>42</v>
      </c>
      <c r="AD370" s="0" t="s">
        <v>43</v>
      </c>
      <c r="AE370" s="2"/>
    </row>
    <row r="371">
      <c r="A371" s="6" t="s">
        <v>31</v>
      </c>
      <c r="B371" s="7">
        <v>42598</v>
      </c>
      <c r="C371" s="9">
        <f>HYPERLINK("https://www.epingalert.org/en/Search?viewData= G/SPS/N/RUS/129"," G/SPS/N/RUS/129")</f>
      </c>
      <c r="D371" s="8" t="s">
        <v>1837</v>
      </c>
      <c r="E371" s="8" t="s">
        <v>1838</v>
      </c>
      <c r="F371" s="8" t="s">
        <v>1839</v>
      </c>
      <c r="G371" s="8" t="s">
        <v>1834</v>
      </c>
      <c r="H371" s="8" t="s">
        <v>36</v>
      </c>
      <c r="I371" s="8" t="s">
        <v>37</v>
      </c>
      <c r="J371" s="8" t="s">
        <v>1840</v>
      </c>
      <c r="K371" s="6" t="s">
        <v>1841</v>
      </c>
      <c r="L371" s="7" t="s">
        <v>36</v>
      </c>
      <c r="M371" s="6" t="s">
        <v>51</v>
      </c>
      <c r="N371" s="8" t="s">
        <v>1842</v>
      </c>
      <c r="O371" s="6">
        <f>HYPERLINK("https://docs.wto.org/imrd/directdoc.asp?DDFDocuments/t/G/SPS/NRUS129.pdf", "https://docs.wto.org/imrd/directdoc.asp?DDFDocuments/t/G/SPS/NRUS129.pdf")</f>
      </c>
      <c r="P371" s="6">
        <f>HYPERLINK("https://docs.wto.org/imrd/directdoc.asp?DDFDocuments/u/G/SPS/NRUS129.pdf", "https://docs.wto.org/imrd/directdoc.asp?DDFDocuments/u/G/SPS/NRUS129.pdf")</f>
      </c>
      <c r="Q371" s="6">
        <f>HYPERLINK("https://docs.wto.org/imrd/directdoc.asp?DDFDocuments/v/G/SPS/NRUS129.pdf", "https://docs.wto.org/imrd/directdoc.asp?DDFDocuments/v/G/SPS/NRUS129.pdf")</f>
      </c>
      <c r="R371" s="0" t="s">
        <v>36</v>
      </c>
      <c r="S371" s="0" t="s">
        <v>36</v>
      </c>
      <c r="T371" s="0" t="s">
        <v>36</v>
      </c>
      <c r="U371" s="0" t="s">
        <v>36</v>
      </c>
      <c r="V371" s="0" t="s">
        <v>36</v>
      </c>
      <c r="W371" s="0" t="s">
        <v>36</v>
      </c>
      <c r="X371" s="0" t="s">
        <v>36</v>
      </c>
      <c r="Y371" s="2" t="s">
        <v>36</v>
      </c>
      <c r="Z371" s="0" t="s">
        <v>42</v>
      </c>
      <c r="AA371" s="0" t="s">
        <v>43</v>
      </c>
      <c r="AB371" s="0" t="s">
        <v>42</v>
      </c>
      <c r="AC371" s="0" t="s">
        <v>42</v>
      </c>
      <c r="AD371" s="0" t="s">
        <v>43</v>
      </c>
      <c r="AE371" s="2"/>
    </row>
    <row r="372">
      <c r="A372" s="6" t="s">
        <v>31</v>
      </c>
      <c r="B372" s="7">
        <v>42584</v>
      </c>
      <c r="C372" s="9">
        <f>HYPERLINK("https://www.epingalert.org/en/Search?viewData= G/SPS/N/RUS/128"," G/SPS/N/RUS/128")</f>
      </c>
      <c r="D372" s="8" t="s">
        <v>1843</v>
      </c>
      <c r="E372" s="8" t="s">
        <v>1844</v>
      </c>
      <c r="F372" s="8" t="s">
        <v>1845</v>
      </c>
      <c r="G372" s="8" t="s">
        <v>1846</v>
      </c>
      <c r="H372" s="8" t="s">
        <v>36</v>
      </c>
      <c r="I372" s="8" t="s">
        <v>1323</v>
      </c>
      <c r="J372" s="8" t="s">
        <v>1847</v>
      </c>
      <c r="K372" s="6" t="s">
        <v>1798</v>
      </c>
      <c r="L372" s="7" t="s">
        <v>36</v>
      </c>
      <c r="M372" s="6" t="s">
        <v>40</v>
      </c>
      <c r="N372" s="6"/>
      <c r="O372" s="6">
        <f>HYPERLINK("https://docs.wto.org/imrd/directdoc.asp?DDFDocuments/t/G/SPS/NRUS128.pdf", "https://docs.wto.org/imrd/directdoc.asp?DDFDocuments/t/G/SPS/NRUS128.pdf")</f>
      </c>
      <c r="P372" s="6">
        <f>HYPERLINK("https://docs.wto.org/imrd/directdoc.asp?DDFDocuments/u/G/SPS/NRUS128.pdf", "https://docs.wto.org/imrd/directdoc.asp?DDFDocuments/u/G/SPS/NRUS128.pdf")</f>
      </c>
      <c r="Q372" s="6">
        <f>HYPERLINK("https://docs.wto.org/imrd/directdoc.asp?DDFDocuments/v/G/SPS/NRUS128.pdf", "https://docs.wto.org/imrd/directdoc.asp?DDFDocuments/v/G/SPS/NRUS128.pdf")</f>
      </c>
      <c r="R372" s="0" t="s">
        <v>36</v>
      </c>
      <c r="S372" s="0" t="s">
        <v>36</v>
      </c>
      <c r="T372" s="0" t="s">
        <v>36</v>
      </c>
      <c r="U372" s="0" t="s">
        <v>36</v>
      </c>
      <c r="V372" s="0" t="s">
        <v>36</v>
      </c>
      <c r="W372" s="0" t="s">
        <v>36</v>
      </c>
      <c r="X372" s="0" t="s">
        <v>36</v>
      </c>
      <c r="Y372" s="2" t="s">
        <v>36</v>
      </c>
      <c r="Z372" s="0" t="s">
        <v>42</v>
      </c>
      <c r="AA372" s="0" t="s">
        <v>42</v>
      </c>
      <c r="AB372" s="0" t="s">
        <v>42</v>
      </c>
      <c r="AC372" s="0" t="s">
        <v>43</v>
      </c>
      <c r="AD372" s="0" t="s">
        <v>107</v>
      </c>
      <c r="AE372" s="2" t="s">
        <v>1848</v>
      </c>
    </row>
    <row r="373">
      <c r="A373" s="6" t="s">
        <v>31</v>
      </c>
      <c r="B373" s="7">
        <v>42565</v>
      </c>
      <c r="C373" s="9">
        <f>HYPERLINK("https://www.epingalert.org/en/Search?viewData= G/SPS/N/RUS/125/Corr.1"," G/SPS/N/RUS/125/Corr.1")</f>
      </c>
      <c r="D373" s="8"/>
      <c r="E373" s="8"/>
      <c r="F373" s="8"/>
      <c r="G373" s="8" t="s">
        <v>1140</v>
      </c>
      <c r="H373" s="8" t="s">
        <v>36</v>
      </c>
      <c r="I373" s="8" t="s">
        <v>65</v>
      </c>
      <c r="J373" s="8" t="s">
        <v>1528</v>
      </c>
      <c r="K373" s="6"/>
      <c r="L373" s="7" t="s">
        <v>36</v>
      </c>
      <c r="M373" s="6" t="s">
        <v>690</v>
      </c>
      <c r="N373" s="6"/>
      <c r="O373" s="6">
        <f>HYPERLINK("https://docs.wto.org/imrd/directdoc.asp?DDFDocuments/t/G/SPS/NRUS125C1.pdf", "https://docs.wto.org/imrd/directdoc.asp?DDFDocuments/t/G/SPS/NRUS125C1.pdf")</f>
      </c>
      <c r="P373" s="6">
        <f>HYPERLINK("https://docs.wto.org/imrd/directdoc.asp?DDFDocuments/u/G/SPS/NRUS125C1.pdf", "https://docs.wto.org/imrd/directdoc.asp?DDFDocuments/u/G/SPS/NRUS125C1.pdf")</f>
      </c>
      <c r="Q373" s="6"/>
      <c r="R373" s="0" t="s">
        <v>36</v>
      </c>
      <c r="S373" s="0" t="s">
        <v>36</v>
      </c>
      <c r="T373" s="0" t="s">
        <v>36</v>
      </c>
      <c r="U373" s="0" t="s">
        <v>36</v>
      </c>
      <c r="V373" s="0" t="s">
        <v>36</v>
      </c>
      <c r="W373" s="0" t="s">
        <v>36</v>
      </c>
      <c r="X373" s="0" t="s">
        <v>36</v>
      </c>
      <c r="Y373" s="2" t="s">
        <v>36</v>
      </c>
      <c r="Z373" s="0" t="s">
        <v>36</v>
      </c>
      <c r="AA373" s="0" t="s">
        <v>36</v>
      </c>
      <c r="AB373" s="0" t="s">
        <v>36</v>
      </c>
      <c r="AC373" s="0" t="s">
        <v>36</v>
      </c>
      <c r="AD373" s="0" t="s">
        <v>36</v>
      </c>
      <c r="AE373" s="2" t="s">
        <v>36</v>
      </c>
    </row>
    <row r="374">
      <c r="A374" s="6" t="s">
        <v>31</v>
      </c>
      <c r="B374" s="7">
        <v>42564</v>
      </c>
      <c r="C374" s="9">
        <f>HYPERLINK("https://www.epingalert.org/en/Search?viewData= G/SPS/N/RUS/126"," G/SPS/N/RUS/126")</f>
      </c>
      <c r="D374" s="8" t="s">
        <v>1849</v>
      </c>
      <c r="E374" s="8" t="s">
        <v>1850</v>
      </c>
      <c r="F374" s="8" t="s">
        <v>1851</v>
      </c>
      <c r="G374" s="8" t="s">
        <v>1666</v>
      </c>
      <c r="H374" s="8" t="s">
        <v>36</v>
      </c>
      <c r="I374" s="8" t="s">
        <v>37</v>
      </c>
      <c r="J374" s="8" t="s">
        <v>157</v>
      </c>
      <c r="K374" s="6"/>
      <c r="L374" s="7">
        <v>42624</v>
      </c>
      <c r="M374" s="6" t="s">
        <v>51</v>
      </c>
      <c r="N374" s="8" t="s">
        <v>1852</v>
      </c>
      <c r="O374" s="6">
        <f>HYPERLINK("https://docs.wto.org/imrd/directdoc.asp?DDFDocuments/t/G/SPS/NRUS126.pdf", "https://docs.wto.org/imrd/directdoc.asp?DDFDocuments/t/G/SPS/NRUS126.pdf")</f>
      </c>
      <c r="P374" s="6">
        <f>HYPERLINK("https://docs.wto.org/imrd/directdoc.asp?DDFDocuments/u/G/SPS/NRUS126.pdf", "https://docs.wto.org/imrd/directdoc.asp?DDFDocuments/u/G/SPS/NRUS126.pdf")</f>
      </c>
      <c r="Q374" s="6">
        <f>HYPERLINK("https://docs.wto.org/imrd/directdoc.asp?DDFDocuments/v/G/SPS/NRUS126.pdf", "https://docs.wto.org/imrd/directdoc.asp?DDFDocuments/v/G/SPS/NRUS126.pdf")</f>
      </c>
      <c r="R374" s="0" t="s">
        <v>36</v>
      </c>
      <c r="S374" s="0" t="s">
        <v>36</v>
      </c>
      <c r="T374" s="0" t="s">
        <v>36</v>
      </c>
      <c r="U374" s="0" t="s">
        <v>36</v>
      </c>
      <c r="V374" s="0" t="s">
        <v>36</v>
      </c>
      <c r="W374" s="0" t="s">
        <v>36</v>
      </c>
      <c r="X374" s="0" t="s">
        <v>36</v>
      </c>
      <c r="Y374" s="2" t="s">
        <v>36</v>
      </c>
      <c r="Z374" s="0" t="s">
        <v>42</v>
      </c>
      <c r="AA374" s="0" t="s">
        <v>42</v>
      </c>
      <c r="AB374" s="0" t="s">
        <v>42</v>
      </c>
      <c r="AC374" s="0" t="s">
        <v>43</v>
      </c>
      <c r="AD374" s="0" t="s">
        <v>107</v>
      </c>
      <c r="AE374" s="2"/>
    </row>
    <row r="375">
      <c r="A375" s="6" t="s">
        <v>31</v>
      </c>
      <c r="B375" s="7">
        <v>42564</v>
      </c>
      <c r="C375" s="9">
        <f>HYPERLINK("https://www.epingalert.org/en/Search?viewData= G/SPS/N/RUS/127"," G/SPS/N/RUS/127")</f>
      </c>
      <c r="D375" s="8" t="s">
        <v>1853</v>
      </c>
      <c r="E375" s="8" t="s">
        <v>1854</v>
      </c>
      <c r="F375" s="8" t="s">
        <v>1851</v>
      </c>
      <c r="G375" s="8" t="s">
        <v>1666</v>
      </c>
      <c r="H375" s="8" t="s">
        <v>36</v>
      </c>
      <c r="I375" s="8" t="s">
        <v>37</v>
      </c>
      <c r="J375" s="8" t="s">
        <v>38</v>
      </c>
      <c r="K375" s="6"/>
      <c r="L375" s="7">
        <v>42624</v>
      </c>
      <c r="M375" s="6" t="s">
        <v>51</v>
      </c>
      <c r="N375" s="8" t="s">
        <v>1855</v>
      </c>
      <c r="O375" s="6">
        <f>HYPERLINK("https://docs.wto.org/imrd/directdoc.asp?DDFDocuments/t/G/SPS/NRUS127.pdf", "https://docs.wto.org/imrd/directdoc.asp?DDFDocuments/t/G/SPS/NRUS127.pdf")</f>
      </c>
      <c r="P375" s="6">
        <f>HYPERLINK("https://docs.wto.org/imrd/directdoc.asp?DDFDocuments/u/G/SPS/NRUS127.pdf", "https://docs.wto.org/imrd/directdoc.asp?DDFDocuments/u/G/SPS/NRUS127.pdf")</f>
      </c>
      <c r="Q375" s="6">
        <f>HYPERLINK("https://docs.wto.org/imrd/directdoc.asp?DDFDocuments/v/G/SPS/NRUS127.pdf", "https://docs.wto.org/imrd/directdoc.asp?DDFDocuments/v/G/SPS/NRUS127.pdf")</f>
      </c>
      <c r="R375" s="0" t="s">
        <v>36</v>
      </c>
      <c r="S375" s="0" t="s">
        <v>36</v>
      </c>
      <c r="T375" s="0" t="s">
        <v>36</v>
      </c>
      <c r="U375" s="0" t="s">
        <v>36</v>
      </c>
      <c r="V375" s="0" t="s">
        <v>36</v>
      </c>
      <c r="W375" s="0" t="s">
        <v>36</v>
      </c>
      <c r="X375" s="0" t="s">
        <v>36</v>
      </c>
      <c r="Y375" s="2" t="s">
        <v>36</v>
      </c>
      <c r="Z375" s="0" t="s">
        <v>42</v>
      </c>
      <c r="AA375" s="0" t="s">
        <v>42</v>
      </c>
      <c r="AB375" s="0" t="s">
        <v>42</v>
      </c>
      <c r="AC375" s="0" t="s">
        <v>43</v>
      </c>
      <c r="AD375" s="0" t="s">
        <v>107</v>
      </c>
      <c r="AE375" s="2"/>
    </row>
    <row r="376">
      <c r="A376" s="6" t="s">
        <v>31</v>
      </c>
      <c r="B376" s="7">
        <v>42559</v>
      </c>
      <c r="C376" s="9">
        <f>HYPERLINK("https://www.epingalert.org/en/Search?viewData= G/TBT/N/RUS/73"," G/TBT/N/RUS/73")</f>
      </c>
      <c r="D376" s="8" t="s">
        <v>1856</v>
      </c>
      <c r="E376" s="8" t="s">
        <v>1857</v>
      </c>
      <c r="F376" s="8" t="s">
        <v>873</v>
      </c>
      <c r="G376" s="8" t="s">
        <v>36</v>
      </c>
      <c r="H376" s="8" t="s">
        <v>874</v>
      </c>
      <c r="I376" s="8" t="s">
        <v>164</v>
      </c>
      <c r="J376" s="8" t="s">
        <v>36</v>
      </c>
      <c r="K376" s="6"/>
      <c r="L376" s="7">
        <v>42613</v>
      </c>
      <c r="M376" s="6" t="s">
        <v>51</v>
      </c>
      <c r="N376" s="6"/>
      <c r="O376" s="6">
        <f>HYPERLINK("https://docs.wto.org/imrd/directdoc.asp?DDFDocuments/t/G/TBTN16/RUS73.DOC", "https://docs.wto.org/imrd/directdoc.asp?DDFDocuments/t/G/TBTN16/RUS73.DOC")</f>
      </c>
      <c r="P376" s="6">
        <f>HYPERLINK("https://docs.wto.org/imrd/directdoc.asp?DDFDocuments/u/G/TBTN16/RUS73.DOC", "https://docs.wto.org/imrd/directdoc.asp?DDFDocuments/u/G/TBTN16/RUS73.DOC")</f>
      </c>
      <c r="Q376" s="6">
        <f>HYPERLINK("https://docs.wto.org/imrd/directdoc.asp?DDFDocuments/v/G/TBTN16/RUS73.DOC", "https://docs.wto.org/imrd/directdoc.asp?DDFDocuments/v/G/TBTN16/RUS73.DOC")</f>
      </c>
      <c r="R376" s="0" t="s">
        <v>43</v>
      </c>
      <c r="S376" s="0" t="s">
        <v>42</v>
      </c>
      <c r="T376" s="0" t="s">
        <v>42</v>
      </c>
      <c r="U376" s="0" t="s">
        <v>42</v>
      </c>
      <c r="V376" s="0" t="s">
        <v>42</v>
      </c>
      <c r="W376" s="0" t="s">
        <v>42</v>
      </c>
      <c r="X376" s="0" t="s">
        <v>42</v>
      </c>
      <c r="Y376" s="2" t="s">
        <v>1858</v>
      </c>
      <c r="Z376" s="0" t="s">
        <v>36</v>
      </c>
      <c r="AA376" s="0" t="s">
        <v>36</v>
      </c>
      <c r="AB376" s="0" t="s">
        <v>36</v>
      </c>
      <c r="AC376" s="0" t="s">
        <v>36</v>
      </c>
      <c r="AD376" s="0" t="s">
        <v>36</v>
      </c>
      <c r="AE376" s="2" t="s">
        <v>36</v>
      </c>
    </row>
    <row r="377">
      <c r="A377" s="6" t="s">
        <v>31</v>
      </c>
      <c r="B377" s="7">
        <v>42558</v>
      </c>
      <c r="C377" s="9">
        <f>HYPERLINK("https://www.epingalert.org/en/Search?viewData= G/SPS/N/RUS/125"," G/SPS/N/RUS/125")</f>
      </c>
      <c r="D377" s="8" t="s">
        <v>1859</v>
      </c>
      <c r="E377" s="8" t="s">
        <v>1860</v>
      </c>
      <c r="F377" s="8" t="s">
        <v>1861</v>
      </c>
      <c r="G377" s="8" t="s">
        <v>1140</v>
      </c>
      <c r="H377" s="8" t="s">
        <v>36</v>
      </c>
      <c r="I377" s="8" t="s">
        <v>65</v>
      </c>
      <c r="J377" s="8" t="s">
        <v>1528</v>
      </c>
      <c r="K377" s="6" t="s">
        <v>1862</v>
      </c>
      <c r="L377" s="7" t="s">
        <v>36</v>
      </c>
      <c r="M377" s="6" t="s">
        <v>40</v>
      </c>
      <c r="N377" s="6"/>
      <c r="O377" s="6">
        <f>HYPERLINK("https://docs.wto.org/imrd/directdoc.asp?DDFDocuments/t/G/SPS/NRUS125.pdf", "https://docs.wto.org/imrd/directdoc.asp?DDFDocuments/t/G/SPS/NRUS125.pdf")</f>
      </c>
      <c r="P377" s="6">
        <f>HYPERLINK("https://docs.wto.org/imrd/directdoc.asp?DDFDocuments/u/G/SPS/NRUS125.pdf", "https://docs.wto.org/imrd/directdoc.asp?DDFDocuments/u/G/SPS/NRUS125.pdf")</f>
      </c>
      <c r="Q377" s="6">
        <f>HYPERLINK("https://docs.wto.org/imrd/directdoc.asp?DDFDocuments/v/G/SPS/NRUS125.pdf", "https://docs.wto.org/imrd/directdoc.asp?DDFDocuments/v/G/SPS/NRUS125.pdf")</f>
      </c>
      <c r="R377" s="0" t="s">
        <v>36</v>
      </c>
      <c r="S377" s="0" t="s">
        <v>36</v>
      </c>
      <c r="T377" s="0" t="s">
        <v>36</v>
      </c>
      <c r="U377" s="0" t="s">
        <v>36</v>
      </c>
      <c r="V377" s="0" t="s">
        <v>36</v>
      </c>
      <c r="W377" s="0" t="s">
        <v>36</v>
      </c>
      <c r="X377" s="0" t="s">
        <v>36</v>
      </c>
      <c r="Y377" s="2" t="s">
        <v>36</v>
      </c>
      <c r="Z377" s="0" t="s">
        <v>42</v>
      </c>
      <c r="AA377" s="0" t="s">
        <v>42</v>
      </c>
      <c r="AB377" s="0" t="s">
        <v>43</v>
      </c>
      <c r="AC377" s="0" t="s">
        <v>42</v>
      </c>
      <c r="AD377" s="0" t="s">
        <v>43</v>
      </c>
      <c r="AE377" s="2"/>
    </row>
    <row r="378">
      <c r="A378" s="6" t="s">
        <v>31</v>
      </c>
      <c r="B378" s="7">
        <v>42537</v>
      </c>
      <c r="C378" s="9">
        <f>HYPERLINK("https://www.epingalert.org/en/Search?viewData= G/SPS/N/RUS/23/Add.2"," G/SPS/N/RUS/23/Add.2")</f>
      </c>
      <c r="D378" s="8" t="s">
        <v>1863</v>
      </c>
      <c r="E378" s="8" t="s">
        <v>1864</v>
      </c>
      <c r="F378" s="8"/>
      <c r="G378" s="8" t="s">
        <v>1865</v>
      </c>
      <c r="H378" s="8" t="s">
        <v>36</v>
      </c>
      <c r="I378" s="8" t="s">
        <v>37</v>
      </c>
      <c r="J378" s="8" t="s">
        <v>1652</v>
      </c>
      <c r="K378" s="6"/>
      <c r="L378" s="7" t="s">
        <v>36</v>
      </c>
      <c r="M378" s="6" t="s">
        <v>1211</v>
      </c>
      <c r="N378" s="6"/>
      <c r="O378" s="6">
        <f>HYPERLINK("https://docs.wto.org/imrd/directdoc.asp?DDFDocuments/t/G/SPS/NRUS23A2.pdf", "https://docs.wto.org/imrd/directdoc.asp?DDFDocuments/t/G/SPS/NRUS23A2.pdf")</f>
      </c>
      <c r="P378" s="6">
        <f>HYPERLINK("https://docs.wto.org/imrd/directdoc.asp?DDFDocuments/u/G/SPS/NRUS23A2.pdf", "https://docs.wto.org/imrd/directdoc.asp?DDFDocuments/u/G/SPS/NRUS23A2.pdf")</f>
      </c>
      <c r="Q378" s="6">
        <f>HYPERLINK("https://docs.wto.org/imrd/directdoc.asp?DDFDocuments/v/G/SPS/NRUS23A2.pdf", "https://docs.wto.org/imrd/directdoc.asp?DDFDocuments/v/G/SPS/NRUS23A2.pdf")</f>
      </c>
      <c r="R378" s="0" t="s">
        <v>36</v>
      </c>
      <c r="S378" s="0" t="s">
        <v>36</v>
      </c>
      <c r="T378" s="0" t="s">
        <v>36</v>
      </c>
      <c r="U378" s="0" t="s">
        <v>36</v>
      </c>
      <c r="V378" s="0" t="s">
        <v>36</v>
      </c>
      <c r="W378" s="0" t="s">
        <v>36</v>
      </c>
      <c r="X378" s="0" t="s">
        <v>36</v>
      </c>
      <c r="Y378" s="2" t="s">
        <v>36</v>
      </c>
      <c r="Z378" s="0" t="s">
        <v>36</v>
      </c>
      <c r="AA378" s="0" t="s">
        <v>36</v>
      </c>
      <c r="AB378" s="0" t="s">
        <v>36</v>
      </c>
      <c r="AC378" s="0" t="s">
        <v>36</v>
      </c>
      <c r="AD378" s="0" t="s">
        <v>36</v>
      </c>
      <c r="AE378" s="2" t="s">
        <v>36</v>
      </c>
    </row>
    <row r="379">
      <c r="A379" s="6" t="s">
        <v>31</v>
      </c>
      <c r="B379" s="7">
        <v>42515</v>
      </c>
      <c r="C379" s="9">
        <f>HYPERLINK("https://www.epingalert.org/en/Search?viewData= G/TBT/N/RUS/72"," G/TBT/N/RUS/72")</f>
      </c>
      <c r="D379" s="8" t="s">
        <v>1866</v>
      </c>
      <c r="E379" s="8" t="s">
        <v>1867</v>
      </c>
      <c r="F379" s="8" t="s">
        <v>1868</v>
      </c>
      <c r="G379" s="8" t="s">
        <v>36</v>
      </c>
      <c r="H379" s="8" t="s">
        <v>1869</v>
      </c>
      <c r="I379" s="8" t="s">
        <v>902</v>
      </c>
      <c r="J379" s="8" t="s">
        <v>36</v>
      </c>
      <c r="K379" s="6"/>
      <c r="L379" s="7">
        <v>42575</v>
      </c>
      <c r="M379" s="6" t="s">
        <v>51</v>
      </c>
      <c r="N379" s="6"/>
      <c r="O379" s="6">
        <f>HYPERLINK("https://docs.wto.org/imrd/directdoc.asp?DDFDocuments/t/G/TBTN16/RUS72.DOC", "https://docs.wto.org/imrd/directdoc.asp?DDFDocuments/t/G/TBTN16/RUS72.DOC")</f>
      </c>
      <c r="P379" s="6">
        <f>HYPERLINK("https://docs.wto.org/imrd/directdoc.asp?DDFDocuments/u/G/TBTN16/RUS72.DOC", "https://docs.wto.org/imrd/directdoc.asp?DDFDocuments/u/G/TBTN16/RUS72.DOC")</f>
      </c>
      <c r="Q379" s="6">
        <f>HYPERLINK("https://docs.wto.org/imrd/directdoc.asp?DDFDocuments/v/G/TBTN16/RUS72.DOC", "https://docs.wto.org/imrd/directdoc.asp?DDFDocuments/v/G/TBTN16/RUS72.DOC")</f>
      </c>
      <c r="R379" s="0" t="s">
        <v>43</v>
      </c>
      <c r="S379" s="0" t="s">
        <v>42</v>
      </c>
      <c r="T379" s="0" t="s">
        <v>43</v>
      </c>
      <c r="U379" s="0" t="s">
        <v>42</v>
      </c>
      <c r="V379" s="0" t="s">
        <v>42</v>
      </c>
      <c r="W379" s="0" t="s">
        <v>42</v>
      </c>
      <c r="X379" s="0" t="s">
        <v>42</v>
      </c>
      <c r="Y379" s="2" t="s">
        <v>1870</v>
      </c>
      <c r="Z379" s="0" t="s">
        <v>36</v>
      </c>
      <c r="AA379" s="0" t="s">
        <v>36</v>
      </c>
      <c r="AB379" s="0" t="s">
        <v>36</v>
      </c>
      <c r="AC379" s="0" t="s">
        <v>36</v>
      </c>
      <c r="AD379" s="0" t="s">
        <v>36</v>
      </c>
      <c r="AE379" s="2" t="s">
        <v>36</v>
      </c>
    </row>
    <row r="380">
      <c r="A380" s="6" t="s">
        <v>31</v>
      </c>
      <c r="B380" s="7">
        <v>42515</v>
      </c>
      <c r="C380" s="9">
        <f>HYPERLINK("https://www.epingalert.org/en/Search?viewData= G/TBT/N/RUS/67/Corr.1"," G/TBT/N/RUS/67/Corr.1")</f>
      </c>
      <c r="D380" s="8" t="s">
        <v>1871</v>
      </c>
      <c r="E380" s="8"/>
      <c r="F380" s="8" t="s">
        <v>1872</v>
      </c>
      <c r="G380" s="8" t="s">
        <v>36</v>
      </c>
      <c r="H380" s="8" t="s">
        <v>36</v>
      </c>
      <c r="I380" s="8" t="s">
        <v>902</v>
      </c>
      <c r="J380" s="8" t="s">
        <v>36</v>
      </c>
      <c r="K380" s="6"/>
      <c r="L380" s="7" t="s">
        <v>36</v>
      </c>
      <c r="M380" s="6" t="s">
        <v>1736</v>
      </c>
      <c r="N380" s="6"/>
      <c r="O380" s="6">
        <f>HYPERLINK("https://docs.wto.org/imrd/directdoc.asp?DDFDocuments/t/G/TBTN16/RUS67C1.DOC", "https://docs.wto.org/imrd/directdoc.asp?DDFDocuments/t/G/TBTN16/RUS67C1.DOC")</f>
      </c>
      <c r="P380" s="6"/>
      <c r="Q380" s="6"/>
      <c r="R380" s="0" t="s">
        <v>43</v>
      </c>
      <c r="S380" s="0" t="s">
        <v>42</v>
      </c>
      <c r="T380" s="0" t="s">
        <v>43</v>
      </c>
      <c r="U380" s="0" t="s">
        <v>42</v>
      </c>
      <c r="V380" s="0" t="s">
        <v>42</v>
      </c>
      <c r="W380" s="0" t="s">
        <v>42</v>
      </c>
      <c r="X380" s="0" t="s">
        <v>42</v>
      </c>
      <c r="Y380" s="2" t="s">
        <v>36</v>
      </c>
      <c r="Z380" s="0" t="s">
        <v>36</v>
      </c>
      <c r="AA380" s="0" t="s">
        <v>36</v>
      </c>
      <c r="AB380" s="0" t="s">
        <v>36</v>
      </c>
      <c r="AC380" s="0" t="s">
        <v>36</v>
      </c>
      <c r="AD380" s="0" t="s">
        <v>36</v>
      </c>
      <c r="AE380" s="2" t="s">
        <v>36</v>
      </c>
    </row>
    <row r="381">
      <c r="A381" s="6" t="s">
        <v>31</v>
      </c>
      <c r="B381" s="7">
        <v>42514</v>
      </c>
      <c r="C381" s="9">
        <f>HYPERLINK("https://www.epingalert.org/en/Search?viewData= G/TBT/N/RUS/70"," G/TBT/N/RUS/70")</f>
      </c>
      <c r="D381" s="8" t="s">
        <v>1873</v>
      </c>
      <c r="E381" s="8" t="s">
        <v>1874</v>
      </c>
      <c r="F381" s="8" t="s">
        <v>1875</v>
      </c>
      <c r="G381" s="8" t="s">
        <v>36</v>
      </c>
      <c r="H381" s="8" t="s">
        <v>889</v>
      </c>
      <c r="I381" s="8" t="s">
        <v>164</v>
      </c>
      <c r="J381" s="8" t="s">
        <v>36</v>
      </c>
      <c r="K381" s="6"/>
      <c r="L381" s="7">
        <v>42580</v>
      </c>
      <c r="M381" s="6" t="s">
        <v>51</v>
      </c>
      <c r="N381" s="6"/>
      <c r="O381" s="6">
        <f>HYPERLINK("https://docs.wto.org/imrd/directdoc.asp?DDFDocuments/t/G/TBTN16/RUS70.DOC", "https://docs.wto.org/imrd/directdoc.asp?DDFDocuments/t/G/TBTN16/RUS70.DOC")</f>
      </c>
      <c r="P381" s="6">
        <f>HYPERLINK("https://docs.wto.org/imrd/directdoc.asp?DDFDocuments/u/G/TBTN16/RUS70.DOC", "https://docs.wto.org/imrd/directdoc.asp?DDFDocuments/u/G/TBTN16/RUS70.DOC")</f>
      </c>
      <c r="Q381" s="6">
        <f>HYPERLINK("https://docs.wto.org/imrd/directdoc.asp?DDFDocuments/v/G/TBTN16/RUS70.DOC", "https://docs.wto.org/imrd/directdoc.asp?DDFDocuments/v/G/TBTN16/RUS70.DOC")</f>
      </c>
      <c r="R381" s="0" t="s">
        <v>43</v>
      </c>
      <c r="S381" s="0" t="s">
        <v>42</v>
      </c>
      <c r="T381" s="0" t="s">
        <v>42</v>
      </c>
      <c r="U381" s="0" t="s">
        <v>42</v>
      </c>
      <c r="V381" s="0" t="s">
        <v>42</v>
      </c>
      <c r="W381" s="0" t="s">
        <v>42</v>
      </c>
      <c r="X381" s="0" t="s">
        <v>42</v>
      </c>
      <c r="Y381" s="2" t="s">
        <v>1876</v>
      </c>
      <c r="Z381" s="0" t="s">
        <v>36</v>
      </c>
      <c r="AA381" s="0" t="s">
        <v>36</v>
      </c>
      <c r="AB381" s="0" t="s">
        <v>36</v>
      </c>
      <c r="AC381" s="0" t="s">
        <v>36</v>
      </c>
      <c r="AD381" s="0" t="s">
        <v>36</v>
      </c>
      <c r="AE381" s="2" t="s">
        <v>36</v>
      </c>
    </row>
    <row r="382">
      <c r="A382" s="6" t="s">
        <v>31</v>
      </c>
      <c r="B382" s="7">
        <v>42514</v>
      </c>
      <c r="C382" s="9">
        <f>HYPERLINK("https://www.epingalert.org/en/Search?viewData= G/TBT/N/RUS/71"," G/TBT/N/RUS/71")</f>
      </c>
      <c r="D382" s="8" t="s">
        <v>1877</v>
      </c>
      <c r="E382" s="8" t="s">
        <v>1878</v>
      </c>
      <c r="F382" s="8" t="s">
        <v>1879</v>
      </c>
      <c r="G382" s="8" t="s">
        <v>36</v>
      </c>
      <c r="H382" s="8" t="s">
        <v>1646</v>
      </c>
      <c r="I382" s="8" t="s">
        <v>164</v>
      </c>
      <c r="J382" s="8" t="s">
        <v>36</v>
      </c>
      <c r="K382" s="6"/>
      <c r="L382" s="7">
        <v>42580</v>
      </c>
      <c r="M382" s="6" t="s">
        <v>51</v>
      </c>
      <c r="N382" s="6"/>
      <c r="O382" s="6">
        <f>HYPERLINK("https://docs.wto.org/imrd/directdoc.asp?DDFDocuments/t/G/TBTN16/RUS71.DOC", "https://docs.wto.org/imrd/directdoc.asp?DDFDocuments/t/G/TBTN16/RUS71.DOC")</f>
      </c>
      <c r="P382" s="6">
        <f>HYPERLINK("https://docs.wto.org/imrd/directdoc.asp?DDFDocuments/u/G/TBTN16/RUS71.DOC", "https://docs.wto.org/imrd/directdoc.asp?DDFDocuments/u/G/TBTN16/RUS71.DOC")</f>
      </c>
      <c r="Q382" s="6">
        <f>HYPERLINK("https://docs.wto.org/imrd/directdoc.asp?DDFDocuments/v/G/TBTN16/RUS71.DOC", "https://docs.wto.org/imrd/directdoc.asp?DDFDocuments/v/G/TBTN16/RUS71.DOC")</f>
      </c>
      <c r="R382" s="0" t="s">
        <v>43</v>
      </c>
      <c r="S382" s="0" t="s">
        <v>42</v>
      </c>
      <c r="T382" s="0" t="s">
        <v>42</v>
      </c>
      <c r="U382" s="0" t="s">
        <v>42</v>
      </c>
      <c r="V382" s="0" t="s">
        <v>42</v>
      </c>
      <c r="W382" s="0" t="s">
        <v>42</v>
      </c>
      <c r="X382" s="0" t="s">
        <v>42</v>
      </c>
      <c r="Y382" s="2" t="s">
        <v>1880</v>
      </c>
      <c r="Z382" s="0" t="s">
        <v>36</v>
      </c>
      <c r="AA382" s="0" t="s">
        <v>36</v>
      </c>
      <c r="AB382" s="0" t="s">
        <v>36</v>
      </c>
      <c r="AC382" s="0" t="s">
        <v>36</v>
      </c>
      <c r="AD382" s="0" t="s">
        <v>36</v>
      </c>
      <c r="AE382" s="2" t="s">
        <v>36</v>
      </c>
    </row>
    <row r="383">
      <c r="A383" s="6" t="s">
        <v>31</v>
      </c>
      <c r="B383" s="7">
        <v>42514</v>
      </c>
      <c r="C383" s="9">
        <f>HYPERLINK("https://www.epingalert.org/en/Search?viewData= G/TBT/N/RUS/69"," G/TBT/N/RUS/69")</f>
      </c>
      <c r="D383" s="8" t="s">
        <v>1881</v>
      </c>
      <c r="E383" s="8" t="s">
        <v>1882</v>
      </c>
      <c r="F383" s="8" t="s">
        <v>1883</v>
      </c>
      <c r="G383" s="8" t="s">
        <v>36</v>
      </c>
      <c r="H383" s="8" t="s">
        <v>564</v>
      </c>
      <c r="I383" s="8" t="s">
        <v>796</v>
      </c>
      <c r="J383" s="8" t="s">
        <v>1884</v>
      </c>
      <c r="K383" s="6"/>
      <c r="L383" s="7">
        <v>42573</v>
      </c>
      <c r="M383" s="6" t="s">
        <v>51</v>
      </c>
      <c r="N383" s="6"/>
      <c r="O383" s="6">
        <f>HYPERLINK("https://docs.wto.org/imrd/directdoc.asp?DDFDocuments/t/G/TBTN16/RUS69.DOC", "https://docs.wto.org/imrd/directdoc.asp?DDFDocuments/t/G/TBTN16/RUS69.DOC")</f>
      </c>
      <c r="P383" s="6">
        <f>HYPERLINK("https://docs.wto.org/imrd/directdoc.asp?DDFDocuments/u/G/TBTN16/RUS69.DOC", "https://docs.wto.org/imrd/directdoc.asp?DDFDocuments/u/G/TBTN16/RUS69.DOC")</f>
      </c>
      <c r="Q383" s="6">
        <f>HYPERLINK("https://docs.wto.org/imrd/directdoc.asp?DDFDocuments/v/G/TBTN16/RUS69.DOC", "https://docs.wto.org/imrd/directdoc.asp?DDFDocuments/v/G/TBTN16/RUS69.DOC")</f>
      </c>
      <c r="R383" s="0" t="s">
        <v>43</v>
      </c>
      <c r="S383" s="0" t="s">
        <v>42</v>
      </c>
      <c r="T383" s="0" t="s">
        <v>42</v>
      </c>
      <c r="U383" s="0" t="s">
        <v>42</v>
      </c>
      <c r="V383" s="0" t="s">
        <v>42</v>
      </c>
      <c r="W383" s="0" t="s">
        <v>42</v>
      </c>
      <c r="X383" s="0" t="s">
        <v>42</v>
      </c>
      <c r="Y383" s="2" t="s">
        <v>1885</v>
      </c>
      <c r="Z383" s="0" t="s">
        <v>36</v>
      </c>
      <c r="AA383" s="0" t="s">
        <v>36</v>
      </c>
      <c r="AB383" s="0" t="s">
        <v>36</v>
      </c>
      <c r="AC383" s="0" t="s">
        <v>36</v>
      </c>
      <c r="AD383" s="0" t="s">
        <v>36</v>
      </c>
      <c r="AE383" s="2" t="s">
        <v>36</v>
      </c>
    </row>
    <row r="384">
      <c r="A384" s="6" t="s">
        <v>31</v>
      </c>
      <c r="B384" s="7">
        <v>42513</v>
      </c>
      <c r="C384" s="9">
        <f>HYPERLINK("https://www.epingalert.org/en/Search?viewData= G/TBT/N/RUS/68"," G/TBT/N/RUS/68")</f>
      </c>
      <c r="D384" s="8" t="s">
        <v>1886</v>
      </c>
      <c r="E384" s="8" t="s">
        <v>1887</v>
      </c>
      <c r="F384" s="8" t="s">
        <v>1888</v>
      </c>
      <c r="G384" s="8" t="s">
        <v>36</v>
      </c>
      <c r="H384" s="8" t="s">
        <v>1889</v>
      </c>
      <c r="I384" s="8" t="s">
        <v>796</v>
      </c>
      <c r="J384" s="8" t="s">
        <v>120</v>
      </c>
      <c r="K384" s="6"/>
      <c r="L384" s="7">
        <v>42573</v>
      </c>
      <c r="M384" s="6" t="s">
        <v>51</v>
      </c>
      <c r="N384" s="6"/>
      <c r="O384" s="6">
        <f>HYPERLINK("https://docs.wto.org/imrd/directdoc.asp?DDFDocuments/t/G/TBTN16/RUS68.DOC", "https://docs.wto.org/imrd/directdoc.asp?DDFDocuments/t/G/TBTN16/RUS68.DOC")</f>
      </c>
      <c r="P384" s="6">
        <f>HYPERLINK("https://docs.wto.org/imrd/directdoc.asp?DDFDocuments/u/G/TBTN16/RUS68.DOC", "https://docs.wto.org/imrd/directdoc.asp?DDFDocuments/u/G/TBTN16/RUS68.DOC")</f>
      </c>
      <c r="Q384" s="6">
        <f>HYPERLINK("https://docs.wto.org/imrd/directdoc.asp?DDFDocuments/v/G/TBTN16/RUS68.DOC", "https://docs.wto.org/imrd/directdoc.asp?DDFDocuments/v/G/TBTN16/RUS68.DOC")</f>
      </c>
      <c r="R384" s="0" t="s">
        <v>43</v>
      </c>
      <c r="S384" s="0" t="s">
        <v>42</v>
      </c>
      <c r="T384" s="0" t="s">
        <v>42</v>
      </c>
      <c r="U384" s="0" t="s">
        <v>42</v>
      </c>
      <c r="V384" s="0" t="s">
        <v>42</v>
      </c>
      <c r="W384" s="0" t="s">
        <v>42</v>
      </c>
      <c r="X384" s="0" t="s">
        <v>42</v>
      </c>
      <c r="Y384" s="2" t="s">
        <v>1890</v>
      </c>
      <c r="Z384" s="0" t="s">
        <v>36</v>
      </c>
      <c r="AA384" s="0" t="s">
        <v>36</v>
      </c>
      <c r="AB384" s="0" t="s">
        <v>36</v>
      </c>
      <c r="AC384" s="0" t="s">
        <v>36</v>
      </c>
      <c r="AD384" s="0" t="s">
        <v>36</v>
      </c>
      <c r="AE384" s="2" t="s">
        <v>36</v>
      </c>
    </row>
    <row r="385">
      <c r="A385" s="6" t="s">
        <v>31</v>
      </c>
      <c r="B385" s="7">
        <v>42510</v>
      </c>
      <c r="C385" s="9">
        <f>HYPERLINK("https://www.epingalert.org/en/Search?viewData= G/TBT/N/RUS/65"," G/TBT/N/RUS/65")</f>
      </c>
      <c r="D385" s="8" t="s">
        <v>1891</v>
      </c>
      <c r="E385" s="8" t="s">
        <v>1892</v>
      </c>
      <c r="F385" s="8" t="s">
        <v>140</v>
      </c>
      <c r="G385" s="8" t="s">
        <v>36</v>
      </c>
      <c r="H385" s="8" t="s">
        <v>141</v>
      </c>
      <c r="I385" s="8" t="s">
        <v>164</v>
      </c>
      <c r="J385" s="8" t="s">
        <v>58</v>
      </c>
      <c r="K385" s="6"/>
      <c r="L385" s="7">
        <v>42526</v>
      </c>
      <c r="M385" s="6" t="s">
        <v>51</v>
      </c>
      <c r="N385" s="6"/>
      <c r="O385" s="6">
        <f>HYPERLINK("https://docs.wto.org/imrd/directdoc.asp?DDFDocuments/t/G/TBTN16/RUS65.DOC", "https://docs.wto.org/imrd/directdoc.asp?DDFDocuments/t/G/TBTN16/RUS65.DOC")</f>
      </c>
      <c r="P385" s="6">
        <f>HYPERLINK("https://docs.wto.org/imrd/directdoc.asp?DDFDocuments/u/G/TBTN16/RUS65.DOC", "https://docs.wto.org/imrd/directdoc.asp?DDFDocuments/u/G/TBTN16/RUS65.DOC")</f>
      </c>
      <c r="Q385" s="6">
        <f>HYPERLINK("https://docs.wto.org/imrd/directdoc.asp?DDFDocuments/v/G/TBTN16/RUS65.DOC", "https://docs.wto.org/imrd/directdoc.asp?DDFDocuments/v/G/TBTN16/RUS65.DOC")</f>
      </c>
      <c r="R385" s="0" t="s">
        <v>42</v>
      </c>
      <c r="S385" s="0" t="s">
        <v>43</v>
      </c>
      <c r="T385" s="0" t="s">
        <v>42</v>
      </c>
      <c r="U385" s="0" t="s">
        <v>42</v>
      </c>
      <c r="V385" s="0" t="s">
        <v>42</v>
      </c>
      <c r="W385" s="0" t="s">
        <v>42</v>
      </c>
      <c r="X385" s="0" t="s">
        <v>42</v>
      </c>
      <c r="Y385" s="2" t="s">
        <v>1893</v>
      </c>
      <c r="Z385" s="0" t="s">
        <v>36</v>
      </c>
      <c r="AA385" s="0" t="s">
        <v>36</v>
      </c>
      <c r="AB385" s="0" t="s">
        <v>36</v>
      </c>
      <c r="AC385" s="0" t="s">
        <v>36</v>
      </c>
      <c r="AD385" s="0" t="s">
        <v>36</v>
      </c>
      <c r="AE385" s="2" t="s">
        <v>36</v>
      </c>
    </row>
    <row r="386">
      <c r="A386" s="6" t="s">
        <v>31</v>
      </c>
      <c r="B386" s="7">
        <v>42510</v>
      </c>
      <c r="C386" s="9">
        <f>HYPERLINK("https://www.epingalert.org/en/Search?viewData= G/SPS/N/RUS/124"," G/SPS/N/RUS/124")</f>
      </c>
      <c r="D386" s="8" t="s">
        <v>1894</v>
      </c>
      <c r="E386" s="8" t="s">
        <v>1895</v>
      </c>
      <c r="F386" s="8" t="s">
        <v>1896</v>
      </c>
      <c r="G386" s="8" t="s">
        <v>1897</v>
      </c>
      <c r="H386" s="8" t="s">
        <v>36</v>
      </c>
      <c r="I386" s="8" t="s">
        <v>65</v>
      </c>
      <c r="J386" s="8" t="s">
        <v>1528</v>
      </c>
      <c r="K386" s="6" t="s">
        <v>1862</v>
      </c>
      <c r="L386" s="7" t="s">
        <v>36</v>
      </c>
      <c r="M386" s="6" t="s">
        <v>40</v>
      </c>
      <c r="N386" s="6"/>
      <c r="O386" s="6">
        <f>HYPERLINK("https://docs.wto.org/imrd/directdoc.asp?DDFDocuments/t/G/SPS/NRUS124.pdf", "https://docs.wto.org/imrd/directdoc.asp?DDFDocuments/t/G/SPS/NRUS124.pdf")</f>
      </c>
      <c r="P386" s="6">
        <f>HYPERLINK("https://docs.wto.org/imrd/directdoc.asp?DDFDocuments/u/G/SPS/NRUS124.pdf", "https://docs.wto.org/imrd/directdoc.asp?DDFDocuments/u/G/SPS/NRUS124.pdf")</f>
      </c>
      <c r="Q386" s="6">
        <f>HYPERLINK("https://docs.wto.org/imrd/directdoc.asp?DDFDocuments/v/G/SPS/NRUS124.pdf", "https://docs.wto.org/imrd/directdoc.asp?DDFDocuments/v/G/SPS/NRUS124.pdf")</f>
      </c>
      <c r="R386" s="0" t="s">
        <v>36</v>
      </c>
      <c r="S386" s="0" t="s">
        <v>36</v>
      </c>
      <c r="T386" s="0" t="s">
        <v>36</v>
      </c>
      <c r="U386" s="0" t="s">
        <v>36</v>
      </c>
      <c r="V386" s="0" t="s">
        <v>36</v>
      </c>
      <c r="W386" s="0" t="s">
        <v>36</v>
      </c>
      <c r="X386" s="0" t="s">
        <v>36</v>
      </c>
      <c r="Y386" s="2" t="s">
        <v>36</v>
      </c>
      <c r="Z386" s="0" t="s">
        <v>42</v>
      </c>
      <c r="AA386" s="0" t="s">
        <v>42</v>
      </c>
      <c r="AB386" s="0" t="s">
        <v>43</v>
      </c>
      <c r="AC386" s="0" t="s">
        <v>42</v>
      </c>
      <c r="AD386" s="0" t="s">
        <v>43</v>
      </c>
      <c r="AE386" s="2"/>
    </row>
    <row r="387">
      <c r="A387" s="6" t="s">
        <v>31</v>
      </c>
      <c r="B387" s="7">
        <v>42510</v>
      </c>
      <c r="C387" s="9">
        <f>HYPERLINK("https://www.epingalert.org/en/Search?viewData= G/TBT/N/RUS/66"," G/TBT/N/RUS/66")</f>
      </c>
      <c r="D387" s="8" t="s">
        <v>1898</v>
      </c>
      <c r="E387" s="8" t="s">
        <v>1899</v>
      </c>
      <c r="F387" s="8" t="s">
        <v>1872</v>
      </c>
      <c r="G387" s="8" t="s">
        <v>36</v>
      </c>
      <c r="H387" s="8" t="s">
        <v>1900</v>
      </c>
      <c r="I387" s="8" t="s">
        <v>902</v>
      </c>
      <c r="J387" s="8" t="s">
        <v>36</v>
      </c>
      <c r="K387" s="6"/>
      <c r="L387" s="7">
        <v>42570</v>
      </c>
      <c r="M387" s="6" t="s">
        <v>51</v>
      </c>
      <c r="N387" s="6"/>
      <c r="O387" s="6">
        <f>HYPERLINK("https://docs.wto.org/imrd/directdoc.asp?DDFDocuments/t/G/TBTN16/RUS66.DOC", "https://docs.wto.org/imrd/directdoc.asp?DDFDocuments/t/G/TBTN16/RUS66.DOC")</f>
      </c>
      <c r="P387" s="6">
        <f>HYPERLINK("https://docs.wto.org/imrd/directdoc.asp?DDFDocuments/u/G/TBTN16/RUS66.DOC", "https://docs.wto.org/imrd/directdoc.asp?DDFDocuments/u/G/TBTN16/RUS66.DOC")</f>
      </c>
      <c r="Q387" s="6">
        <f>HYPERLINK("https://docs.wto.org/imrd/directdoc.asp?DDFDocuments/v/G/TBTN16/RUS66.DOC", "https://docs.wto.org/imrd/directdoc.asp?DDFDocuments/v/G/TBTN16/RUS66.DOC")</f>
      </c>
      <c r="R387" s="0" t="s">
        <v>43</v>
      </c>
      <c r="S387" s="0" t="s">
        <v>42</v>
      </c>
      <c r="T387" s="0" t="s">
        <v>43</v>
      </c>
      <c r="U387" s="0" t="s">
        <v>42</v>
      </c>
      <c r="V387" s="0" t="s">
        <v>42</v>
      </c>
      <c r="W387" s="0" t="s">
        <v>42</v>
      </c>
      <c r="X387" s="0" t="s">
        <v>42</v>
      </c>
      <c r="Y387" s="2" t="s">
        <v>1901</v>
      </c>
      <c r="Z387" s="0" t="s">
        <v>36</v>
      </c>
      <c r="AA387" s="0" t="s">
        <v>36</v>
      </c>
      <c r="AB387" s="0" t="s">
        <v>36</v>
      </c>
      <c r="AC387" s="0" t="s">
        <v>36</v>
      </c>
      <c r="AD387" s="0" t="s">
        <v>36</v>
      </c>
      <c r="AE387" s="2" t="s">
        <v>36</v>
      </c>
    </row>
    <row r="388">
      <c r="A388" s="6" t="s">
        <v>31</v>
      </c>
      <c r="B388" s="7">
        <v>42510</v>
      </c>
      <c r="C388" s="9">
        <f>HYPERLINK("https://www.epingalert.org/en/Search?viewData= G/TBT/N/RUS/67"," G/TBT/N/RUS/67")</f>
      </c>
      <c r="D388" s="8" t="s">
        <v>1902</v>
      </c>
      <c r="E388" s="8" t="s">
        <v>1899</v>
      </c>
      <c r="F388" s="8" t="s">
        <v>1872</v>
      </c>
      <c r="G388" s="8" t="s">
        <v>36</v>
      </c>
      <c r="H388" s="8" t="s">
        <v>1869</v>
      </c>
      <c r="I388" s="8" t="s">
        <v>902</v>
      </c>
      <c r="J388" s="8" t="s">
        <v>36</v>
      </c>
      <c r="K388" s="6"/>
      <c r="L388" s="7">
        <v>42570</v>
      </c>
      <c r="M388" s="6" t="s">
        <v>51</v>
      </c>
      <c r="N388" s="6"/>
      <c r="O388" s="6"/>
      <c r="P388" s="6"/>
      <c r="Q388" s="6"/>
      <c r="R388" s="0" t="s">
        <v>43</v>
      </c>
      <c r="S388" s="0" t="s">
        <v>42</v>
      </c>
      <c r="T388" s="0" t="s">
        <v>43</v>
      </c>
      <c r="U388" s="0" t="s">
        <v>42</v>
      </c>
      <c r="V388" s="0" t="s">
        <v>42</v>
      </c>
      <c r="W388" s="0" t="s">
        <v>42</v>
      </c>
      <c r="X388" s="0" t="s">
        <v>42</v>
      </c>
      <c r="Y388" s="2" t="s">
        <v>1903</v>
      </c>
      <c r="Z388" s="0" t="s">
        <v>36</v>
      </c>
      <c r="AA388" s="0" t="s">
        <v>36</v>
      </c>
      <c r="AB388" s="0" t="s">
        <v>36</v>
      </c>
      <c r="AC388" s="0" t="s">
        <v>36</v>
      </c>
      <c r="AD388" s="0" t="s">
        <v>36</v>
      </c>
      <c r="AE388" s="2" t="s">
        <v>36</v>
      </c>
    </row>
    <row r="389">
      <c r="A389" s="6" t="s">
        <v>31</v>
      </c>
      <c r="B389" s="7">
        <v>42508</v>
      </c>
      <c r="C389" s="9">
        <f>HYPERLINK("https://www.epingalert.org/en/Search?viewData= G/TBT/N/RUS/61"," G/TBT/N/RUS/61")</f>
      </c>
      <c r="D389" s="8" t="s">
        <v>1904</v>
      </c>
      <c r="E389" s="8" t="s">
        <v>1905</v>
      </c>
      <c r="F389" s="8" t="s">
        <v>140</v>
      </c>
      <c r="G389" s="8" t="s">
        <v>36</v>
      </c>
      <c r="H389" s="8" t="s">
        <v>141</v>
      </c>
      <c r="I389" s="8" t="s">
        <v>164</v>
      </c>
      <c r="J389" s="8" t="s">
        <v>58</v>
      </c>
      <c r="K389" s="6"/>
      <c r="L389" s="7">
        <v>42526</v>
      </c>
      <c r="M389" s="6" t="s">
        <v>51</v>
      </c>
      <c r="N389" s="6"/>
      <c r="O389" s="6">
        <f>HYPERLINK("https://docs.wto.org/imrd/directdoc.asp?DDFDocuments/t/G/TBTN16/RUS61.DOC", "https://docs.wto.org/imrd/directdoc.asp?DDFDocuments/t/G/TBTN16/RUS61.DOC")</f>
      </c>
      <c r="P389" s="6">
        <f>HYPERLINK("https://docs.wto.org/imrd/directdoc.asp?DDFDocuments/u/G/TBTN16/RUS61.DOC", "https://docs.wto.org/imrd/directdoc.asp?DDFDocuments/u/G/TBTN16/RUS61.DOC")</f>
      </c>
      <c r="Q389" s="6">
        <f>HYPERLINK("https://docs.wto.org/imrd/directdoc.asp?DDFDocuments/v/G/TBTN16/RUS61.DOC", "https://docs.wto.org/imrd/directdoc.asp?DDFDocuments/v/G/TBTN16/RUS61.DOC")</f>
      </c>
      <c r="R389" s="0" t="s">
        <v>42</v>
      </c>
      <c r="S389" s="0" t="s">
        <v>43</v>
      </c>
      <c r="T389" s="0" t="s">
        <v>42</v>
      </c>
      <c r="U389" s="0" t="s">
        <v>42</v>
      </c>
      <c r="V389" s="0" t="s">
        <v>42</v>
      </c>
      <c r="W389" s="0" t="s">
        <v>42</v>
      </c>
      <c r="X389" s="0" t="s">
        <v>42</v>
      </c>
      <c r="Y389" s="2" t="s">
        <v>1906</v>
      </c>
      <c r="Z389" s="0" t="s">
        <v>36</v>
      </c>
      <c r="AA389" s="0" t="s">
        <v>36</v>
      </c>
      <c r="AB389" s="0" t="s">
        <v>36</v>
      </c>
      <c r="AC389" s="0" t="s">
        <v>36</v>
      </c>
      <c r="AD389" s="0" t="s">
        <v>36</v>
      </c>
      <c r="AE389" s="2" t="s">
        <v>36</v>
      </c>
    </row>
    <row r="390">
      <c r="A390" s="6" t="s">
        <v>31</v>
      </c>
      <c r="B390" s="7">
        <v>42508</v>
      </c>
      <c r="C390" s="9">
        <f>HYPERLINK("https://www.epingalert.org/en/Search?viewData= G/TBT/N/RUS/64"," G/TBT/N/RUS/64")</f>
      </c>
      <c r="D390" s="8" t="s">
        <v>1907</v>
      </c>
      <c r="E390" s="8" t="s">
        <v>1908</v>
      </c>
      <c r="F390" s="8" t="s">
        <v>1909</v>
      </c>
      <c r="G390" s="8" t="s">
        <v>36</v>
      </c>
      <c r="H390" s="8" t="s">
        <v>1910</v>
      </c>
      <c r="I390" s="8" t="s">
        <v>164</v>
      </c>
      <c r="J390" s="8" t="s">
        <v>58</v>
      </c>
      <c r="K390" s="6"/>
      <c r="L390" s="7">
        <v>42526</v>
      </c>
      <c r="M390" s="6" t="s">
        <v>51</v>
      </c>
      <c r="N390" s="6"/>
      <c r="O390" s="6">
        <f>HYPERLINK("https://docs.wto.org/imrd/directdoc.asp?DDFDocuments/t/G/TBTN16/RUS64.DOC", "https://docs.wto.org/imrd/directdoc.asp?DDFDocuments/t/G/TBTN16/RUS64.DOC")</f>
      </c>
      <c r="P390" s="6">
        <f>HYPERLINK("https://docs.wto.org/imrd/directdoc.asp?DDFDocuments/u/G/TBTN16/RUS64.DOC", "https://docs.wto.org/imrd/directdoc.asp?DDFDocuments/u/G/TBTN16/RUS64.DOC")</f>
      </c>
      <c r="Q390" s="6">
        <f>HYPERLINK("https://docs.wto.org/imrd/directdoc.asp?DDFDocuments/v/G/TBTN16/RUS64.DOC", "https://docs.wto.org/imrd/directdoc.asp?DDFDocuments/v/G/TBTN16/RUS64.DOC")</f>
      </c>
      <c r="R390" s="0" t="s">
        <v>42</v>
      </c>
      <c r="S390" s="0" t="s">
        <v>42</v>
      </c>
      <c r="T390" s="0" t="s">
        <v>42</v>
      </c>
      <c r="U390" s="0" t="s">
        <v>43</v>
      </c>
      <c r="V390" s="0" t="s">
        <v>42</v>
      </c>
      <c r="W390" s="0" t="s">
        <v>42</v>
      </c>
      <c r="X390" s="0" t="s">
        <v>42</v>
      </c>
      <c r="Y390" s="2" t="s">
        <v>1911</v>
      </c>
      <c r="Z390" s="0" t="s">
        <v>36</v>
      </c>
      <c r="AA390" s="0" t="s">
        <v>36</v>
      </c>
      <c r="AB390" s="0" t="s">
        <v>36</v>
      </c>
      <c r="AC390" s="0" t="s">
        <v>36</v>
      </c>
      <c r="AD390" s="0" t="s">
        <v>36</v>
      </c>
      <c r="AE390" s="2" t="s">
        <v>36</v>
      </c>
    </row>
    <row r="391">
      <c r="A391" s="6" t="s">
        <v>31</v>
      </c>
      <c r="B391" s="7">
        <v>42508</v>
      </c>
      <c r="C391" s="9">
        <f>HYPERLINK("https://www.epingalert.org/en/Search?viewData= G/TBT/N/RUS/62"," G/TBT/N/RUS/62")</f>
      </c>
      <c r="D391" s="8" t="s">
        <v>1912</v>
      </c>
      <c r="E391" s="8" t="s">
        <v>1913</v>
      </c>
      <c r="F391" s="8" t="s">
        <v>1914</v>
      </c>
      <c r="G391" s="8" t="s">
        <v>36</v>
      </c>
      <c r="H391" s="8" t="s">
        <v>1910</v>
      </c>
      <c r="I391" s="8" t="s">
        <v>164</v>
      </c>
      <c r="J391" s="8" t="s">
        <v>58</v>
      </c>
      <c r="K391" s="6"/>
      <c r="L391" s="7">
        <v>42526</v>
      </c>
      <c r="M391" s="6" t="s">
        <v>51</v>
      </c>
      <c r="N391" s="6"/>
      <c r="O391" s="6">
        <f>HYPERLINK("https://docs.wto.org/imrd/directdoc.asp?DDFDocuments/t/G/TBTN16/RUS62.DOC", "https://docs.wto.org/imrd/directdoc.asp?DDFDocuments/t/G/TBTN16/RUS62.DOC")</f>
      </c>
      <c r="P391" s="6">
        <f>HYPERLINK("https://docs.wto.org/imrd/directdoc.asp?DDFDocuments/u/G/TBTN16/RUS62.DOC", "https://docs.wto.org/imrd/directdoc.asp?DDFDocuments/u/G/TBTN16/RUS62.DOC")</f>
      </c>
      <c r="Q391" s="6">
        <f>HYPERLINK("https://docs.wto.org/imrd/directdoc.asp?DDFDocuments/v/G/TBTN16/RUS62.DOC", "https://docs.wto.org/imrd/directdoc.asp?DDFDocuments/v/G/TBTN16/RUS62.DOC")</f>
      </c>
      <c r="R391" s="0" t="s">
        <v>42</v>
      </c>
      <c r="S391" s="0" t="s">
        <v>42</v>
      </c>
      <c r="T391" s="0" t="s">
        <v>42</v>
      </c>
      <c r="U391" s="0" t="s">
        <v>43</v>
      </c>
      <c r="V391" s="0" t="s">
        <v>42</v>
      </c>
      <c r="W391" s="0" t="s">
        <v>42</v>
      </c>
      <c r="X391" s="0" t="s">
        <v>42</v>
      </c>
      <c r="Y391" s="2" t="s">
        <v>1915</v>
      </c>
      <c r="Z391" s="0" t="s">
        <v>36</v>
      </c>
      <c r="AA391" s="0" t="s">
        <v>36</v>
      </c>
      <c r="AB391" s="0" t="s">
        <v>36</v>
      </c>
      <c r="AC391" s="0" t="s">
        <v>36</v>
      </c>
      <c r="AD391" s="0" t="s">
        <v>36</v>
      </c>
      <c r="AE391" s="2" t="s">
        <v>36</v>
      </c>
    </row>
    <row r="392">
      <c r="A392" s="6" t="s">
        <v>31</v>
      </c>
      <c r="B392" s="7">
        <v>42508</v>
      </c>
      <c r="C392" s="9">
        <f>HYPERLINK("https://www.epingalert.org/en/Search?viewData= G/TBT/N/RUS/63"," G/TBT/N/RUS/63")</f>
      </c>
      <c r="D392" s="8" t="s">
        <v>1916</v>
      </c>
      <c r="E392" s="8" t="s">
        <v>1917</v>
      </c>
      <c r="F392" s="8" t="s">
        <v>140</v>
      </c>
      <c r="G392" s="8" t="s">
        <v>36</v>
      </c>
      <c r="H392" s="8" t="s">
        <v>141</v>
      </c>
      <c r="I392" s="8" t="s">
        <v>164</v>
      </c>
      <c r="J392" s="8" t="s">
        <v>58</v>
      </c>
      <c r="K392" s="6"/>
      <c r="L392" s="7">
        <v>42526</v>
      </c>
      <c r="M392" s="6" t="s">
        <v>51</v>
      </c>
      <c r="N392" s="6"/>
      <c r="O392" s="6">
        <f>HYPERLINK("https://docs.wto.org/imrd/directdoc.asp?DDFDocuments/t/G/TBTN16/RUS63.DOC", "https://docs.wto.org/imrd/directdoc.asp?DDFDocuments/t/G/TBTN16/RUS63.DOC")</f>
      </c>
      <c r="P392" s="6">
        <f>HYPERLINK("https://docs.wto.org/imrd/directdoc.asp?DDFDocuments/u/G/TBTN16/RUS63.DOC", "https://docs.wto.org/imrd/directdoc.asp?DDFDocuments/u/G/TBTN16/RUS63.DOC")</f>
      </c>
      <c r="Q392" s="6">
        <f>HYPERLINK("https://docs.wto.org/imrd/directdoc.asp?DDFDocuments/v/G/TBTN16/RUS63.DOC", "https://docs.wto.org/imrd/directdoc.asp?DDFDocuments/v/G/TBTN16/RUS63.DOC")</f>
      </c>
      <c r="R392" s="0" t="s">
        <v>42</v>
      </c>
      <c r="S392" s="0" t="s">
        <v>43</v>
      </c>
      <c r="T392" s="0" t="s">
        <v>42</v>
      </c>
      <c r="U392" s="0" t="s">
        <v>42</v>
      </c>
      <c r="V392" s="0" t="s">
        <v>42</v>
      </c>
      <c r="W392" s="0" t="s">
        <v>42</v>
      </c>
      <c r="X392" s="0" t="s">
        <v>42</v>
      </c>
      <c r="Y392" s="2" t="s">
        <v>1918</v>
      </c>
      <c r="Z392" s="0" t="s">
        <v>36</v>
      </c>
      <c r="AA392" s="0" t="s">
        <v>36</v>
      </c>
      <c r="AB392" s="0" t="s">
        <v>36</v>
      </c>
      <c r="AC392" s="0" t="s">
        <v>36</v>
      </c>
      <c r="AD392" s="0" t="s">
        <v>36</v>
      </c>
      <c r="AE392" s="2" t="s">
        <v>36</v>
      </c>
    </row>
    <row r="393">
      <c r="A393" s="6" t="s">
        <v>31</v>
      </c>
      <c r="B393" s="7">
        <v>42508</v>
      </c>
      <c r="C393" s="9">
        <f>HYPERLINK("https://www.epingalert.org/en/Search?viewData= G/TBT/N/RUS/60"," G/TBT/N/RUS/60")</f>
      </c>
      <c r="D393" s="8" t="s">
        <v>1919</v>
      </c>
      <c r="E393" s="8" t="s">
        <v>1920</v>
      </c>
      <c r="F393" s="8" t="s">
        <v>140</v>
      </c>
      <c r="G393" s="8" t="s">
        <v>36</v>
      </c>
      <c r="H393" s="8" t="s">
        <v>141</v>
      </c>
      <c r="I393" s="8" t="s">
        <v>1921</v>
      </c>
      <c r="J393" s="8" t="s">
        <v>58</v>
      </c>
      <c r="K393" s="6"/>
      <c r="L393" s="7">
        <v>42526</v>
      </c>
      <c r="M393" s="6" t="s">
        <v>51</v>
      </c>
      <c r="N393" s="6"/>
      <c r="O393" s="6">
        <f>HYPERLINK("https://docs.wto.org/imrd/directdoc.asp?DDFDocuments/t/G/TBTN16/RUS60.DOC", "https://docs.wto.org/imrd/directdoc.asp?DDFDocuments/t/G/TBTN16/RUS60.DOC")</f>
      </c>
      <c r="P393" s="6">
        <f>HYPERLINK("https://docs.wto.org/imrd/directdoc.asp?DDFDocuments/u/G/TBTN16/RUS60.DOC", "https://docs.wto.org/imrd/directdoc.asp?DDFDocuments/u/G/TBTN16/RUS60.DOC")</f>
      </c>
      <c r="Q393" s="6">
        <f>HYPERLINK("https://docs.wto.org/imrd/directdoc.asp?DDFDocuments/v/G/TBTN16/RUS60.DOC", "https://docs.wto.org/imrd/directdoc.asp?DDFDocuments/v/G/TBTN16/RUS60.DOC")</f>
      </c>
      <c r="R393" s="0" t="s">
        <v>42</v>
      </c>
      <c r="S393" s="0" t="s">
        <v>43</v>
      </c>
      <c r="T393" s="0" t="s">
        <v>42</v>
      </c>
      <c r="U393" s="0" t="s">
        <v>42</v>
      </c>
      <c r="V393" s="0" t="s">
        <v>42</v>
      </c>
      <c r="W393" s="0" t="s">
        <v>42</v>
      </c>
      <c r="X393" s="0" t="s">
        <v>42</v>
      </c>
      <c r="Y393" s="2" t="s">
        <v>1922</v>
      </c>
      <c r="Z393" s="0" t="s">
        <v>36</v>
      </c>
      <c r="AA393" s="0" t="s">
        <v>36</v>
      </c>
      <c r="AB393" s="0" t="s">
        <v>36</v>
      </c>
      <c r="AC393" s="0" t="s">
        <v>36</v>
      </c>
      <c r="AD393" s="0" t="s">
        <v>36</v>
      </c>
      <c r="AE393" s="2" t="s">
        <v>36</v>
      </c>
    </row>
    <row r="394">
      <c r="A394" s="6" t="s">
        <v>31</v>
      </c>
      <c r="B394" s="7">
        <v>42507</v>
      </c>
      <c r="C394" s="9">
        <f>HYPERLINK("https://www.epingalert.org/en/Search?viewData= G/TBT/N/RUS/59"," G/TBT/N/RUS/59")</f>
      </c>
      <c r="D394" s="8" t="s">
        <v>1923</v>
      </c>
      <c r="E394" s="8" t="s">
        <v>1924</v>
      </c>
      <c r="F394" s="8" t="s">
        <v>140</v>
      </c>
      <c r="G394" s="8" t="s">
        <v>36</v>
      </c>
      <c r="H394" s="8" t="s">
        <v>141</v>
      </c>
      <c r="I394" s="8" t="s">
        <v>164</v>
      </c>
      <c r="J394" s="8" t="s">
        <v>58</v>
      </c>
      <c r="K394" s="6"/>
      <c r="L394" s="7">
        <v>42526</v>
      </c>
      <c r="M394" s="6" t="s">
        <v>51</v>
      </c>
      <c r="N394" s="6"/>
      <c r="O394" s="6">
        <f>HYPERLINK("https://docs.wto.org/imrd/directdoc.asp?DDFDocuments/t/G/TBTN16/RUS59.DOC", "https://docs.wto.org/imrd/directdoc.asp?DDFDocuments/t/G/TBTN16/RUS59.DOC")</f>
      </c>
      <c r="P394" s="6">
        <f>HYPERLINK("https://docs.wto.org/imrd/directdoc.asp?DDFDocuments/u/G/TBTN16/RUS59.DOC", "https://docs.wto.org/imrd/directdoc.asp?DDFDocuments/u/G/TBTN16/RUS59.DOC")</f>
      </c>
      <c r="Q394" s="6">
        <f>HYPERLINK("https://docs.wto.org/imrd/directdoc.asp?DDFDocuments/v/G/TBTN16/RUS59.DOC", "https://docs.wto.org/imrd/directdoc.asp?DDFDocuments/v/G/TBTN16/RUS59.DOC")</f>
      </c>
      <c r="R394" s="0" t="s">
        <v>42</v>
      </c>
      <c r="S394" s="0" t="s">
        <v>43</v>
      </c>
      <c r="T394" s="0" t="s">
        <v>42</v>
      </c>
      <c r="U394" s="0" t="s">
        <v>42</v>
      </c>
      <c r="V394" s="0" t="s">
        <v>42</v>
      </c>
      <c r="W394" s="0" t="s">
        <v>42</v>
      </c>
      <c r="X394" s="0" t="s">
        <v>42</v>
      </c>
      <c r="Y394" s="2" t="s">
        <v>1925</v>
      </c>
      <c r="Z394" s="0" t="s">
        <v>36</v>
      </c>
      <c r="AA394" s="0" t="s">
        <v>36</v>
      </c>
      <c r="AB394" s="0" t="s">
        <v>36</v>
      </c>
      <c r="AC394" s="0" t="s">
        <v>36</v>
      </c>
      <c r="AD394" s="0" t="s">
        <v>36</v>
      </c>
      <c r="AE394" s="2" t="s">
        <v>36</v>
      </c>
    </row>
    <row r="395">
      <c r="A395" s="6" t="s">
        <v>31</v>
      </c>
      <c r="B395" s="7">
        <v>42503</v>
      </c>
      <c r="C395" s="9">
        <f>HYPERLINK("https://www.epingalert.org/en/Search?viewData= G/TBT/N/RUS/56"," G/TBT/N/RUS/56")</f>
      </c>
      <c r="D395" s="8" t="s">
        <v>1926</v>
      </c>
      <c r="E395" s="8" t="s">
        <v>1927</v>
      </c>
      <c r="F395" s="8" t="s">
        <v>1928</v>
      </c>
      <c r="G395" s="8" t="s">
        <v>36</v>
      </c>
      <c r="H395" s="8" t="s">
        <v>141</v>
      </c>
      <c r="I395" s="8" t="s">
        <v>796</v>
      </c>
      <c r="J395" s="8" t="s">
        <v>58</v>
      </c>
      <c r="K395" s="6"/>
      <c r="L395" s="7">
        <v>42526</v>
      </c>
      <c r="M395" s="6" t="s">
        <v>51</v>
      </c>
      <c r="N395" s="6"/>
      <c r="O395" s="6">
        <f>HYPERLINK("https://docs.wto.org/imrd/directdoc.asp?DDFDocuments/t/G/TBTN16/RUS56.DOC", "https://docs.wto.org/imrd/directdoc.asp?DDFDocuments/t/G/TBTN16/RUS56.DOC")</f>
      </c>
      <c r="P395" s="6">
        <f>HYPERLINK("https://docs.wto.org/imrd/directdoc.asp?DDFDocuments/u/G/TBTN16/RUS56.DOC", "https://docs.wto.org/imrd/directdoc.asp?DDFDocuments/u/G/TBTN16/RUS56.DOC")</f>
      </c>
      <c r="Q395" s="6">
        <f>HYPERLINK("https://docs.wto.org/imrd/directdoc.asp?DDFDocuments/v/G/TBTN16/RUS56.DOC", "https://docs.wto.org/imrd/directdoc.asp?DDFDocuments/v/G/TBTN16/RUS56.DOC")</f>
      </c>
      <c r="R395" s="0" t="s">
        <v>42</v>
      </c>
      <c r="S395" s="0" t="s">
        <v>43</v>
      </c>
      <c r="T395" s="0" t="s">
        <v>42</v>
      </c>
      <c r="U395" s="0" t="s">
        <v>42</v>
      </c>
      <c r="V395" s="0" t="s">
        <v>42</v>
      </c>
      <c r="W395" s="0" t="s">
        <v>42</v>
      </c>
      <c r="X395" s="0" t="s">
        <v>42</v>
      </c>
      <c r="Y395" s="2" t="s">
        <v>1929</v>
      </c>
      <c r="Z395" s="0" t="s">
        <v>36</v>
      </c>
      <c r="AA395" s="0" t="s">
        <v>36</v>
      </c>
      <c r="AB395" s="0" t="s">
        <v>36</v>
      </c>
      <c r="AC395" s="0" t="s">
        <v>36</v>
      </c>
      <c r="AD395" s="0" t="s">
        <v>36</v>
      </c>
      <c r="AE395" s="2" t="s">
        <v>36</v>
      </c>
    </row>
    <row r="396">
      <c r="A396" s="6" t="s">
        <v>31</v>
      </c>
      <c r="B396" s="7">
        <v>42503</v>
      </c>
      <c r="C396" s="9">
        <f>HYPERLINK("https://www.epingalert.org/en/Search?viewData= G/TBT/N/RUS/57"," G/TBT/N/RUS/57")</f>
      </c>
      <c r="D396" s="8" t="s">
        <v>1930</v>
      </c>
      <c r="E396" s="8" t="s">
        <v>1931</v>
      </c>
      <c r="F396" s="8" t="s">
        <v>1914</v>
      </c>
      <c r="G396" s="8" t="s">
        <v>36</v>
      </c>
      <c r="H396" s="8" t="s">
        <v>1910</v>
      </c>
      <c r="I396" s="8" t="s">
        <v>164</v>
      </c>
      <c r="J396" s="8" t="s">
        <v>58</v>
      </c>
      <c r="K396" s="6"/>
      <c r="L396" s="7">
        <v>42526</v>
      </c>
      <c r="M396" s="6" t="s">
        <v>51</v>
      </c>
      <c r="N396" s="6"/>
      <c r="O396" s="6">
        <f>HYPERLINK("https://docs.wto.org/imrd/directdoc.asp?DDFDocuments/t/G/TBTN16/RUS57.DOC", "https://docs.wto.org/imrd/directdoc.asp?DDFDocuments/t/G/TBTN16/RUS57.DOC")</f>
      </c>
      <c r="P396" s="6">
        <f>HYPERLINK("https://docs.wto.org/imrd/directdoc.asp?DDFDocuments/u/G/TBTN16/RUS57.DOC", "https://docs.wto.org/imrd/directdoc.asp?DDFDocuments/u/G/TBTN16/RUS57.DOC")</f>
      </c>
      <c r="Q396" s="6">
        <f>HYPERLINK("https://docs.wto.org/imrd/directdoc.asp?DDFDocuments/v/G/TBTN16/RUS57.DOC", "https://docs.wto.org/imrd/directdoc.asp?DDFDocuments/v/G/TBTN16/RUS57.DOC")</f>
      </c>
      <c r="R396" s="0" t="s">
        <v>42</v>
      </c>
      <c r="S396" s="0" t="s">
        <v>43</v>
      </c>
      <c r="T396" s="0" t="s">
        <v>42</v>
      </c>
      <c r="U396" s="0" t="s">
        <v>42</v>
      </c>
      <c r="V396" s="0" t="s">
        <v>42</v>
      </c>
      <c r="W396" s="0" t="s">
        <v>42</v>
      </c>
      <c r="X396" s="0" t="s">
        <v>42</v>
      </c>
      <c r="Y396" s="2" t="s">
        <v>1932</v>
      </c>
      <c r="Z396" s="0" t="s">
        <v>36</v>
      </c>
      <c r="AA396" s="0" t="s">
        <v>36</v>
      </c>
      <c r="AB396" s="0" t="s">
        <v>36</v>
      </c>
      <c r="AC396" s="0" t="s">
        <v>36</v>
      </c>
      <c r="AD396" s="0" t="s">
        <v>36</v>
      </c>
      <c r="AE396" s="2" t="s">
        <v>36</v>
      </c>
    </row>
    <row r="397">
      <c r="A397" s="6" t="s">
        <v>31</v>
      </c>
      <c r="B397" s="7">
        <v>42503</v>
      </c>
      <c r="C397" s="9">
        <f>HYPERLINK("https://www.epingalert.org/en/Search?viewData= G/TBT/N/RUS/58"," G/TBT/N/RUS/58")</f>
      </c>
      <c r="D397" s="8" t="s">
        <v>1933</v>
      </c>
      <c r="E397" s="8" t="s">
        <v>1934</v>
      </c>
      <c r="F397" s="8" t="s">
        <v>140</v>
      </c>
      <c r="G397" s="8" t="s">
        <v>36</v>
      </c>
      <c r="H397" s="8" t="s">
        <v>141</v>
      </c>
      <c r="I397" s="8" t="s">
        <v>796</v>
      </c>
      <c r="J397" s="8" t="s">
        <v>58</v>
      </c>
      <c r="K397" s="6"/>
      <c r="L397" s="7">
        <v>42526</v>
      </c>
      <c r="M397" s="6" t="s">
        <v>51</v>
      </c>
      <c r="N397" s="6"/>
      <c r="O397" s="6">
        <f>HYPERLINK("https://docs.wto.org/imrd/directdoc.asp?DDFDocuments/t/G/TBTN16/RUS58.DOC", "https://docs.wto.org/imrd/directdoc.asp?DDFDocuments/t/G/TBTN16/RUS58.DOC")</f>
      </c>
      <c r="P397" s="6">
        <f>HYPERLINK("https://docs.wto.org/imrd/directdoc.asp?DDFDocuments/u/G/TBTN16/RUS58.DOC", "https://docs.wto.org/imrd/directdoc.asp?DDFDocuments/u/G/TBTN16/RUS58.DOC")</f>
      </c>
      <c r="Q397" s="6">
        <f>HYPERLINK("https://docs.wto.org/imrd/directdoc.asp?DDFDocuments/v/G/TBTN16/RUS58.DOC", "https://docs.wto.org/imrd/directdoc.asp?DDFDocuments/v/G/TBTN16/RUS58.DOC")</f>
      </c>
      <c r="R397" s="0" t="s">
        <v>42</v>
      </c>
      <c r="S397" s="0" t="s">
        <v>43</v>
      </c>
      <c r="T397" s="0" t="s">
        <v>42</v>
      </c>
      <c r="U397" s="0" t="s">
        <v>42</v>
      </c>
      <c r="V397" s="0" t="s">
        <v>42</v>
      </c>
      <c r="W397" s="0" t="s">
        <v>42</v>
      </c>
      <c r="X397" s="0" t="s">
        <v>42</v>
      </c>
      <c r="Y397" s="2" t="s">
        <v>1935</v>
      </c>
      <c r="Z397" s="0" t="s">
        <v>36</v>
      </c>
      <c r="AA397" s="0" t="s">
        <v>36</v>
      </c>
      <c r="AB397" s="0" t="s">
        <v>36</v>
      </c>
      <c r="AC397" s="0" t="s">
        <v>36</v>
      </c>
      <c r="AD397" s="0" t="s">
        <v>36</v>
      </c>
      <c r="AE397" s="2" t="s">
        <v>36</v>
      </c>
    </row>
    <row r="398">
      <c r="A398" s="6" t="s">
        <v>31</v>
      </c>
      <c r="B398" s="7">
        <v>42503</v>
      </c>
      <c r="C398" s="9">
        <f>HYPERLINK("https://www.epingalert.org/en/Search?viewData= G/TBT/N/RUS/55"," G/TBT/N/RUS/55")</f>
      </c>
      <c r="D398" s="8" t="s">
        <v>1936</v>
      </c>
      <c r="E398" s="8" t="s">
        <v>1937</v>
      </c>
      <c r="F398" s="8" t="s">
        <v>1914</v>
      </c>
      <c r="G398" s="8" t="s">
        <v>36</v>
      </c>
      <c r="H398" s="8" t="s">
        <v>1910</v>
      </c>
      <c r="I398" s="8" t="s">
        <v>164</v>
      </c>
      <c r="J398" s="8" t="s">
        <v>58</v>
      </c>
      <c r="K398" s="6"/>
      <c r="L398" s="7">
        <v>42526</v>
      </c>
      <c r="M398" s="6" t="s">
        <v>51</v>
      </c>
      <c r="N398" s="6"/>
      <c r="O398" s="6">
        <f>HYPERLINK("https://docs.wto.org/imrd/directdoc.asp?DDFDocuments/t/G/TBTN16/RUS55.DOC", "https://docs.wto.org/imrd/directdoc.asp?DDFDocuments/t/G/TBTN16/RUS55.DOC")</f>
      </c>
      <c r="P398" s="6">
        <f>HYPERLINK("https://docs.wto.org/imrd/directdoc.asp?DDFDocuments/u/G/TBTN16/RUS55.DOC", "https://docs.wto.org/imrd/directdoc.asp?DDFDocuments/u/G/TBTN16/RUS55.DOC")</f>
      </c>
      <c r="Q398" s="6">
        <f>HYPERLINK("https://docs.wto.org/imrd/directdoc.asp?DDFDocuments/v/G/TBTN16/RUS55.DOC", "https://docs.wto.org/imrd/directdoc.asp?DDFDocuments/v/G/TBTN16/RUS55.DOC")</f>
      </c>
      <c r="R398" s="0" t="s">
        <v>42</v>
      </c>
      <c r="S398" s="0" t="s">
        <v>43</v>
      </c>
      <c r="T398" s="0" t="s">
        <v>42</v>
      </c>
      <c r="U398" s="0" t="s">
        <v>42</v>
      </c>
      <c r="V398" s="0" t="s">
        <v>42</v>
      </c>
      <c r="W398" s="0" t="s">
        <v>42</v>
      </c>
      <c r="X398" s="0" t="s">
        <v>42</v>
      </c>
      <c r="Y398" s="2" t="s">
        <v>1938</v>
      </c>
      <c r="Z398" s="0" t="s">
        <v>36</v>
      </c>
      <c r="AA398" s="0" t="s">
        <v>36</v>
      </c>
      <c r="AB398" s="0" t="s">
        <v>36</v>
      </c>
      <c r="AC398" s="0" t="s">
        <v>36</v>
      </c>
      <c r="AD398" s="0" t="s">
        <v>36</v>
      </c>
      <c r="AE398" s="2" t="s">
        <v>36</v>
      </c>
    </row>
    <row r="399">
      <c r="A399" s="6" t="s">
        <v>31</v>
      </c>
      <c r="B399" s="7">
        <v>42502</v>
      </c>
      <c r="C399" s="9">
        <f>HYPERLINK("https://www.epingalert.org/en/Search?viewData= G/SPS/N/RUS/123"," G/SPS/N/RUS/123")</f>
      </c>
      <c r="D399" s="8" t="s">
        <v>1939</v>
      </c>
      <c r="E399" s="8" t="s">
        <v>1940</v>
      </c>
      <c r="F399" s="8" t="s">
        <v>1941</v>
      </c>
      <c r="G399" s="8" t="s">
        <v>1942</v>
      </c>
      <c r="H399" s="8" t="s">
        <v>36</v>
      </c>
      <c r="I399" s="8" t="s">
        <v>65</v>
      </c>
      <c r="J399" s="8" t="s">
        <v>1528</v>
      </c>
      <c r="K399" s="6" t="s">
        <v>1862</v>
      </c>
      <c r="L399" s="7" t="s">
        <v>36</v>
      </c>
      <c r="M399" s="6" t="s">
        <v>40</v>
      </c>
      <c r="N399" s="6"/>
      <c r="O399" s="6">
        <f>HYPERLINK("https://docs.wto.org/imrd/directdoc.asp?DDFDocuments/t/G/SPS/NRUS123.pdf", "https://docs.wto.org/imrd/directdoc.asp?DDFDocuments/t/G/SPS/NRUS123.pdf")</f>
      </c>
      <c r="P399" s="6">
        <f>HYPERLINK("https://docs.wto.org/imrd/directdoc.asp?DDFDocuments/u/G/SPS/NRUS123.pdf", "https://docs.wto.org/imrd/directdoc.asp?DDFDocuments/u/G/SPS/NRUS123.pdf")</f>
      </c>
      <c r="Q399" s="6">
        <f>HYPERLINK("https://docs.wto.org/imrd/directdoc.asp?DDFDocuments/v/G/SPS/NRUS123.pdf", "https://docs.wto.org/imrd/directdoc.asp?DDFDocuments/v/G/SPS/NRUS123.pdf")</f>
      </c>
      <c r="R399" s="0" t="s">
        <v>36</v>
      </c>
      <c r="S399" s="0" t="s">
        <v>36</v>
      </c>
      <c r="T399" s="0" t="s">
        <v>36</v>
      </c>
      <c r="U399" s="0" t="s">
        <v>36</v>
      </c>
      <c r="V399" s="0" t="s">
        <v>36</v>
      </c>
      <c r="W399" s="0" t="s">
        <v>36</v>
      </c>
      <c r="X399" s="0" t="s">
        <v>36</v>
      </c>
      <c r="Y399" s="2" t="s">
        <v>36</v>
      </c>
      <c r="Z399" s="0" t="s">
        <v>42</v>
      </c>
      <c r="AA399" s="0" t="s">
        <v>42</v>
      </c>
      <c r="AB399" s="0" t="s">
        <v>43</v>
      </c>
      <c r="AC399" s="0" t="s">
        <v>42</v>
      </c>
      <c r="AD399" s="0" t="s">
        <v>43</v>
      </c>
      <c r="AE399" s="2"/>
    </row>
    <row r="400">
      <c r="A400" s="6" t="s">
        <v>31</v>
      </c>
      <c r="B400" s="7">
        <v>42501</v>
      </c>
      <c r="C400" s="9">
        <f>HYPERLINK("https://www.epingalert.org/en/Search?viewData= G/TBT/N/RUS/54"," G/TBT/N/RUS/54")</f>
      </c>
      <c r="D400" s="8" t="s">
        <v>1943</v>
      </c>
      <c r="E400" s="8" t="s">
        <v>1944</v>
      </c>
      <c r="F400" s="8" t="s">
        <v>140</v>
      </c>
      <c r="G400" s="8" t="s">
        <v>36</v>
      </c>
      <c r="H400" s="8" t="s">
        <v>141</v>
      </c>
      <c r="I400" s="8" t="s">
        <v>164</v>
      </c>
      <c r="J400" s="8" t="s">
        <v>58</v>
      </c>
      <c r="K400" s="6"/>
      <c r="L400" s="7">
        <v>42522</v>
      </c>
      <c r="M400" s="6" t="s">
        <v>51</v>
      </c>
      <c r="N400" s="6"/>
      <c r="O400" s="6">
        <f>HYPERLINK("https://docs.wto.org/imrd/directdoc.asp?DDFDocuments/t/G/TBTN16/RUS54.DOC", "https://docs.wto.org/imrd/directdoc.asp?DDFDocuments/t/G/TBTN16/RUS54.DOC")</f>
      </c>
      <c r="P400" s="6">
        <f>HYPERLINK("https://docs.wto.org/imrd/directdoc.asp?DDFDocuments/u/G/TBTN16/RUS54.DOC", "https://docs.wto.org/imrd/directdoc.asp?DDFDocuments/u/G/TBTN16/RUS54.DOC")</f>
      </c>
      <c r="Q400" s="6">
        <f>HYPERLINK("https://docs.wto.org/imrd/directdoc.asp?DDFDocuments/v/G/TBTN16/RUS54.DOC", "https://docs.wto.org/imrd/directdoc.asp?DDFDocuments/v/G/TBTN16/RUS54.DOC")</f>
      </c>
      <c r="R400" s="0" t="s">
        <v>42</v>
      </c>
      <c r="S400" s="0" t="s">
        <v>43</v>
      </c>
      <c r="T400" s="0" t="s">
        <v>42</v>
      </c>
      <c r="U400" s="0" t="s">
        <v>42</v>
      </c>
      <c r="V400" s="0" t="s">
        <v>42</v>
      </c>
      <c r="W400" s="0" t="s">
        <v>42</v>
      </c>
      <c r="X400" s="0" t="s">
        <v>42</v>
      </c>
      <c r="Y400" s="2" t="s">
        <v>1945</v>
      </c>
      <c r="Z400" s="0" t="s">
        <v>36</v>
      </c>
      <c r="AA400" s="0" t="s">
        <v>36</v>
      </c>
      <c r="AB400" s="0" t="s">
        <v>36</v>
      </c>
      <c r="AC400" s="0" t="s">
        <v>36</v>
      </c>
      <c r="AD400" s="0" t="s">
        <v>36</v>
      </c>
      <c r="AE400" s="2" t="s">
        <v>36</v>
      </c>
    </row>
    <row r="401">
      <c r="A401" s="6" t="s">
        <v>31</v>
      </c>
      <c r="B401" s="7">
        <v>42501</v>
      </c>
      <c r="C401" s="9">
        <f>HYPERLINK("https://www.epingalert.org/en/Search?viewData= G/TBT/N/RUS/53"," G/TBT/N/RUS/53")</f>
      </c>
      <c r="D401" s="8" t="s">
        <v>1946</v>
      </c>
      <c r="E401" s="8" t="s">
        <v>1947</v>
      </c>
      <c r="F401" s="8" t="s">
        <v>1948</v>
      </c>
      <c r="G401" s="8" t="s">
        <v>36</v>
      </c>
      <c r="H401" s="8" t="s">
        <v>1949</v>
      </c>
      <c r="I401" s="8" t="s">
        <v>796</v>
      </c>
      <c r="J401" s="8" t="s">
        <v>58</v>
      </c>
      <c r="K401" s="6"/>
      <c r="L401" s="7">
        <v>42526</v>
      </c>
      <c r="M401" s="6" t="s">
        <v>51</v>
      </c>
      <c r="N401" s="6"/>
      <c r="O401" s="6">
        <f>HYPERLINK("https://docs.wto.org/imrd/directdoc.asp?DDFDocuments/t/G/TBTN16/RUS53.DOC", "https://docs.wto.org/imrd/directdoc.asp?DDFDocuments/t/G/TBTN16/RUS53.DOC")</f>
      </c>
      <c r="P401" s="6">
        <f>HYPERLINK("https://docs.wto.org/imrd/directdoc.asp?DDFDocuments/u/G/TBTN16/RUS53.DOC", "https://docs.wto.org/imrd/directdoc.asp?DDFDocuments/u/G/TBTN16/RUS53.DOC")</f>
      </c>
      <c r="Q401" s="6">
        <f>HYPERLINK("https://docs.wto.org/imrd/directdoc.asp?DDFDocuments/v/G/TBTN16/RUS53.DOC", "https://docs.wto.org/imrd/directdoc.asp?DDFDocuments/v/G/TBTN16/RUS53.DOC")</f>
      </c>
      <c r="R401" s="0" t="s">
        <v>42</v>
      </c>
      <c r="S401" s="0" t="s">
        <v>43</v>
      </c>
      <c r="T401" s="0" t="s">
        <v>42</v>
      </c>
      <c r="U401" s="0" t="s">
        <v>42</v>
      </c>
      <c r="V401" s="0" t="s">
        <v>42</v>
      </c>
      <c r="W401" s="0" t="s">
        <v>42</v>
      </c>
      <c r="X401" s="0" t="s">
        <v>42</v>
      </c>
      <c r="Y401" s="2" t="s">
        <v>1950</v>
      </c>
      <c r="Z401" s="0" t="s">
        <v>36</v>
      </c>
      <c r="AA401" s="0" t="s">
        <v>36</v>
      </c>
      <c r="AB401" s="0" t="s">
        <v>36</v>
      </c>
      <c r="AC401" s="0" t="s">
        <v>36</v>
      </c>
      <c r="AD401" s="0" t="s">
        <v>36</v>
      </c>
      <c r="AE401" s="2" t="s">
        <v>36</v>
      </c>
    </row>
    <row r="402">
      <c r="A402" s="6" t="s">
        <v>31</v>
      </c>
      <c r="B402" s="7">
        <v>42500</v>
      </c>
      <c r="C402" s="9">
        <f>HYPERLINK("https://www.epingalert.org/en/Search?viewData= G/TBT/N/RUS/51"," G/TBT/N/RUS/51")</f>
      </c>
      <c r="D402" s="8" t="s">
        <v>1951</v>
      </c>
      <c r="E402" s="8" t="s">
        <v>1952</v>
      </c>
      <c r="F402" s="8" t="s">
        <v>1909</v>
      </c>
      <c r="G402" s="8" t="s">
        <v>36</v>
      </c>
      <c r="H402" s="8" t="s">
        <v>1910</v>
      </c>
      <c r="I402" s="8" t="s">
        <v>164</v>
      </c>
      <c r="J402" s="8" t="s">
        <v>58</v>
      </c>
      <c r="K402" s="6"/>
      <c r="L402" s="7">
        <v>42526</v>
      </c>
      <c r="M402" s="6" t="s">
        <v>51</v>
      </c>
      <c r="N402" s="6"/>
      <c r="O402" s="6">
        <f>HYPERLINK("https://docs.wto.org/imrd/directdoc.asp?DDFDocuments/t/G/TBTN16/RUS51.DOC", "https://docs.wto.org/imrd/directdoc.asp?DDFDocuments/t/G/TBTN16/RUS51.DOC")</f>
      </c>
      <c r="P402" s="6">
        <f>HYPERLINK("https://docs.wto.org/imrd/directdoc.asp?DDFDocuments/u/G/TBTN16/RUS51.DOC", "https://docs.wto.org/imrd/directdoc.asp?DDFDocuments/u/G/TBTN16/RUS51.DOC")</f>
      </c>
      <c r="Q402" s="6">
        <f>HYPERLINK("https://docs.wto.org/imrd/directdoc.asp?DDFDocuments/v/G/TBTN16/RUS51.DOC", "https://docs.wto.org/imrd/directdoc.asp?DDFDocuments/v/G/TBTN16/RUS51.DOC")</f>
      </c>
      <c r="R402" s="0" t="s">
        <v>42</v>
      </c>
      <c r="S402" s="0" t="s">
        <v>42</v>
      </c>
      <c r="T402" s="0" t="s">
        <v>42</v>
      </c>
      <c r="U402" s="0" t="s">
        <v>43</v>
      </c>
      <c r="V402" s="0" t="s">
        <v>42</v>
      </c>
      <c r="W402" s="0" t="s">
        <v>42</v>
      </c>
      <c r="X402" s="0" t="s">
        <v>42</v>
      </c>
      <c r="Y402" s="2" t="s">
        <v>1953</v>
      </c>
      <c r="Z402" s="0" t="s">
        <v>36</v>
      </c>
      <c r="AA402" s="0" t="s">
        <v>36</v>
      </c>
      <c r="AB402" s="0" t="s">
        <v>36</v>
      </c>
      <c r="AC402" s="0" t="s">
        <v>36</v>
      </c>
      <c r="AD402" s="0" t="s">
        <v>36</v>
      </c>
      <c r="AE402" s="2" t="s">
        <v>36</v>
      </c>
    </row>
    <row r="403">
      <c r="A403" s="6" t="s">
        <v>31</v>
      </c>
      <c r="B403" s="7">
        <v>42500</v>
      </c>
      <c r="C403" s="9">
        <f>HYPERLINK("https://www.epingalert.org/en/Search?viewData= G/TBT/N/RUS/50"," G/TBT/N/RUS/50")</f>
      </c>
      <c r="D403" s="8" t="s">
        <v>1954</v>
      </c>
      <c r="E403" s="8" t="s">
        <v>1955</v>
      </c>
      <c r="F403" s="8" t="s">
        <v>1928</v>
      </c>
      <c r="G403" s="8" t="s">
        <v>36</v>
      </c>
      <c r="H403" s="8" t="s">
        <v>141</v>
      </c>
      <c r="I403" s="8" t="s">
        <v>164</v>
      </c>
      <c r="J403" s="8" t="s">
        <v>58</v>
      </c>
      <c r="K403" s="6"/>
      <c r="L403" s="7">
        <v>42526</v>
      </c>
      <c r="M403" s="6" t="s">
        <v>51</v>
      </c>
      <c r="N403" s="6"/>
      <c r="O403" s="6">
        <f>HYPERLINK("https://docs.wto.org/imrd/directdoc.asp?DDFDocuments/t/G/TBTN16/RUS50.DOC", "https://docs.wto.org/imrd/directdoc.asp?DDFDocuments/t/G/TBTN16/RUS50.DOC")</f>
      </c>
      <c r="P403" s="6">
        <f>HYPERLINK("https://docs.wto.org/imrd/directdoc.asp?DDFDocuments/u/G/TBTN16/RUS50.DOC", "https://docs.wto.org/imrd/directdoc.asp?DDFDocuments/u/G/TBTN16/RUS50.DOC")</f>
      </c>
      <c r="Q403" s="6">
        <f>HYPERLINK("https://docs.wto.org/imrd/directdoc.asp?DDFDocuments/v/G/TBTN16/RUS50.DOC", "https://docs.wto.org/imrd/directdoc.asp?DDFDocuments/v/G/TBTN16/RUS50.DOC")</f>
      </c>
      <c r="R403" s="0" t="s">
        <v>42</v>
      </c>
      <c r="S403" s="0" t="s">
        <v>43</v>
      </c>
      <c r="T403" s="0" t="s">
        <v>42</v>
      </c>
      <c r="U403" s="0" t="s">
        <v>42</v>
      </c>
      <c r="V403" s="0" t="s">
        <v>42</v>
      </c>
      <c r="W403" s="0" t="s">
        <v>42</v>
      </c>
      <c r="X403" s="0" t="s">
        <v>42</v>
      </c>
      <c r="Y403" s="2" t="s">
        <v>1956</v>
      </c>
      <c r="Z403" s="0" t="s">
        <v>36</v>
      </c>
      <c r="AA403" s="0" t="s">
        <v>36</v>
      </c>
      <c r="AB403" s="0" t="s">
        <v>36</v>
      </c>
      <c r="AC403" s="0" t="s">
        <v>36</v>
      </c>
      <c r="AD403" s="0" t="s">
        <v>36</v>
      </c>
      <c r="AE403" s="2" t="s">
        <v>36</v>
      </c>
    </row>
    <row r="404">
      <c r="A404" s="6" t="s">
        <v>31</v>
      </c>
      <c r="B404" s="7">
        <v>42500</v>
      </c>
      <c r="C404" s="9">
        <f>HYPERLINK("https://www.epingalert.org/en/Search?viewData= G/TBT/N/RUS/52"," G/TBT/N/RUS/52")</f>
      </c>
      <c r="D404" s="8" t="s">
        <v>1957</v>
      </c>
      <c r="E404" s="8" t="s">
        <v>1958</v>
      </c>
      <c r="F404" s="8" t="s">
        <v>1914</v>
      </c>
      <c r="G404" s="8" t="s">
        <v>36</v>
      </c>
      <c r="H404" s="8" t="s">
        <v>1910</v>
      </c>
      <c r="I404" s="8" t="s">
        <v>164</v>
      </c>
      <c r="J404" s="8" t="s">
        <v>58</v>
      </c>
      <c r="K404" s="6"/>
      <c r="L404" s="7">
        <v>42526</v>
      </c>
      <c r="M404" s="6" t="s">
        <v>51</v>
      </c>
      <c r="N404" s="6"/>
      <c r="O404" s="6">
        <f>HYPERLINK("https://docs.wto.org/imrd/directdoc.asp?DDFDocuments/t/G/TBTN16/RUS52.DOC", "https://docs.wto.org/imrd/directdoc.asp?DDFDocuments/t/G/TBTN16/RUS52.DOC")</f>
      </c>
      <c r="P404" s="6">
        <f>HYPERLINK("https://docs.wto.org/imrd/directdoc.asp?DDFDocuments/u/G/TBTN16/RUS52.DOC", "https://docs.wto.org/imrd/directdoc.asp?DDFDocuments/u/G/TBTN16/RUS52.DOC")</f>
      </c>
      <c r="Q404" s="6">
        <f>HYPERLINK("https://docs.wto.org/imrd/directdoc.asp?DDFDocuments/v/G/TBTN16/RUS52.DOC", "https://docs.wto.org/imrd/directdoc.asp?DDFDocuments/v/G/TBTN16/RUS52.DOC")</f>
      </c>
      <c r="R404" s="0" t="s">
        <v>42</v>
      </c>
      <c r="S404" s="0" t="s">
        <v>42</v>
      </c>
      <c r="T404" s="0" t="s">
        <v>42</v>
      </c>
      <c r="U404" s="0" t="s">
        <v>43</v>
      </c>
      <c r="V404" s="0" t="s">
        <v>42</v>
      </c>
      <c r="W404" s="0" t="s">
        <v>42</v>
      </c>
      <c r="X404" s="0" t="s">
        <v>42</v>
      </c>
      <c r="Y404" s="2" t="s">
        <v>1959</v>
      </c>
      <c r="Z404" s="0" t="s">
        <v>36</v>
      </c>
      <c r="AA404" s="0" t="s">
        <v>36</v>
      </c>
      <c r="AB404" s="0" t="s">
        <v>36</v>
      </c>
      <c r="AC404" s="0" t="s">
        <v>36</v>
      </c>
      <c r="AD404" s="0" t="s">
        <v>36</v>
      </c>
      <c r="AE404" s="2" t="s">
        <v>36</v>
      </c>
    </row>
    <row r="405">
      <c r="A405" s="6" t="s">
        <v>31</v>
      </c>
      <c r="B405" s="7">
        <v>42481</v>
      </c>
      <c r="C405" s="9">
        <f>HYPERLINK("https://www.epingalert.org/en/Search?viewData= G/SPS/N/RUS/122"," G/SPS/N/RUS/122")</f>
      </c>
      <c r="D405" s="8" t="s">
        <v>1960</v>
      </c>
      <c r="E405" s="8" t="s">
        <v>1961</v>
      </c>
      <c r="F405" s="8" t="s">
        <v>1962</v>
      </c>
      <c r="G405" s="8" t="s">
        <v>1963</v>
      </c>
      <c r="H405" s="8" t="s">
        <v>36</v>
      </c>
      <c r="I405" s="8" t="s">
        <v>65</v>
      </c>
      <c r="J405" s="8" t="s">
        <v>1528</v>
      </c>
      <c r="K405" s="6" t="s">
        <v>1862</v>
      </c>
      <c r="L405" s="7" t="s">
        <v>36</v>
      </c>
      <c r="M405" s="6" t="s">
        <v>40</v>
      </c>
      <c r="N405" s="6"/>
      <c r="O405" s="6">
        <f>HYPERLINK("https://docs.wto.org/imrd/directdoc.asp?DDFDocuments/t/G/SPS/NRUS122.pdf", "https://docs.wto.org/imrd/directdoc.asp?DDFDocuments/t/G/SPS/NRUS122.pdf")</f>
      </c>
      <c r="P405" s="6">
        <f>HYPERLINK("https://docs.wto.org/imrd/directdoc.asp?DDFDocuments/u/G/SPS/NRUS122.pdf", "https://docs.wto.org/imrd/directdoc.asp?DDFDocuments/u/G/SPS/NRUS122.pdf")</f>
      </c>
      <c r="Q405" s="6">
        <f>HYPERLINK("https://docs.wto.org/imrd/directdoc.asp?DDFDocuments/v/G/SPS/NRUS122.pdf", "https://docs.wto.org/imrd/directdoc.asp?DDFDocuments/v/G/SPS/NRUS122.pdf")</f>
      </c>
      <c r="R405" s="0" t="s">
        <v>36</v>
      </c>
      <c r="S405" s="0" t="s">
        <v>36</v>
      </c>
      <c r="T405" s="0" t="s">
        <v>36</v>
      </c>
      <c r="U405" s="0" t="s">
        <v>36</v>
      </c>
      <c r="V405" s="0" t="s">
        <v>36</v>
      </c>
      <c r="W405" s="0" t="s">
        <v>36</v>
      </c>
      <c r="X405" s="0" t="s">
        <v>36</v>
      </c>
      <c r="Y405" s="2" t="s">
        <v>36</v>
      </c>
      <c r="Z405" s="0" t="s">
        <v>42</v>
      </c>
      <c r="AA405" s="0" t="s">
        <v>42</v>
      </c>
      <c r="AB405" s="0" t="s">
        <v>43</v>
      </c>
      <c r="AC405" s="0" t="s">
        <v>42</v>
      </c>
      <c r="AD405" s="0" t="s">
        <v>43</v>
      </c>
      <c r="AE405" s="2"/>
    </row>
    <row r="406">
      <c r="A406" s="6" t="s">
        <v>31</v>
      </c>
      <c r="B406" s="7">
        <v>42478</v>
      </c>
      <c r="C406" s="9">
        <f>HYPERLINK("https://www.epingalert.org/en/Search?viewData= G/SPS/N/RUS/121"," G/SPS/N/RUS/121")</f>
      </c>
      <c r="D406" s="8" t="s">
        <v>1964</v>
      </c>
      <c r="E406" s="8" t="s">
        <v>1965</v>
      </c>
      <c r="F406" s="8" t="s">
        <v>1966</v>
      </c>
      <c r="G406" s="8" t="s">
        <v>1967</v>
      </c>
      <c r="H406" s="8" t="s">
        <v>36</v>
      </c>
      <c r="I406" s="8" t="s">
        <v>475</v>
      </c>
      <c r="J406" s="8" t="s">
        <v>271</v>
      </c>
      <c r="K406" s="6"/>
      <c r="L406" s="7">
        <v>42538</v>
      </c>
      <c r="M406" s="6" t="s">
        <v>51</v>
      </c>
      <c r="N406" s="8" t="s">
        <v>1968</v>
      </c>
      <c r="O406" s="6">
        <f>HYPERLINK("https://docs.wto.org/imrd/directdoc.asp?DDFDocuments/t/G/SPS/NRUS121.pdf", "https://docs.wto.org/imrd/directdoc.asp?DDFDocuments/t/G/SPS/NRUS121.pdf")</f>
      </c>
      <c r="P406" s="6">
        <f>HYPERLINK("https://docs.wto.org/imrd/directdoc.asp?DDFDocuments/u/G/SPS/NRUS121.pdf", "https://docs.wto.org/imrd/directdoc.asp?DDFDocuments/u/G/SPS/NRUS121.pdf")</f>
      </c>
      <c r="Q406" s="6">
        <f>HYPERLINK("https://docs.wto.org/imrd/directdoc.asp?DDFDocuments/v/G/SPS/NRUS121.pdf", "https://docs.wto.org/imrd/directdoc.asp?DDFDocuments/v/G/SPS/NRUS121.pdf")</f>
      </c>
      <c r="R406" s="0" t="s">
        <v>36</v>
      </c>
      <c r="S406" s="0" t="s">
        <v>36</v>
      </c>
      <c r="T406" s="0" t="s">
        <v>36</v>
      </c>
      <c r="U406" s="0" t="s">
        <v>36</v>
      </c>
      <c r="V406" s="0" t="s">
        <v>36</v>
      </c>
      <c r="W406" s="0" t="s">
        <v>36</v>
      </c>
      <c r="X406" s="0" t="s">
        <v>36</v>
      </c>
      <c r="Y406" s="2" t="s">
        <v>36</v>
      </c>
      <c r="Z406" s="0" t="s">
        <v>42</v>
      </c>
      <c r="AA406" s="0" t="s">
        <v>43</v>
      </c>
      <c r="AB406" s="0" t="s">
        <v>42</v>
      </c>
      <c r="AC406" s="0" t="s">
        <v>42</v>
      </c>
      <c r="AD406" s="0" t="s">
        <v>43</v>
      </c>
      <c r="AE406" s="2"/>
    </row>
    <row r="407">
      <c r="A407" s="6" t="s">
        <v>31</v>
      </c>
      <c r="B407" s="7">
        <v>42472</v>
      </c>
      <c r="C407" s="9">
        <f>HYPERLINK("https://www.epingalert.org/en/Search?viewData= G/TBT/N/RUS/49"," G/TBT/N/RUS/49")</f>
      </c>
      <c r="D407" s="8" t="s">
        <v>1969</v>
      </c>
      <c r="E407" s="8" t="s">
        <v>1970</v>
      </c>
      <c r="F407" s="8" t="s">
        <v>1971</v>
      </c>
      <c r="G407" s="8" t="s">
        <v>823</v>
      </c>
      <c r="H407" s="8" t="s">
        <v>824</v>
      </c>
      <c r="I407" s="8" t="s">
        <v>164</v>
      </c>
      <c r="J407" s="8" t="s">
        <v>36</v>
      </c>
      <c r="K407" s="6"/>
      <c r="L407" s="7" t="s">
        <v>36</v>
      </c>
      <c r="M407" s="6" t="s">
        <v>51</v>
      </c>
      <c r="N407" s="6"/>
      <c r="O407" s="6">
        <f>HYPERLINK("https://docs.wto.org/imrd/directdoc.asp?DDFDocuments/t/G/TBTN16/RUS49.DOC", "https://docs.wto.org/imrd/directdoc.asp?DDFDocuments/t/G/TBTN16/RUS49.DOC")</f>
      </c>
      <c r="P407" s="6">
        <f>HYPERLINK("https://docs.wto.org/imrd/directdoc.asp?DDFDocuments/u/G/TBTN16/RUS49.DOC", "https://docs.wto.org/imrd/directdoc.asp?DDFDocuments/u/G/TBTN16/RUS49.DOC")</f>
      </c>
      <c r="Q407" s="6">
        <f>HYPERLINK("https://docs.wto.org/imrd/directdoc.asp?DDFDocuments/v/G/TBTN16/RUS49.DOC", "https://docs.wto.org/imrd/directdoc.asp?DDFDocuments/v/G/TBTN16/RUS49.DOC")</f>
      </c>
      <c r="R407" s="0" t="s">
        <v>42</v>
      </c>
      <c r="S407" s="0" t="s">
        <v>42</v>
      </c>
      <c r="T407" s="0" t="s">
        <v>42</v>
      </c>
      <c r="U407" s="0" t="s">
        <v>43</v>
      </c>
      <c r="V407" s="0" t="s">
        <v>42</v>
      </c>
      <c r="W407" s="0" t="s">
        <v>42</v>
      </c>
      <c r="X407" s="0" t="s">
        <v>42</v>
      </c>
      <c r="Y407" s="2" t="s">
        <v>1972</v>
      </c>
      <c r="Z407" s="0" t="s">
        <v>36</v>
      </c>
      <c r="AA407" s="0" t="s">
        <v>36</v>
      </c>
      <c r="AB407" s="0" t="s">
        <v>36</v>
      </c>
      <c r="AC407" s="0" t="s">
        <v>36</v>
      </c>
      <c r="AD407" s="0" t="s">
        <v>36</v>
      </c>
      <c r="AE407" s="2" t="s">
        <v>36</v>
      </c>
    </row>
    <row r="408">
      <c r="A408" s="6" t="s">
        <v>31</v>
      </c>
      <c r="B408" s="7">
        <v>42464</v>
      </c>
      <c r="C408" s="9">
        <f>HYPERLINK("https://www.epingalert.org/en/Search?viewData= G/SPS/N/RUS/120"," G/SPS/N/RUS/120")</f>
      </c>
      <c r="D408" s="8" t="s">
        <v>1973</v>
      </c>
      <c r="E408" s="8" t="s">
        <v>1974</v>
      </c>
      <c r="F408" s="8" t="s">
        <v>1975</v>
      </c>
      <c r="G408" s="8" t="s">
        <v>1976</v>
      </c>
      <c r="H408" s="8" t="s">
        <v>36</v>
      </c>
      <c r="I408" s="8" t="s">
        <v>65</v>
      </c>
      <c r="J408" s="8" t="s">
        <v>72</v>
      </c>
      <c r="K408" s="6" t="s">
        <v>1862</v>
      </c>
      <c r="L408" s="7" t="s">
        <v>36</v>
      </c>
      <c r="M408" s="6" t="s">
        <v>51</v>
      </c>
      <c r="N408" s="6"/>
      <c r="O408" s="6">
        <f>HYPERLINK("https://docs.wto.org/imrd/directdoc.asp?DDFDocuments/t/G/SPS/NRUS120.pdf", "https://docs.wto.org/imrd/directdoc.asp?DDFDocuments/t/G/SPS/NRUS120.pdf")</f>
      </c>
      <c r="P408" s="6">
        <f>HYPERLINK("https://docs.wto.org/imrd/directdoc.asp?DDFDocuments/u/G/SPS/NRUS120.pdf", "https://docs.wto.org/imrd/directdoc.asp?DDFDocuments/u/G/SPS/NRUS120.pdf")</f>
      </c>
      <c r="Q408" s="6">
        <f>HYPERLINK("https://docs.wto.org/imrd/directdoc.asp?DDFDocuments/v/G/SPS/NRUS120.pdf", "https://docs.wto.org/imrd/directdoc.asp?DDFDocuments/v/G/SPS/NRUS120.pdf")</f>
      </c>
      <c r="R408" s="0" t="s">
        <v>36</v>
      </c>
      <c r="S408" s="0" t="s">
        <v>36</v>
      </c>
      <c r="T408" s="0" t="s">
        <v>36</v>
      </c>
      <c r="U408" s="0" t="s">
        <v>36</v>
      </c>
      <c r="V408" s="0" t="s">
        <v>36</v>
      </c>
      <c r="W408" s="0" t="s">
        <v>36</v>
      </c>
      <c r="X408" s="0" t="s">
        <v>36</v>
      </c>
      <c r="Y408" s="2" t="s">
        <v>36</v>
      </c>
      <c r="Z408" s="0" t="s">
        <v>42</v>
      </c>
      <c r="AA408" s="0" t="s">
        <v>42</v>
      </c>
      <c r="AB408" s="0" t="s">
        <v>43</v>
      </c>
      <c r="AC408" s="0" t="s">
        <v>42</v>
      </c>
      <c r="AD408" s="0" t="s">
        <v>43</v>
      </c>
      <c r="AE408" s="2"/>
    </row>
    <row r="409">
      <c r="A409" s="6" t="s">
        <v>31</v>
      </c>
      <c r="B409" s="7">
        <v>42437</v>
      </c>
      <c r="C409" s="9">
        <f>HYPERLINK("https://www.epingalert.org/en/Search?viewData= G/TBT/N/RUS/48"," G/TBT/N/RUS/48")</f>
      </c>
      <c r="D409" s="8" t="s">
        <v>1977</v>
      </c>
      <c r="E409" s="8" t="s">
        <v>1978</v>
      </c>
      <c r="F409" s="8" t="s">
        <v>1979</v>
      </c>
      <c r="G409" s="8" t="s">
        <v>823</v>
      </c>
      <c r="H409" s="8" t="s">
        <v>824</v>
      </c>
      <c r="I409" s="8" t="s">
        <v>164</v>
      </c>
      <c r="J409" s="8" t="s">
        <v>36</v>
      </c>
      <c r="K409" s="6"/>
      <c r="L409" s="7" t="s">
        <v>36</v>
      </c>
      <c r="M409" s="6" t="s">
        <v>51</v>
      </c>
      <c r="N409" s="6"/>
      <c r="O409" s="6">
        <f>HYPERLINK("https://docs.wto.org/imrd/directdoc.asp?DDFDocuments/t/G/TBTN16/RUS48.DOC", "https://docs.wto.org/imrd/directdoc.asp?DDFDocuments/t/G/TBTN16/RUS48.DOC")</f>
      </c>
      <c r="P409" s="6">
        <f>HYPERLINK("https://docs.wto.org/imrd/directdoc.asp?DDFDocuments/u/G/TBTN16/RUS48.DOC", "https://docs.wto.org/imrd/directdoc.asp?DDFDocuments/u/G/TBTN16/RUS48.DOC")</f>
      </c>
      <c r="Q409" s="6">
        <f>HYPERLINK("https://docs.wto.org/imrd/directdoc.asp?DDFDocuments/v/G/TBTN16/RUS48.DOC", "https://docs.wto.org/imrd/directdoc.asp?DDFDocuments/v/G/TBTN16/RUS48.DOC")</f>
      </c>
      <c r="R409" s="0" t="s">
        <v>42</v>
      </c>
      <c r="S409" s="0" t="s">
        <v>42</v>
      </c>
      <c r="T409" s="0" t="s">
        <v>42</v>
      </c>
      <c r="U409" s="0" t="s">
        <v>43</v>
      </c>
      <c r="V409" s="0" t="s">
        <v>42</v>
      </c>
      <c r="W409" s="0" t="s">
        <v>42</v>
      </c>
      <c r="X409" s="0" t="s">
        <v>42</v>
      </c>
      <c r="Y409" s="2" t="s">
        <v>1980</v>
      </c>
      <c r="Z409" s="0" t="s">
        <v>36</v>
      </c>
      <c r="AA409" s="0" t="s">
        <v>36</v>
      </c>
      <c r="AB409" s="0" t="s">
        <v>36</v>
      </c>
      <c r="AC409" s="0" t="s">
        <v>36</v>
      </c>
      <c r="AD409" s="0" t="s">
        <v>36</v>
      </c>
      <c r="AE409" s="2" t="s">
        <v>36</v>
      </c>
    </row>
    <row r="410">
      <c r="A410" s="6" t="s">
        <v>31</v>
      </c>
      <c r="B410" s="7">
        <v>42437</v>
      </c>
      <c r="C410" s="9">
        <f>HYPERLINK("https://www.epingalert.org/en/Search?viewData= G/SPS/N/RUS/98/Add.1"," G/SPS/N/RUS/98/Add.1")</f>
      </c>
      <c r="D410" s="8" t="s">
        <v>1981</v>
      </c>
      <c r="E410" s="8" t="s">
        <v>1982</v>
      </c>
      <c r="F410" s="8"/>
      <c r="G410" s="8" t="s">
        <v>1983</v>
      </c>
      <c r="H410" s="8" t="s">
        <v>36</v>
      </c>
      <c r="I410" s="8" t="s">
        <v>37</v>
      </c>
      <c r="J410" s="8" t="s">
        <v>1810</v>
      </c>
      <c r="K410" s="6"/>
      <c r="L410" s="7" t="s">
        <v>36</v>
      </c>
      <c r="M410" s="6" t="s">
        <v>179</v>
      </c>
      <c r="N410" s="8" t="s">
        <v>1984</v>
      </c>
      <c r="O410" s="6">
        <f>HYPERLINK("https://docs.wto.org/imrd/directdoc.asp?DDFDocuments/t/G/SPS/NRUS98A1.pdf", "https://docs.wto.org/imrd/directdoc.asp?DDFDocuments/t/G/SPS/NRUS98A1.pdf")</f>
      </c>
      <c r="P410" s="6">
        <f>HYPERLINK("https://docs.wto.org/imrd/directdoc.asp?DDFDocuments/u/G/SPS/NRUS98A1.pdf", "https://docs.wto.org/imrd/directdoc.asp?DDFDocuments/u/G/SPS/NRUS98A1.pdf")</f>
      </c>
      <c r="Q410" s="6">
        <f>HYPERLINK("https://docs.wto.org/imrd/directdoc.asp?DDFDocuments/v/G/SPS/NRUS98A1.pdf", "https://docs.wto.org/imrd/directdoc.asp?DDFDocuments/v/G/SPS/NRUS98A1.pdf")</f>
      </c>
      <c r="R410" s="0" t="s">
        <v>36</v>
      </c>
      <c r="S410" s="0" t="s">
        <v>36</v>
      </c>
      <c r="T410" s="0" t="s">
        <v>36</v>
      </c>
      <c r="U410" s="0" t="s">
        <v>36</v>
      </c>
      <c r="V410" s="0" t="s">
        <v>36</v>
      </c>
      <c r="W410" s="0" t="s">
        <v>36</v>
      </c>
      <c r="X410" s="0" t="s">
        <v>36</v>
      </c>
      <c r="Y410" s="2" t="s">
        <v>36</v>
      </c>
      <c r="Z410" s="0" t="s">
        <v>36</v>
      </c>
      <c r="AA410" s="0" t="s">
        <v>36</v>
      </c>
      <c r="AB410" s="0" t="s">
        <v>36</v>
      </c>
      <c r="AC410" s="0" t="s">
        <v>36</v>
      </c>
      <c r="AD410" s="0" t="s">
        <v>36</v>
      </c>
      <c r="AE410" s="2" t="s">
        <v>36</v>
      </c>
    </row>
    <row r="411">
      <c r="A411" s="6" t="s">
        <v>31</v>
      </c>
      <c r="B411" s="7">
        <v>42431</v>
      </c>
      <c r="C411" s="9">
        <f>HYPERLINK("https://www.epingalert.org/en/Search?viewData= G/TBT/N/RUS/47"," G/TBT/N/RUS/47")</f>
      </c>
      <c r="D411" s="8" t="s">
        <v>1985</v>
      </c>
      <c r="E411" s="8" t="s">
        <v>1986</v>
      </c>
      <c r="F411" s="8" t="s">
        <v>563</v>
      </c>
      <c r="G411" s="8" t="s">
        <v>36</v>
      </c>
      <c r="H411" s="8" t="s">
        <v>564</v>
      </c>
      <c r="I411" s="8" t="s">
        <v>796</v>
      </c>
      <c r="J411" s="8" t="s">
        <v>516</v>
      </c>
      <c r="K411" s="6"/>
      <c r="L411" s="7">
        <v>42486</v>
      </c>
      <c r="M411" s="6" t="s">
        <v>51</v>
      </c>
      <c r="N411" s="6"/>
      <c r="O411" s="6">
        <f>HYPERLINK("https://docs.wto.org/imrd/directdoc.asp?DDFDocuments/t/G/TBTN16/RUS47.DOC", "https://docs.wto.org/imrd/directdoc.asp?DDFDocuments/t/G/TBTN16/RUS47.DOC")</f>
      </c>
      <c r="P411" s="6">
        <f>HYPERLINK("https://docs.wto.org/imrd/directdoc.asp?DDFDocuments/u/G/TBTN16/RUS47.DOC", "https://docs.wto.org/imrd/directdoc.asp?DDFDocuments/u/G/TBTN16/RUS47.DOC")</f>
      </c>
      <c r="Q411" s="6">
        <f>HYPERLINK("https://docs.wto.org/imrd/directdoc.asp?DDFDocuments/v/G/TBTN16/RUS47.DOC", "https://docs.wto.org/imrd/directdoc.asp?DDFDocuments/v/G/TBTN16/RUS47.DOC")</f>
      </c>
      <c r="R411" s="0" t="s">
        <v>43</v>
      </c>
      <c r="S411" s="0" t="s">
        <v>42</v>
      </c>
      <c r="T411" s="0" t="s">
        <v>42</v>
      </c>
      <c r="U411" s="0" t="s">
        <v>42</v>
      </c>
      <c r="V411" s="0" t="s">
        <v>42</v>
      </c>
      <c r="W411" s="0" t="s">
        <v>42</v>
      </c>
      <c r="X411" s="0" t="s">
        <v>42</v>
      </c>
      <c r="Y411" s="2" t="s">
        <v>1987</v>
      </c>
      <c r="Z411" s="0" t="s">
        <v>36</v>
      </c>
      <c r="AA411" s="0" t="s">
        <v>36</v>
      </c>
      <c r="AB411" s="0" t="s">
        <v>36</v>
      </c>
      <c r="AC411" s="0" t="s">
        <v>36</v>
      </c>
      <c r="AD411" s="0" t="s">
        <v>36</v>
      </c>
      <c r="AE411" s="2" t="s">
        <v>36</v>
      </c>
    </row>
    <row r="412">
      <c r="A412" s="6" t="s">
        <v>31</v>
      </c>
      <c r="B412" s="7">
        <v>42422</v>
      </c>
      <c r="C412" s="9">
        <f>HYPERLINK("https://www.epingalert.org/en/Search?viewData= G/SPS/N/RUS/119"," G/SPS/N/RUS/119")</f>
      </c>
      <c r="D412" s="8" t="s">
        <v>1988</v>
      </c>
      <c r="E412" s="8" t="s">
        <v>1989</v>
      </c>
      <c r="F412" s="8" t="s">
        <v>1990</v>
      </c>
      <c r="G412" s="8" t="s">
        <v>1573</v>
      </c>
      <c r="H412" s="8" t="s">
        <v>36</v>
      </c>
      <c r="I412" s="8" t="s">
        <v>37</v>
      </c>
      <c r="J412" s="8" t="s">
        <v>1574</v>
      </c>
      <c r="K412" s="6" t="s">
        <v>1991</v>
      </c>
      <c r="L412" s="7" t="s">
        <v>36</v>
      </c>
      <c r="M412" s="6" t="s">
        <v>40</v>
      </c>
      <c r="N412" s="8" t="s">
        <v>1992</v>
      </c>
      <c r="O412" s="6">
        <f>HYPERLINK("https://docs.wto.org/imrd/directdoc.asp?DDFDocuments/t/G/SPS/NRUS119.pdf", "https://docs.wto.org/imrd/directdoc.asp?DDFDocuments/t/G/SPS/NRUS119.pdf")</f>
      </c>
      <c r="P412" s="6">
        <f>HYPERLINK("https://docs.wto.org/imrd/directdoc.asp?DDFDocuments/u/G/SPS/NRUS119.pdf", "https://docs.wto.org/imrd/directdoc.asp?DDFDocuments/u/G/SPS/NRUS119.pdf")</f>
      </c>
      <c r="Q412" s="6">
        <f>HYPERLINK("https://docs.wto.org/imrd/directdoc.asp?DDFDocuments/v/G/SPS/NRUS119.pdf", "https://docs.wto.org/imrd/directdoc.asp?DDFDocuments/v/G/SPS/NRUS119.pdf")</f>
      </c>
      <c r="R412" s="0" t="s">
        <v>36</v>
      </c>
      <c r="S412" s="0" t="s">
        <v>36</v>
      </c>
      <c r="T412" s="0" t="s">
        <v>36</v>
      </c>
      <c r="U412" s="0" t="s">
        <v>36</v>
      </c>
      <c r="V412" s="0" t="s">
        <v>36</v>
      </c>
      <c r="W412" s="0" t="s">
        <v>36</v>
      </c>
      <c r="X412" s="0" t="s">
        <v>36</v>
      </c>
      <c r="Y412" s="2" t="s">
        <v>36</v>
      </c>
      <c r="Z412" s="0" t="s">
        <v>42</v>
      </c>
      <c r="AA412" s="0" t="s">
        <v>43</v>
      </c>
      <c r="AB412" s="0" t="s">
        <v>42</v>
      </c>
      <c r="AC412" s="0" t="s">
        <v>42</v>
      </c>
      <c r="AD412" s="0" t="s">
        <v>43</v>
      </c>
      <c r="AE412" s="2"/>
    </row>
    <row r="413">
      <c r="A413" s="6" t="s">
        <v>31</v>
      </c>
      <c r="B413" s="7">
        <v>42415</v>
      </c>
      <c r="C413" s="9">
        <f>HYPERLINK("https://www.epingalert.org/en/Search?viewData= G/SPS/N/RUS/118"," G/SPS/N/RUS/118")</f>
      </c>
      <c r="D413" s="8" t="s">
        <v>1993</v>
      </c>
      <c r="E413" s="8" t="s">
        <v>1994</v>
      </c>
      <c r="F413" s="8" t="s">
        <v>1995</v>
      </c>
      <c r="G413" s="8" t="s">
        <v>1996</v>
      </c>
      <c r="H413" s="8" t="s">
        <v>36</v>
      </c>
      <c r="I413" s="8" t="s">
        <v>65</v>
      </c>
      <c r="J413" s="8" t="s">
        <v>72</v>
      </c>
      <c r="K413" s="6" t="s">
        <v>455</v>
      </c>
      <c r="L413" s="7" t="s">
        <v>36</v>
      </c>
      <c r="M413" s="6" t="s">
        <v>40</v>
      </c>
      <c r="N413" s="6"/>
      <c r="O413" s="6">
        <f>HYPERLINK("https://docs.wto.org/imrd/directdoc.asp?DDFDocuments/t/G/SPS/NRUS118.pdf", "https://docs.wto.org/imrd/directdoc.asp?DDFDocuments/t/G/SPS/NRUS118.pdf")</f>
      </c>
      <c r="P413" s="6">
        <f>HYPERLINK("https://docs.wto.org/imrd/directdoc.asp?DDFDocuments/u/G/SPS/NRUS118.pdf", "https://docs.wto.org/imrd/directdoc.asp?DDFDocuments/u/G/SPS/NRUS118.pdf")</f>
      </c>
      <c r="Q413" s="6">
        <f>HYPERLINK("https://docs.wto.org/imrd/directdoc.asp?DDFDocuments/v/G/SPS/NRUS118.pdf", "https://docs.wto.org/imrd/directdoc.asp?DDFDocuments/v/G/SPS/NRUS118.pdf")</f>
      </c>
      <c r="R413" s="0" t="s">
        <v>36</v>
      </c>
      <c r="S413" s="0" t="s">
        <v>36</v>
      </c>
      <c r="T413" s="0" t="s">
        <v>36</v>
      </c>
      <c r="U413" s="0" t="s">
        <v>36</v>
      </c>
      <c r="V413" s="0" t="s">
        <v>36</v>
      </c>
      <c r="W413" s="0" t="s">
        <v>36</v>
      </c>
      <c r="X413" s="0" t="s">
        <v>36</v>
      </c>
      <c r="Y413" s="2" t="s">
        <v>36</v>
      </c>
      <c r="Z413" s="0" t="s">
        <v>42</v>
      </c>
      <c r="AA413" s="0" t="s">
        <v>42</v>
      </c>
      <c r="AB413" s="0" t="s">
        <v>43</v>
      </c>
      <c r="AC413" s="0" t="s">
        <v>42</v>
      </c>
      <c r="AD413" s="0" t="s">
        <v>43</v>
      </c>
      <c r="AE413" s="2"/>
    </row>
    <row r="414">
      <c r="A414" s="6" t="s">
        <v>31</v>
      </c>
      <c r="B414" s="7">
        <v>42412</v>
      </c>
      <c r="C414" s="9">
        <f>HYPERLINK("https://www.epingalert.org/en/Search?viewData= G/SPS/N/RUS/101/Add.1"," G/SPS/N/RUS/101/Add.1")</f>
      </c>
      <c r="D414" s="8" t="s">
        <v>1997</v>
      </c>
      <c r="E414" s="8" t="s">
        <v>1998</v>
      </c>
      <c r="F414" s="8"/>
      <c r="G414" s="8" t="s">
        <v>1666</v>
      </c>
      <c r="H414" s="8" t="s">
        <v>36</v>
      </c>
      <c r="I414" s="8" t="s">
        <v>37</v>
      </c>
      <c r="J414" s="8" t="s">
        <v>1999</v>
      </c>
      <c r="K414" s="6"/>
      <c r="L414" s="7" t="s">
        <v>36</v>
      </c>
      <c r="M414" s="6" t="s">
        <v>1211</v>
      </c>
      <c r="N414" s="6"/>
      <c r="O414" s="6">
        <f>HYPERLINK("https://docs.wto.org/imrd/directdoc.asp?DDFDocuments/t/G/SPS/NRUS101A1.pdf", "https://docs.wto.org/imrd/directdoc.asp?DDFDocuments/t/G/SPS/NRUS101A1.pdf")</f>
      </c>
      <c r="P414" s="6">
        <f>HYPERLINK("https://docs.wto.org/imrd/directdoc.asp?DDFDocuments/u/G/SPS/NRUS101A1.pdf", "https://docs.wto.org/imrd/directdoc.asp?DDFDocuments/u/G/SPS/NRUS101A1.pdf")</f>
      </c>
      <c r="Q414" s="6">
        <f>HYPERLINK("https://docs.wto.org/imrd/directdoc.asp?DDFDocuments/v/G/SPS/NRUS101A1.pdf", "https://docs.wto.org/imrd/directdoc.asp?DDFDocuments/v/G/SPS/NRUS101A1.pdf")</f>
      </c>
      <c r="R414" s="0" t="s">
        <v>36</v>
      </c>
      <c r="S414" s="0" t="s">
        <v>36</v>
      </c>
      <c r="T414" s="0" t="s">
        <v>36</v>
      </c>
      <c r="U414" s="0" t="s">
        <v>36</v>
      </c>
      <c r="V414" s="0" t="s">
        <v>36</v>
      </c>
      <c r="W414" s="0" t="s">
        <v>36</v>
      </c>
      <c r="X414" s="0" t="s">
        <v>36</v>
      </c>
      <c r="Y414" s="2" t="s">
        <v>36</v>
      </c>
      <c r="Z414" s="0" t="s">
        <v>36</v>
      </c>
      <c r="AA414" s="0" t="s">
        <v>36</v>
      </c>
      <c r="AB414" s="0" t="s">
        <v>36</v>
      </c>
      <c r="AC414" s="0" t="s">
        <v>36</v>
      </c>
      <c r="AD414" s="0" t="s">
        <v>36</v>
      </c>
      <c r="AE414" s="2" t="s">
        <v>36</v>
      </c>
    </row>
    <row r="415">
      <c r="A415" s="6" t="s">
        <v>31</v>
      </c>
      <c r="B415" s="7">
        <v>42412</v>
      </c>
      <c r="C415" s="9">
        <f>HYPERLINK("https://www.epingalert.org/en/Search?viewData= G/SPS/N/RUS/100/Add.1"," G/SPS/N/RUS/100/Add.1")</f>
      </c>
      <c r="D415" s="8" t="s">
        <v>2000</v>
      </c>
      <c r="E415" s="8" t="s">
        <v>2001</v>
      </c>
      <c r="F415" s="8"/>
      <c r="G415" s="8" t="s">
        <v>1666</v>
      </c>
      <c r="H415" s="8" t="s">
        <v>36</v>
      </c>
      <c r="I415" s="8" t="s">
        <v>37</v>
      </c>
      <c r="J415" s="8" t="s">
        <v>2002</v>
      </c>
      <c r="K415" s="6"/>
      <c r="L415" s="7" t="s">
        <v>36</v>
      </c>
      <c r="M415" s="6" t="s">
        <v>1211</v>
      </c>
      <c r="N415" s="6"/>
      <c r="O415" s="6">
        <f>HYPERLINK("https://docs.wto.org/imrd/directdoc.asp?DDFDocuments/t/G/SPS/NRUS100A1.pdf", "https://docs.wto.org/imrd/directdoc.asp?DDFDocuments/t/G/SPS/NRUS100A1.pdf")</f>
      </c>
      <c r="P415" s="6">
        <f>HYPERLINK("https://docs.wto.org/imrd/directdoc.asp?DDFDocuments/u/G/SPS/NRUS100A1.pdf", "https://docs.wto.org/imrd/directdoc.asp?DDFDocuments/u/G/SPS/NRUS100A1.pdf")</f>
      </c>
      <c r="Q415" s="6">
        <f>HYPERLINK("https://docs.wto.org/imrd/directdoc.asp?DDFDocuments/v/G/SPS/NRUS100A1.pdf", "https://docs.wto.org/imrd/directdoc.asp?DDFDocuments/v/G/SPS/NRUS100A1.pdf")</f>
      </c>
      <c r="R415" s="0" t="s">
        <v>36</v>
      </c>
      <c r="S415" s="0" t="s">
        <v>36</v>
      </c>
      <c r="T415" s="0" t="s">
        <v>36</v>
      </c>
      <c r="U415" s="0" t="s">
        <v>36</v>
      </c>
      <c r="V415" s="0" t="s">
        <v>36</v>
      </c>
      <c r="W415" s="0" t="s">
        <v>36</v>
      </c>
      <c r="X415" s="0" t="s">
        <v>36</v>
      </c>
      <c r="Y415" s="2" t="s">
        <v>36</v>
      </c>
      <c r="Z415" s="0" t="s">
        <v>36</v>
      </c>
      <c r="AA415" s="0" t="s">
        <v>36</v>
      </c>
      <c r="AB415" s="0" t="s">
        <v>36</v>
      </c>
      <c r="AC415" s="0" t="s">
        <v>36</v>
      </c>
      <c r="AD415" s="0" t="s">
        <v>36</v>
      </c>
      <c r="AE415" s="2" t="s">
        <v>36</v>
      </c>
    </row>
    <row r="416">
      <c r="A416" s="6" t="s">
        <v>31</v>
      </c>
      <c r="B416" s="7">
        <v>42382</v>
      </c>
      <c r="C416" s="9">
        <f>HYPERLINK("https://www.epingalert.org/en/Search?viewData= G/SPS/N/RUS/117/Corr.1"," G/SPS/N/RUS/117/Corr.1")</f>
      </c>
      <c r="D416" s="8" t="s">
        <v>2003</v>
      </c>
      <c r="E416" s="8" t="s">
        <v>2004</v>
      </c>
      <c r="F416" s="8"/>
      <c r="G416" s="8" t="s">
        <v>2005</v>
      </c>
      <c r="H416" s="8" t="s">
        <v>36</v>
      </c>
      <c r="I416" s="8" t="s">
        <v>37</v>
      </c>
      <c r="J416" s="8" t="s">
        <v>1171</v>
      </c>
      <c r="K416" s="6"/>
      <c r="L416" s="7" t="s">
        <v>36</v>
      </c>
      <c r="M416" s="6" t="s">
        <v>690</v>
      </c>
      <c r="N416" s="6"/>
      <c r="O416" s="6">
        <f>HYPERLINK("https://docs.wto.org/imrd/directdoc.asp?DDFDocuments/t/G/SPS/NRUS117C1.pdf", "https://docs.wto.org/imrd/directdoc.asp?DDFDocuments/t/G/SPS/NRUS117C1.pdf")</f>
      </c>
      <c r="P416" s="6">
        <f>HYPERLINK("https://docs.wto.org/imrd/directdoc.asp?DDFDocuments/u/G/SPS/NRUS117C1.pdf", "https://docs.wto.org/imrd/directdoc.asp?DDFDocuments/u/G/SPS/NRUS117C1.pdf")</f>
      </c>
      <c r="Q416" s="6">
        <f>HYPERLINK("https://docs.wto.org/imrd/directdoc.asp?DDFDocuments/v/G/SPS/NRUS117C1.pdf", "https://docs.wto.org/imrd/directdoc.asp?DDFDocuments/v/G/SPS/NRUS117C1.pdf")</f>
      </c>
      <c r="R416" s="0" t="s">
        <v>36</v>
      </c>
      <c r="S416" s="0" t="s">
        <v>36</v>
      </c>
      <c r="T416" s="0" t="s">
        <v>36</v>
      </c>
      <c r="U416" s="0" t="s">
        <v>36</v>
      </c>
      <c r="V416" s="0" t="s">
        <v>36</v>
      </c>
      <c r="W416" s="0" t="s">
        <v>36</v>
      </c>
      <c r="X416" s="0" t="s">
        <v>36</v>
      </c>
      <c r="Y416" s="2" t="s">
        <v>36</v>
      </c>
      <c r="Z416" s="0" t="s">
        <v>36</v>
      </c>
      <c r="AA416" s="0" t="s">
        <v>36</v>
      </c>
      <c r="AB416" s="0" t="s">
        <v>36</v>
      </c>
      <c r="AC416" s="0" t="s">
        <v>36</v>
      </c>
      <c r="AD416" s="0" t="s">
        <v>36</v>
      </c>
      <c r="AE416" s="2" t="s">
        <v>36</v>
      </c>
    </row>
    <row r="417">
      <c r="A417" s="6" t="s">
        <v>31</v>
      </c>
      <c r="B417" s="7">
        <v>42374</v>
      </c>
      <c r="C417" s="9">
        <f>HYPERLINK("https://www.epingalert.org/en/Search?viewData= G/SPS/N/RUS/117"," G/SPS/N/RUS/117")</f>
      </c>
      <c r="D417" s="8" t="s">
        <v>2006</v>
      </c>
      <c r="E417" s="8" t="s">
        <v>2007</v>
      </c>
      <c r="F417" s="8" t="s">
        <v>1721</v>
      </c>
      <c r="G417" s="8" t="s">
        <v>2008</v>
      </c>
      <c r="H417" s="8" t="s">
        <v>36</v>
      </c>
      <c r="I417" s="8" t="s">
        <v>37</v>
      </c>
      <c r="J417" s="8" t="s">
        <v>2009</v>
      </c>
      <c r="K417" s="6" t="s">
        <v>1798</v>
      </c>
      <c r="L417" s="7" t="s">
        <v>36</v>
      </c>
      <c r="M417" s="6" t="s">
        <v>40</v>
      </c>
      <c r="N417" s="8" t="s">
        <v>2010</v>
      </c>
      <c r="O417" s="6">
        <f>HYPERLINK("https://docs.wto.org/imrd/directdoc.asp?DDFDocuments/t/G/SPS/NRUS117.pdf", "https://docs.wto.org/imrd/directdoc.asp?DDFDocuments/t/G/SPS/NRUS117.pdf")</f>
      </c>
      <c r="P417" s="6">
        <f>HYPERLINK("https://docs.wto.org/imrd/directdoc.asp?DDFDocuments/u/G/SPS/NRUS117.pdf", "https://docs.wto.org/imrd/directdoc.asp?DDFDocuments/u/G/SPS/NRUS117.pdf")</f>
      </c>
      <c r="Q417" s="6">
        <f>HYPERLINK("https://docs.wto.org/imrd/directdoc.asp?DDFDocuments/v/G/SPS/NRUS117.pdf", "https://docs.wto.org/imrd/directdoc.asp?DDFDocuments/v/G/SPS/NRUS117.pdf")</f>
      </c>
      <c r="R417" s="0" t="s">
        <v>36</v>
      </c>
      <c r="S417" s="0" t="s">
        <v>36</v>
      </c>
      <c r="T417" s="0" t="s">
        <v>36</v>
      </c>
      <c r="U417" s="0" t="s">
        <v>36</v>
      </c>
      <c r="V417" s="0" t="s">
        <v>36</v>
      </c>
      <c r="W417" s="0" t="s">
        <v>36</v>
      </c>
      <c r="X417" s="0" t="s">
        <v>36</v>
      </c>
      <c r="Y417" s="2" t="s">
        <v>36</v>
      </c>
      <c r="Z417" s="0" t="s">
        <v>42</v>
      </c>
      <c r="AA417" s="0" t="s">
        <v>43</v>
      </c>
      <c r="AB417" s="0" t="s">
        <v>42</v>
      </c>
      <c r="AC417" s="0" t="s">
        <v>42</v>
      </c>
      <c r="AD417" s="0" t="s">
        <v>43</v>
      </c>
      <c r="AE417" s="2" t="s">
        <v>36</v>
      </c>
    </row>
    <row r="418">
      <c r="A418" s="6" t="s">
        <v>31</v>
      </c>
      <c r="B418" s="7">
        <v>42356</v>
      </c>
      <c r="C418" s="9">
        <f>HYPERLINK("https://www.epingalert.org/en/Search?viewData= G/SPS/N/RUS/115"," G/SPS/N/RUS/115")</f>
      </c>
      <c r="D418" s="8" t="s">
        <v>2011</v>
      </c>
      <c r="E418" s="8" t="s">
        <v>2012</v>
      </c>
      <c r="F418" s="8" t="s">
        <v>2013</v>
      </c>
      <c r="G418" s="8" t="s">
        <v>2014</v>
      </c>
      <c r="H418" s="8" t="s">
        <v>36</v>
      </c>
      <c r="I418" s="8" t="s">
        <v>37</v>
      </c>
      <c r="J418" s="8" t="s">
        <v>1589</v>
      </c>
      <c r="K418" s="6" t="s">
        <v>938</v>
      </c>
      <c r="L418" s="7" t="s">
        <v>36</v>
      </c>
      <c r="M418" s="6" t="s">
        <v>40</v>
      </c>
      <c r="N418" s="6"/>
      <c r="O418" s="6">
        <f>HYPERLINK("https://docs.wto.org/imrd/directdoc.asp?DDFDocuments/t/G/SPS/NRUS115.pdf", "https://docs.wto.org/imrd/directdoc.asp?DDFDocuments/t/G/SPS/NRUS115.pdf")</f>
      </c>
      <c r="P418" s="6">
        <f>HYPERLINK("https://docs.wto.org/imrd/directdoc.asp?DDFDocuments/u/G/SPS/NRUS115.pdf", "https://docs.wto.org/imrd/directdoc.asp?DDFDocuments/u/G/SPS/NRUS115.pdf")</f>
      </c>
      <c r="Q418" s="6">
        <f>HYPERLINK("https://docs.wto.org/imrd/directdoc.asp?DDFDocuments/v/G/SPS/NRUS115.pdf", "https://docs.wto.org/imrd/directdoc.asp?DDFDocuments/v/G/SPS/NRUS115.pdf")</f>
      </c>
      <c r="R418" s="0" t="s">
        <v>36</v>
      </c>
      <c r="S418" s="0" t="s">
        <v>36</v>
      </c>
      <c r="T418" s="0" t="s">
        <v>36</v>
      </c>
      <c r="U418" s="0" t="s">
        <v>36</v>
      </c>
      <c r="V418" s="0" t="s">
        <v>36</v>
      </c>
      <c r="W418" s="0" t="s">
        <v>36</v>
      </c>
      <c r="X418" s="0" t="s">
        <v>36</v>
      </c>
      <c r="Y418" s="2" t="s">
        <v>36</v>
      </c>
      <c r="Z418" s="0" t="s">
        <v>42</v>
      </c>
      <c r="AA418" s="0" t="s">
        <v>43</v>
      </c>
      <c r="AB418" s="0" t="s">
        <v>42</v>
      </c>
      <c r="AC418" s="0" t="s">
        <v>42</v>
      </c>
      <c r="AD418" s="0" t="s">
        <v>43</v>
      </c>
      <c r="AE418" s="2"/>
    </row>
    <row r="419">
      <c r="A419" s="6" t="s">
        <v>31</v>
      </c>
      <c r="B419" s="7">
        <v>42356</v>
      </c>
      <c r="C419" s="9">
        <f>HYPERLINK("https://www.epingalert.org/en/Search?viewData= G/SPS/N/RUS/116"," G/SPS/N/RUS/116")</f>
      </c>
      <c r="D419" s="8" t="s">
        <v>2015</v>
      </c>
      <c r="E419" s="8" t="s">
        <v>2016</v>
      </c>
      <c r="F419" s="8" t="s">
        <v>2017</v>
      </c>
      <c r="G419" s="8" t="s">
        <v>2018</v>
      </c>
      <c r="H419" s="8" t="s">
        <v>36</v>
      </c>
      <c r="I419" s="8" t="s">
        <v>37</v>
      </c>
      <c r="J419" s="8" t="s">
        <v>1840</v>
      </c>
      <c r="K419" s="6" t="s">
        <v>2019</v>
      </c>
      <c r="L419" s="7" t="s">
        <v>36</v>
      </c>
      <c r="M419" s="6" t="s">
        <v>51</v>
      </c>
      <c r="N419" s="8" t="s">
        <v>2020</v>
      </c>
      <c r="O419" s="6">
        <f>HYPERLINK("https://docs.wto.org/imrd/directdoc.asp?DDFDocuments/t/G/SPS/NRUS116.pdf", "https://docs.wto.org/imrd/directdoc.asp?DDFDocuments/t/G/SPS/NRUS116.pdf")</f>
      </c>
      <c r="P419" s="6">
        <f>HYPERLINK("https://docs.wto.org/imrd/directdoc.asp?DDFDocuments/u/G/SPS/NRUS116.pdf", "https://docs.wto.org/imrd/directdoc.asp?DDFDocuments/u/G/SPS/NRUS116.pdf")</f>
      </c>
      <c r="Q419" s="6">
        <f>HYPERLINK("https://docs.wto.org/imrd/directdoc.asp?DDFDocuments/v/G/SPS/NRUS116.pdf", "https://docs.wto.org/imrd/directdoc.asp?DDFDocuments/v/G/SPS/NRUS116.pdf")</f>
      </c>
      <c r="R419" s="0" t="s">
        <v>36</v>
      </c>
      <c r="S419" s="0" t="s">
        <v>36</v>
      </c>
      <c r="T419" s="0" t="s">
        <v>36</v>
      </c>
      <c r="U419" s="0" t="s">
        <v>36</v>
      </c>
      <c r="V419" s="0" t="s">
        <v>36</v>
      </c>
      <c r="W419" s="0" t="s">
        <v>36</v>
      </c>
      <c r="X419" s="0" t="s">
        <v>36</v>
      </c>
      <c r="Y419" s="2" t="s">
        <v>36</v>
      </c>
      <c r="Z419" s="0" t="s">
        <v>42</v>
      </c>
      <c r="AA419" s="0" t="s">
        <v>43</v>
      </c>
      <c r="AB419" s="0" t="s">
        <v>42</v>
      </c>
      <c r="AC419" s="0" t="s">
        <v>42</v>
      </c>
      <c r="AD419" s="0" t="s">
        <v>43</v>
      </c>
      <c r="AE419" s="2"/>
    </row>
    <row r="420">
      <c r="A420" s="6" t="s">
        <v>31</v>
      </c>
      <c r="B420" s="7">
        <v>42342</v>
      </c>
      <c r="C420" s="9">
        <f>HYPERLINK("https://www.epingalert.org/en/Search?viewData= G/TBT/N/RUS/46"," G/TBT/N/RUS/46")</f>
      </c>
      <c r="D420" s="8" t="s">
        <v>2021</v>
      </c>
      <c r="E420" s="8" t="s">
        <v>2022</v>
      </c>
      <c r="F420" s="8" t="s">
        <v>2023</v>
      </c>
      <c r="G420" s="8" t="s">
        <v>36</v>
      </c>
      <c r="H420" s="8" t="s">
        <v>2024</v>
      </c>
      <c r="I420" s="8" t="s">
        <v>164</v>
      </c>
      <c r="J420" s="8" t="s">
        <v>120</v>
      </c>
      <c r="K420" s="6"/>
      <c r="L420" s="7">
        <v>42396</v>
      </c>
      <c r="M420" s="6" t="s">
        <v>51</v>
      </c>
      <c r="N420" s="6"/>
      <c r="O420" s="6">
        <f>HYPERLINK("https://docs.wto.org/imrd/directdoc.asp?DDFDocuments/t/G/TBTN15/RUS46.DOC", "https://docs.wto.org/imrd/directdoc.asp?DDFDocuments/t/G/TBTN15/RUS46.DOC")</f>
      </c>
      <c r="P420" s="6">
        <f>HYPERLINK("https://docs.wto.org/imrd/directdoc.asp?DDFDocuments/u/G/TBTN15/RUS46.DOC", "https://docs.wto.org/imrd/directdoc.asp?DDFDocuments/u/G/TBTN15/RUS46.DOC")</f>
      </c>
      <c r="Q420" s="6">
        <f>HYPERLINK("https://docs.wto.org/imrd/directdoc.asp?DDFDocuments/v/G/TBTN15/RUS46.DOC", "https://docs.wto.org/imrd/directdoc.asp?DDFDocuments/v/G/TBTN15/RUS46.DOC")</f>
      </c>
      <c r="R420" s="0" t="s">
        <v>43</v>
      </c>
      <c r="S420" s="0" t="s">
        <v>42</v>
      </c>
      <c r="T420" s="0" t="s">
        <v>42</v>
      </c>
      <c r="U420" s="0" t="s">
        <v>42</v>
      </c>
      <c r="V420" s="0" t="s">
        <v>42</v>
      </c>
      <c r="W420" s="0" t="s">
        <v>42</v>
      </c>
      <c r="X420" s="0" t="s">
        <v>42</v>
      </c>
      <c r="Y420" s="2" t="s">
        <v>2025</v>
      </c>
      <c r="Z420" s="0" t="s">
        <v>36</v>
      </c>
      <c r="AA420" s="0" t="s">
        <v>36</v>
      </c>
      <c r="AB420" s="0" t="s">
        <v>36</v>
      </c>
      <c r="AC420" s="0" t="s">
        <v>36</v>
      </c>
      <c r="AD420" s="0" t="s">
        <v>36</v>
      </c>
      <c r="AE420" s="2" t="s">
        <v>36</v>
      </c>
    </row>
    <row r="421">
      <c r="A421" s="6" t="s">
        <v>31</v>
      </c>
      <c r="B421" s="7">
        <v>42342</v>
      </c>
      <c r="C421" s="9">
        <f>HYPERLINK("https://www.epingalert.org/en/Search?viewData= G/SPS/N/RUS/114"," G/SPS/N/RUS/114")</f>
      </c>
      <c r="D421" s="8" t="s">
        <v>2026</v>
      </c>
      <c r="E421" s="8" t="s">
        <v>2027</v>
      </c>
      <c r="F421" s="8" t="s">
        <v>2028</v>
      </c>
      <c r="G421" s="8" t="s">
        <v>2029</v>
      </c>
      <c r="H421" s="8" t="s">
        <v>36</v>
      </c>
      <c r="I421" s="8" t="s">
        <v>97</v>
      </c>
      <c r="J421" s="8" t="s">
        <v>105</v>
      </c>
      <c r="K421" s="6"/>
      <c r="L421" s="7">
        <v>42402</v>
      </c>
      <c r="M421" s="6" t="s">
        <v>51</v>
      </c>
      <c r="N421" s="8" t="s">
        <v>2030</v>
      </c>
      <c r="O421" s="6">
        <f>HYPERLINK("https://docs.wto.org/imrd/directdoc.asp?DDFDocuments/t/G/SPS/NRUS114.pdf", "https://docs.wto.org/imrd/directdoc.asp?DDFDocuments/t/G/SPS/NRUS114.pdf")</f>
      </c>
      <c r="P421" s="6">
        <f>HYPERLINK("https://docs.wto.org/imrd/directdoc.asp?DDFDocuments/u/G/SPS/NRUS114.pdf", "https://docs.wto.org/imrd/directdoc.asp?DDFDocuments/u/G/SPS/NRUS114.pdf")</f>
      </c>
      <c r="Q421" s="6">
        <f>HYPERLINK("https://docs.wto.org/imrd/directdoc.asp?DDFDocuments/v/G/SPS/NRUS114.pdf", "https://docs.wto.org/imrd/directdoc.asp?DDFDocuments/v/G/SPS/NRUS114.pdf")</f>
      </c>
      <c r="R421" s="0" t="s">
        <v>36</v>
      </c>
      <c r="S421" s="0" t="s">
        <v>36</v>
      </c>
      <c r="T421" s="0" t="s">
        <v>36</v>
      </c>
      <c r="U421" s="0" t="s">
        <v>36</v>
      </c>
      <c r="V421" s="0" t="s">
        <v>36</v>
      </c>
      <c r="W421" s="0" t="s">
        <v>36</v>
      </c>
      <c r="X421" s="0" t="s">
        <v>36</v>
      </c>
      <c r="Y421" s="2" t="s">
        <v>36</v>
      </c>
      <c r="Z421" s="0" t="s">
        <v>43</v>
      </c>
      <c r="AA421" s="0" t="s">
        <v>42</v>
      </c>
      <c r="AB421" s="0" t="s">
        <v>42</v>
      </c>
      <c r="AC421" s="0" t="s">
        <v>42</v>
      </c>
      <c r="AD421" s="0" t="s">
        <v>43</v>
      </c>
      <c r="AE421" s="2"/>
    </row>
    <row r="422">
      <c r="A422" s="6" t="s">
        <v>31</v>
      </c>
      <c r="B422" s="7">
        <v>42307</v>
      </c>
      <c r="C422" s="9">
        <f>HYPERLINK("https://www.epingalert.org/en/Search?viewData= G/SPS/N/RUS/113"," G/SPS/N/RUS/113")</f>
      </c>
      <c r="D422" s="8" t="s">
        <v>2031</v>
      </c>
      <c r="E422" s="8" t="s">
        <v>2032</v>
      </c>
      <c r="F422" s="8" t="s">
        <v>2033</v>
      </c>
      <c r="G422" s="8" t="s">
        <v>1744</v>
      </c>
      <c r="H422" s="8" t="s">
        <v>36</v>
      </c>
      <c r="I422" s="8" t="s">
        <v>65</v>
      </c>
      <c r="J422" s="8" t="s">
        <v>1528</v>
      </c>
      <c r="K422" s="6" t="s">
        <v>2034</v>
      </c>
      <c r="L422" s="7" t="s">
        <v>36</v>
      </c>
      <c r="M422" s="6" t="s">
        <v>51</v>
      </c>
      <c r="N422" s="6"/>
      <c r="O422" s="6">
        <f>HYPERLINK("https://docs.wto.org/imrd/directdoc.asp?DDFDocuments/t/G/SPS/NRUS113.pdf", "https://docs.wto.org/imrd/directdoc.asp?DDFDocuments/t/G/SPS/NRUS113.pdf")</f>
      </c>
      <c r="P422" s="6">
        <f>HYPERLINK("https://docs.wto.org/imrd/directdoc.asp?DDFDocuments/u/G/SPS/NRUS113.pdf", "https://docs.wto.org/imrd/directdoc.asp?DDFDocuments/u/G/SPS/NRUS113.pdf")</f>
      </c>
      <c r="Q422" s="6">
        <f>HYPERLINK("https://docs.wto.org/imrd/directdoc.asp?DDFDocuments/v/G/SPS/NRUS113.pdf", "https://docs.wto.org/imrd/directdoc.asp?DDFDocuments/v/G/SPS/NRUS113.pdf")</f>
      </c>
      <c r="R422" s="0" t="s">
        <v>36</v>
      </c>
      <c r="S422" s="0" t="s">
        <v>36</v>
      </c>
      <c r="T422" s="0" t="s">
        <v>36</v>
      </c>
      <c r="U422" s="0" t="s">
        <v>36</v>
      </c>
      <c r="V422" s="0" t="s">
        <v>36</v>
      </c>
      <c r="W422" s="0" t="s">
        <v>36</v>
      </c>
      <c r="X422" s="0" t="s">
        <v>36</v>
      </c>
      <c r="Y422" s="2" t="s">
        <v>36</v>
      </c>
      <c r="Z422" s="0" t="s">
        <v>42</v>
      </c>
      <c r="AA422" s="0" t="s">
        <v>42</v>
      </c>
      <c r="AB422" s="0" t="s">
        <v>43</v>
      </c>
      <c r="AC422" s="0" t="s">
        <v>42</v>
      </c>
      <c r="AD422" s="0" t="s">
        <v>43</v>
      </c>
      <c r="AE422" s="2"/>
    </row>
    <row r="423">
      <c r="A423" s="6" t="s">
        <v>31</v>
      </c>
      <c r="B423" s="7">
        <v>42291</v>
      </c>
      <c r="C423" s="9">
        <f>HYPERLINK("https://www.epingalert.org/en/Search?viewData= G/SPS/N/RUS/112"," G/SPS/N/RUS/112")</f>
      </c>
      <c r="D423" s="8" t="s">
        <v>2035</v>
      </c>
      <c r="E423" s="8" t="s">
        <v>2036</v>
      </c>
      <c r="F423" s="8" t="s">
        <v>2037</v>
      </c>
      <c r="G423" s="8" t="s">
        <v>1744</v>
      </c>
      <c r="H423" s="8" t="s">
        <v>36</v>
      </c>
      <c r="I423" s="8" t="s">
        <v>65</v>
      </c>
      <c r="J423" s="8" t="s">
        <v>1528</v>
      </c>
      <c r="K423" s="6"/>
      <c r="L423" s="7">
        <v>42351</v>
      </c>
      <c r="M423" s="6" t="s">
        <v>51</v>
      </c>
      <c r="N423" s="8" t="s">
        <v>2038</v>
      </c>
      <c r="O423" s="6">
        <f>HYPERLINK("https://docs.wto.org/imrd/directdoc.asp?DDFDocuments/t/G/SPS/NRUS112.pdf", "https://docs.wto.org/imrd/directdoc.asp?DDFDocuments/t/G/SPS/NRUS112.pdf")</f>
      </c>
      <c r="P423" s="6">
        <f>HYPERLINK("https://docs.wto.org/imrd/directdoc.asp?DDFDocuments/u/G/SPS/NRUS112.pdf", "https://docs.wto.org/imrd/directdoc.asp?DDFDocuments/u/G/SPS/NRUS112.pdf")</f>
      </c>
      <c r="Q423" s="6">
        <f>HYPERLINK("https://docs.wto.org/imrd/directdoc.asp?DDFDocuments/v/G/SPS/NRUS112.pdf", "https://docs.wto.org/imrd/directdoc.asp?DDFDocuments/v/G/SPS/NRUS112.pdf")</f>
      </c>
      <c r="R423" s="0" t="s">
        <v>36</v>
      </c>
      <c r="S423" s="0" t="s">
        <v>36</v>
      </c>
      <c r="T423" s="0" t="s">
        <v>36</v>
      </c>
      <c r="U423" s="0" t="s">
        <v>36</v>
      </c>
      <c r="V423" s="0" t="s">
        <v>36</v>
      </c>
      <c r="W423" s="0" t="s">
        <v>36</v>
      </c>
      <c r="X423" s="0" t="s">
        <v>36</v>
      </c>
      <c r="Y423" s="2" t="s">
        <v>36</v>
      </c>
      <c r="Z423" s="0" t="s">
        <v>42</v>
      </c>
      <c r="AA423" s="0" t="s">
        <v>42</v>
      </c>
      <c r="AB423" s="0" t="s">
        <v>43</v>
      </c>
      <c r="AC423" s="0" t="s">
        <v>42</v>
      </c>
      <c r="AD423" s="0" t="s">
        <v>43</v>
      </c>
      <c r="AE423" s="2"/>
    </row>
    <row r="424">
      <c r="A424" s="6" t="s">
        <v>31</v>
      </c>
      <c r="B424" s="7">
        <v>42291</v>
      </c>
      <c r="C424" s="9">
        <f>HYPERLINK("https://www.epingalert.org/en/Search?viewData= G/SPS/N/RUS/111"," G/SPS/N/RUS/111")</f>
      </c>
      <c r="D424" s="8" t="s">
        <v>1748</v>
      </c>
      <c r="E424" s="8" t="s">
        <v>2039</v>
      </c>
      <c r="F424" s="8" t="s">
        <v>2037</v>
      </c>
      <c r="G424" s="8" t="s">
        <v>1744</v>
      </c>
      <c r="H424" s="8" t="s">
        <v>36</v>
      </c>
      <c r="I424" s="8" t="s">
        <v>65</v>
      </c>
      <c r="J424" s="8" t="s">
        <v>1528</v>
      </c>
      <c r="K424" s="6"/>
      <c r="L424" s="7">
        <v>42351</v>
      </c>
      <c r="M424" s="6" t="s">
        <v>51</v>
      </c>
      <c r="N424" s="8" t="s">
        <v>2040</v>
      </c>
      <c r="O424" s="6">
        <f>HYPERLINK("https://docs.wto.org/imrd/directdoc.asp?DDFDocuments/t/G/SPS/NRUS111.pdf", "https://docs.wto.org/imrd/directdoc.asp?DDFDocuments/t/G/SPS/NRUS111.pdf")</f>
      </c>
      <c r="P424" s="6">
        <f>HYPERLINK("https://docs.wto.org/imrd/directdoc.asp?DDFDocuments/u/G/SPS/NRUS111.pdf", "https://docs.wto.org/imrd/directdoc.asp?DDFDocuments/u/G/SPS/NRUS111.pdf")</f>
      </c>
      <c r="Q424" s="6">
        <f>HYPERLINK("https://docs.wto.org/imrd/directdoc.asp?DDFDocuments/v/G/SPS/NRUS111.pdf", "https://docs.wto.org/imrd/directdoc.asp?DDFDocuments/v/G/SPS/NRUS111.pdf")</f>
      </c>
      <c r="R424" s="0" t="s">
        <v>36</v>
      </c>
      <c r="S424" s="0" t="s">
        <v>36</v>
      </c>
      <c r="T424" s="0" t="s">
        <v>36</v>
      </c>
      <c r="U424" s="0" t="s">
        <v>36</v>
      </c>
      <c r="V424" s="0" t="s">
        <v>36</v>
      </c>
      <c r="W424" s="0" t="s">
        <v>36</v>
      </c>
      <c r="X424" s="0" t="s">
        <v>36</v>
      </c>
      <c r="Y424" s="2" t="s">
        <v>36</v>
      </c>
      <c r="Z424" s="0" t="s">
        <v>42</v>
      </c>
      <c r="AA424" s="0" t="s">
        <v>42</v>
      </c>
      <c r="AB424" s="0" t="s">
        <v>43</v>
      </c>
      <c r="AC424" s="0" t="s">
        <v>42</v>
      </c>
      <c r="AD424" s="0" t="s">
        <v>43</v>
      </c>
      <c r="AE424" s="2"/>
    </row>
    <row r="425">
      <c r="A425" s="6" t="s">
        <v>31</v>
      </c>
      <c r="B425" s="7">
        <v>42282</v>
      </c>
      <c r="C425" s="9">
        <f>HYPERLINK("https://www.epingalert.org/en/Search?viewData= G/SPS/N/RUS/110"," G/SPS/N/RUS/110")</f>
      </c>
      <c r="D425" s="8" t="s">
        <v>2041</v>
      </c>
      <c r="E425" s="8" t="s">
        <v>2042</v>
      </c>
      <c r="F425" s="8" t="s">
        <v>2043</v>
      </c>
      <c r="G425" s="8" t="s">
        <v>2044</v>
      </c>
      <c r="H425" s="8" t="s">
        <v>36</v>
      </c>
      <c r="I425" s="8" t="s">
        <v>37</v>
      </c>
      <c r="J425" s="8" t="s">
        <v>1098</v>
      </c>
      <c r="K425" s="6"/>
      <c r="L425" s="7">
        <v>42342</v>
      </c>
      <c r="M425" s="6" t="s">
        <v>51</v>
      </c>
      <c r="N425" s="8" t="s">
        <v>2045</v>
      </c>
      <c r="O425" s="6">
        <f>HYPERLINK("https://docs.wto.org/imrd/directdoc.asp?DDFDocuments/t/G/SPS/NRUS110.pdf", "https://docs.wto.org/imrd/directdoc.asp?DDFDocuments/t/G/SPS/NRUS110.pdf")</f>
      </c>
      <c r="P425" s="6">
        <f>HYPERLINK("https://docs.wto.org/imrd/directdoc.asp?DDFDocuments/u/G/SPS/NRUS110.pdf", "https://docs.wto.org/imrd/directdoc.asp?DDFDocuments/u/G/SPS/NRUS110.pdf")</f>
      </c>
      <c r="Q425" s="6">
        <f>HYPERLINK("https://docs.wto.org/imrd/directdoc.asp?DDFDocuments/v/G/SPS/NRUS110.pdf", "https://docs.wto.org/imrd/directdoc.asp?DDFDocuments/v/G/SPS/NRUS110.pdf")</f>
      </c>
      <c r="R425" s="0" t="s">
        <v>36</v>
      </c>
      <c r="S425" s="0" t="s">
        <v>36</v>
      </c>
      <c r="T425" s="0" t="s">
        <v>36</v>
      </c>
      <c r="U425" s="0" t="s">
        <v>36</v>
      </c>
      <c r="V425" s="0" t="s">
        <v>36</v>
      </c>
      <c r="W425" s="0" t="s">
        <v>36</v>
      </c>
      <c r="X425" s="0" t="s">
        <v>36</v>
      </c>
      <c r="Y425" s="2" t="s">
        <v>36</v>
      </c>
      <c r="Z425" s="0" t="s">
        <v>42</v>
      </c>
      <c r="AA425" s="0" t="s">
        <v>43</v>
      </c>
      <c r="AB425" s="0" t="s">
        <v>42</v>
      </c>
      <c r="AC425" s="0" t="s">
        <v>42</v>
      </c>
      <c r="AD425" s="0" t="s">
        <v>43</v>
      </c>
      <c r="AE425" s="2"/>
    </row>
    <row r="426">
      <c r="A426" s="6" t="s">
        <v>31</v>
      </c>
      <c r="B426" s="7">
        <v>42282</v>
      </c>
      <c r="C426" s="9">
        <f>HYPERLINK("https://www.epingalert.org/en/Search?viewData= G/SPS/N/RUS/109"," G/SPS/N/RUS/109")</f>
      </c>
      <c r="D426" s="8" t="s">
        <v>2046</v>
      </c>
      <c r="E426" s="8" t="s">
        <v>2047</v>
      </c>
      <c r="F426" s="8" t="s">
        <v>2048</v>
      </c>
      <c r="G426" s="8" t="s">
        <v>2049</v>
      </c>
      <c r="H426" s="8" t="s">
        <v>36</v>
      </c>
      <c r="I426" s="8" t="s">
        <v>37</v>
      </c>
      <c r="J426" s="8" t="s">
        <v>1098</v>
      </c>
      <c r="K426" s="6"/>
      <c r="L426" s="7">
        <v>42342</v>
      </c>
      <c r="M426" s="6" t="s">
        <v>51</v>
      </c>
      <c r="N426" s="8" t="s">
        <v>2050</v>
      </c>
      <c r="O426" s="6">
        <f>HYPERLINK("https://docs.wto.org/imrd/directdoc.asp?DDFDocuments/t/G/SPS/NRUS109.pdf", "https://docs.wto.org/imrd/directdoc.asp?DDFDocuments/t/G/SPS/NRUS109.pdf")</f>
      </c>
      <c r="P426" s="6">
        <f>HYPERLINK("https://docs.wto.org/imrd/directdoc.asp?DDFDocuments/u/G/SPS/NRUS109.pdf", "https://docs.wto.org/imrd/directdoc.asp?DDFDocuments/u/G/SPS/NRUS109.pdf")</f>
      </c>
      <c r="Q426" s="6">
        <f>HYPERLINK("https://docs.wto.org/imrd/directdoc.asp?DDFDocuments/v/G/SPS/NRUS109.pdf", "https://docs.wto.org/imrd/directdoc.asp?DDFDocuments/v/G/SPS/NRUS109.pdf")</f>
      </c>
      <c r="R426" s="0" t="s">
        <v>36</v>
      </c>
      <c r="S426" s="0" t="s">
        <v>36</v>
      </c>
      <c r="T426" s="0" t="s">
        <v>36</v>
      </c>
      <c r="U426" s="0" t="s">
        <v>36</v>
      </c>
      <c r="V426" s="0" t="s">
        <v>36</v>
      </c>
      <c r="W426" s="0" t="s">
        <v>36</v>
      </c>
      <c r="X426" s="0" t="s">
        <v>36</v>
      </c>
      <c r="Y426" s="2" t="s">
        <v>36</v>
      </c>
      <c r="Z426" s="0" t="s">
        <v>42</v>
      </c>
      <c r="AA426" s="0" t="s">
        <v>43</v>
      </c>
      <c r="AB426" s="0" t="s">
        <v>42</v>
      </c>
      <c r="AC426" s="0" t="s">
        <v>42</v>
      </c>
      <c r="AD426" s="0" t="s">
        <v>43</v>
      </c>
      <c r="AE426" s="2"/>
    </row>
    <row r="427">
      <c r="A427" s="6" t="s">
        <v>31</v>
      </c>
      <c r="B427" s="7">
        <v>42261</v>
      </c>
      <c r="C427" s="9">
        <f>HYPERLINK("https://www.epingalert.org/en/Search?viewData= G/SPS/N/RUS/105"," G/SPS/N/RUS/105")</f>
      </c>
      <c r="D427" s="8" t="s">
        <v>2051</v>
      </c>
      <c r="E427" s="8" t="s">
        <v>2052</v>
      </c>
      <c r="F427" s="8" t="s">
        <v>2053</v>
      </c>
      <c r="G427" s="8" t="s">
        <v>2054</v>
      </c>
      <c r="H427" s="8" t="s">
        <v>36</v>
      </c>
      <c r="I427" s="8" t="s">
        <v>37</v>
      </c>
      <c r="J427" s="8" t="s">
        <v>2055</v>
      </c>
      <c r="K427" s="6"/>
      <c r="L427" s="7">
        <v>42321</v>
      </c>
      <c r="M427" s="6" t="s">
        <v>51</v>
      </c>
      <c r="N427" s="8" t="s">
        <v>2056</v>
      </c>
      <c r="O427" s="6">
        <f>HYPERLINK("https://docs.wto.org/imrd/directdoc.asp?DDFDocuments/t/G/SPS/NRUS105.pdf", "https://docs.wto.org/imrd/directdoc.asp?DDFDocuments/t/G/SPS/NRUS105.pdf")</f>
      </c>
      <c r="P427" s="6">
        <f>HYPERLINK("https://docs.wto.org/imrd/directdoc.asp?DDFDocuments/u/G/SPS/NRUS105.pdf", "https://docs.wto.org/imrd/directdoc.asp?DDFDocuments/u/G/SPS/NRUS105.pdf")</f>
      </c>
      <c r="Q427" s="6">
        <f>HYPERLINK("https://docs.wto.org/imrd/directdoc.asp?DDFDocuments/v/G/SPS/NRUS105.pdf", "https://docs.wto.org/imrd/directdoc.asp?DDFDocuments/v/G/SPS/NRUS105.pdf")</f>
      </c>
      <c r="R427" s="0" t="s">
        <v>36</v>
      </c>
      <c r="S427" s="0" t="s">
        <v>36</v>
      </c>
      <c r="T427" s="0" t="s">
        <v>36</v>
      </c>
      <c r="U427" s="0" t="s">
        <v>36</v>
      </c>
      <c r="V427" s="0" t="s">
        <v>36</v>
      </c>
      <c r="W427" s="0" t="s">
        <v>36</v>
      </c>
      <c r="X427" s="0" t="s">
        <v>36</v>
      </c>
      <c r="Y427" s="2" t="s">
        <v>36</v>
      </c>
      <c r="Z427" s="0" t="s">
        <v>42</v>
      </c>
      <c r="AA427" s="0" t="s">
        <v>43</v>
      </c>
      <c r="AB427" s="0" t="s">
        <v>42</v>
      </c>
      <c r="AC427" s="0" t="s">
        <v>42</v>
      </c>
      <c r="AD427" s="0" t="s">
        <v>43</v>
      </c>
      <c r="AE427" s="2"/>
    </row>
    <row r="428">
      <c r="A428" s="6" t="s">
        <v>31</v>
      </c>
      <c r="B428" s="7">
        <v>42261</v>
      </c>
      <c r="C428" s="9">
        <f>HYPERLINK("https://www.epingalert.org/en/Search?viewData= G/SPS/N/RUS/108"," G/SPS/N/RUS/108")</f>
      </c>
      <c r="D428" s="8" t="s">
        <v>2057</v>
      </c>
      <c r="E428" s="8" t="s">
        <v>2058</v>
      </c>
      <c r="F428" s="8" t="s">
        <v>480</v>
      </c>
      <c r="G428" s="8" t="s">
        <v>484</v>
      </c>
      <c r="H428" s="8" t="s">
        <v>36</v>
      </c>
      <c r="I428" s="8" t="s">
        <v>475</v>
      </c>
      <c r="J428" s="8" t="s">
        <v>2059</v>
      </c>
      <c r="K428" s="6"/>
      <c r="L428" s="7">
        <v>42321</v>
      </c>
      <c r="M428" s="6" t="s">
        <v>51</v>
      </c>
      <c r="N428" s="8" t="s">
        <v>2060</v>
      </c>
      <c r="O428" s="6">
        <f>HYPERLINK("https://docs.wto.org/imrd/directdoc.asp?DDFDocuments/t/G/SPS/NRUS108.pdf", "https://docs.wto.org/imrd/directdoc.asp?DDFDocuments/t/G/SPS/NRUS108.pdf")</f>
      </c>
      <c r="P428" s="6">
        <f>HYPERLINK("https://docs.wto.org/imrd/directdoc.asp?DDFDocuments/u/G/SPS/NRUS108.pdf", "https://docs.wto.org/imrd/directdoc.asp?DDFDocuments/u/G/SPS/NRUS108.pdf")</f>
      </c>
      <c r="Q428" s="6">
        <f>HYPERLINK("https://docs.wto.org/imrd/directdoc.asp?DDFDocuments/v/G/SPS/NRUS108.pdf", "https://docs.wto.org/imrd/directdoc.asp?DDFDocuments/v/G/SPS/NRUS108.pdf")</f>
      </c>
      <c r="R428" s="0" t="s">
        <v>36</v>
      </c>
      <c r="S428" s="0" t="s">
        <v>36</v>
      </c>
      <c r="T428" s="0" t="s">
        <v>36</v>
      </c>
      <c r="U428" s="0" t="s">
        <v>36</v>
      </c>
      <c r="V428" s="0" t="s">
        <v>36</v>
      </c>
      <c r="W428" s="0" t="s">
        <v>36</v>
      </c>
      <c r="X428" s="0" t="s">
        <v>36</v>
      </c>
      <c r="Y428" s="2" t="s">
        <v>36</v>
      </c>
      <c r="Z428" s="0" t="s">
        <v>43</v>
      </c>
      <c r="AA428" s="0" t="s">
        <v>43</v>
      </c>
      <c r="AB428" s="0" t="s">
        <v>42</v>
      </c>
      <c r="AC428" s="0" t="s">
        <v>42</v>
      </c>
      <c r="AD428" s="0" t="s">
        <v>43</v>
      </c>
      <c r="AE428" s="2"/>
    </row>
    <row r="429">
      <c r="A429" s="6" t="s">
        <v>31</v>
      </c>
      <c r="B429" s="7">
        <v>42261</v>
      </c>
      <c r="C429" s="9">
        <f>HYPERLINK("https://www.epingalert.org/en/Search?viewData= G/SPS/N/RUS/107"," G/SPS/N/RUS/107")</f>
      </c>
      <c r="D429" s="8" t="s">
        <v>2061</v>
      </c>
      <c r="E429" s="8" t="s">
        <v>2062</v>
      </c>
      <c r="F429" s="8" t="s">
        <v>2063</v>
      </c>
      <c r="G429" s="8" t="s">
        <v>2054</v>
      </c>
      <c r="H429" s="8" t="s">
        <v>36</v>
      </c>
      <c r="I429" s="8" t="s">
        <v>37</v>
      </c>
      <c r="J429" s="8" t="s">
        <v>2064</v>
      </c>
      <c r="K429" s="6"/>
      <c r="L429" s="7">
        <v>42321</v>
      </c>
      <c r="M429" s="6" t="s">
        <v>51</v>
      </c>
      <c r="N429" s="8" t="s">
        <v>2065</v>
      </c>
      <c r="O429" s="6">
        <f>HYPERLINK("https://docs.wto.org/imrd/directdoc.asp?DDFDocuments/t/G/SPS/NRUS107.pdf", "https://docs.wto.org/imrd/directdoc.asp?DDFDocuments/t/G/SPS/NRUS107.pdf")</f>
      </c>
      <c r="P429" s="6">
        <f>HYPERLINK("https://docs.wto.org/imrd/directdoc.asp?DDFDocuments/u/G/SPS/NRUS107.pdf", "https://docs.wto.org/imrd/directdoc.asp?DDFDocuments/u/G/SPS/NRUS107.pdf")</f>
      </c>
      <c r="Q429" s="6">
        <f>HYPERLINK("https://docs.wto.org/imrd/directdoc.asp?DDFDocuments/v/G/SPS/NRUS107.pdf", "https://docs.wto.org/imrd/directdoc.asp?DDFDocuments/v/G/SPS/NRUS107.pdf")</f>
      </c>
      <c r="R429" s="0" t="s">
        <v>36</v>
      </c>
      <c r="S429" s="0" t="s">
        <v>36</v>
      </c>
      <c r="T429" s="0" t="s">
        <v>36</v>
      </c>
      <c r="U429" s="0" t="s">
        <v>36</v>
      </c>
      <c r="V429" s="0" t="s">
        <v>36</v>
      </c>
      <c r="W429" s="0" t="s">
        <v>36</v>
      </c>
      <c r="X429" s="0" t="s">
        <v>36</v>
      </c>
      <c r="Y429" s="2" t="s">
        <v>36</v>
      </c>
      <c r="Z429" s="0" t="s">
        <v>42</v>
      </c>
      <c r="AA429" s="0" t="s">
        <v>43</v>
      </c>
      <c r="AB429" s="0" t="s">
        <v>42</v>
      </c>
      <c r="AC429" s="0" t="s">
        <v>42</v>
      </c>
      <c r="AD429" s="0" t="s">
        <v>43</v>
      </c>
      <c r="AE429" s="2"/>
    </row>
    <row r="430">
      <c r="A430" s="6" t="s">
        <v>31</v>
      </c>
      <c r="B430" s="7">
        <v>42261</v>
      </c>
      <c r="C430" s="9">
        <f>HYPERLINK("https://www.epingalert.org/en/Search?viewData= G/SPS/N/RUS/106"," G/SPS/N/RUS/106")</f>
      </c>
      <c r="D430" s="8" t="s">
        <v>2066</v>
      </c>
      <c r="E430" s="8" t="s">
        <v>2067</v>
      </c>
      <c r="F430" s="8" t="s">
        <v>269</v>
      </c>
      <c r="G430" s="8" t="s">
        <v>2068</v>
      </c>
      <c r="H430" s="8" t="s">
        <v>36</v>
      </c>
      <c r="I430" s="8" t="s">
        <v>37</v>
      </c>
      <c r="J430" s="8" t="s">
        <v>2055</v>
      </c>
      <c r="K430" s="6"/>
      <c r="L430" s="7">
        <v>42321</v>
      </c>
      <c r="M430" s="6" t="s">
        <v>51</v>
      </c>
      <c r="N430" s="8" t="s">
        <v>2069</v>
      </c>
      <c r="O430" s="6">
        <f>HYPERLINK("https://docs.wto.org/imrd/directdoc.asp?DDFDocuments/t/G/SPS/NRUS106.pdf", "https://docs.wto.org/imrd/directdoc.asp?DDFDocuments/t/G/SPS/NRUS106.pdf")</f>
      </c>
      <c r="P430" s="6">
        <f>HYPERLINK("https://docs.wto.org/imrd/directdoc.asp?DDFDocuments/u/G/SPS/NRUS106.pdf", "https://docs.wto.org/imrd/directdoc.asp?DDFDocuments/u/G/SPS/NRUS106.pdf")</f>
      </c>
      <c r="Q430" s="6">
        <f>HYPERLINK("https://docs.wto.org/imrd/directdoc.asp?DDFDocuments/v/G/SPS/NRUS106.pdf", "https://docs.wto.org/imrd/directdoc.asp?DDFDocuments/v/G/SPS/NRUS106.pdf")</f>
      </c>
      <c r="R430" s="0" t="s">
        <v>36</v>
      </c>
      <c r="S430" s="0" t="s">
        <v>36</v>
      </c>
      <c r="T430" s="0" t="s">
        <v>36</v>
      </c>
      <c r="U430" s="0" t="s">
        <v>36</v>
      </c>
      <c r="V430" s="0" t="s">
        <v>36</v>
      </c>
      <c r="W430" s="0" t="s">
        <v>36</v>
      </c>
      <c r="X430" s="0" t="s">
        <v>36</v>
      </c>
      <c r="Y430" s="2" t="s">
        <v>36</v>
      </c>
      <c r="Z430" s="0" t="s">
        <v>42</v>
      </c>
      <c r="AA430" s="0" t="s">
        <v>43</v>
      </c>
      <c r="AB430" s="0" t="s">
        <v>42</v>
      </c>
      <c r="AC430" s="0" t="s">
        <v>42</v>
      </c>
      <c r="AD430" s="0" t="s">
        <v>43</v>
      </c>
      <c r="AE430" s="2"/>
    </row>
    <row r="431">
      <c r="A431" s="6" t="s">
        <v>31</v>
      </c>
      <c r="B431" s="7">
        <v>42255</v>
      </c>
      <c r="C431" s="9">
        <f>HYPERLINK("https://www.epingalert.org/en/Search?viewData= G/SPS/N/RUS/102/Corr.1"," G/SPS/N/RUS/102/Corr.1")</f>
      </c>
      <c r="D431" s="8" t="s">
        <v>1742</v>
      </c>
      <c r="E431" s="8" t="s">
        <v>2070</v>
      </c>
      <c r="F431" s="8"/>
      <c r="G431" s="8" t="s">
        <v>1735</v>
      </c>
      <c r="H431" s="8" t="s">
        <v>36</v>
      </c>
      <c r="I431" s="8" t="s">
        <v>65</v>
      </c>
      <c r="J431" s="8" t="s">
        <v>409</v>
      </c>
      <c r="K431" s="6"/>
      <c r="L431" s="7" t="s">
        <v>36</v>
      </c>
      <c r="M431" s="6" t="s">
        <v>1736</v>
      </c>
      <c r="N431" s="8" t="s">
        <v>2071</v>
      </c>
      <c r="O431" s="6">
        <f>HYPERLINK("https://docs.wto.org/imrd/directdoc.asp?DDFDocuments/t/G/SPS/NRUS102C1.pdf", "https://docs.wto.org/imrd/directdoc.asp?DDFDocuments/t/G/SPS/NRUS102C1.pdf")</f>
      </c>
      <c r="P431" s="6">
        <f>HYPERLINK("https://docs.wto.org/imrd/directdoc.asp?DDFDocuments/u/G/SPS/NRUS102C1.pdf", "https://docs.wto.org/imrd/directdoc.asp?DDFDocuments/u/G/SPS/NRUS102C1.pdf")</f>
      </c>
      <c r="Q431" s="6">
        <f>HYPERLINK("https://docs.wto.org/imrd/directdoc.asp?DDFDocuments/v/G/SPS/NRUS102C1.pdf", "https://docs.wto.org/imrd/directdoc.asp?DDFDocuments/v/G/SPS/NRUS102C1.pdf")</f>
      </c>
      <c r="R431" s="0" t="s">
        <v>36</v>
      </c>
      <c r="S431" s="0" t="s">
        <v>36</v>
      </c>
      <c r="T431" s="0" t="s">
        <v>36</v>
      </c>
      <c r="U431" s="0" t="s">
        <v>36</v>
      </c>
      <c r="V431" s="0" t="s">
        <v>36</v>
      </c>
      <c r="W431" s="0" t="s">
        <v>36</v>
      </c>
      <c r="X431" s="0" t="s">
        <v>36</v>
      </c>
      <c r="Y431" s="2" t="s">
        <v>36</v>
      </c>
      <c r="Z431" s="0" t="s">
        <v>36</v>
      </c>
      <c r="AA431" s="0" t="s">
        <v>36</v>
      </c>
      <c r="AB431" s="0" t="s">
        <v>36</v>
      </c>
      <c r="AC431" s="0" t="s">
        <v>36</v>
      </c>
      <c r="AD431" s="0" t="s">
        <v>36</v>
      </c>
      <c r="AE431" s="2" t="s">
        <v>36</v>
      </c>
    </row>
    <row r="432">
      <c r="A432" s="6" t="s">
        <v>31</v>
      </c>
      <c r="B432" s="7">
        <v>42251</v>
      </c>
      <c r="C432" s="9">
        <f>HYPERLINK("https://www.epingalert.org/en/Search?viewData= G/SPS/N/RUS/104"," G/SPS/N/RUS/104")</f>
      </c>
      <c r="D432" s="8" t="s">
        <v>2072</v>
      </c>
      <c r="E432" s="8" t="s">
        <v>2073</v>
      </c>
      <c r="F432" s="8" t="s">
        <v>220</v>
      </c>
      <c r="G432" s="8" t="s">
        <v>2074</v>
      </c>
      <c r="H432" s="8" t="s">
        <v>36</v>
      </c>
      <c r="I432" s="8" t="s">
        <v>332</v>
      </c>
      <c r="J432" s="8" t="s">
        <v>2075</v>
      </c>
      <c r="K432" s="6"/>
      <c r="L432" s="7">
        <v>42311</v>
      </c>
      <c r="M432" s="6" t="s">
        <v>51</v>
      </c>
      <c r="N432" s="8" t="s">
        <v>2076</v>
      </c>
      <c r="O432" s="6">
        <f>HYPERLINK("https://docs.wto.org/imrd/directdoc.asp?DDFDocuments/t/G/SPS/NRUS104.pdf", "https://docs.wto.org/imrd/directdoc.asp?DDFDocuments/t/G/SPS/NRUS104.pdf")</f>
      </c>
      <c r="P432" s="6">
        <f>HYPERLINK("https://docs.wto.org/imrd/directdoc.asp?DDFDocuments/u/G/SPS/NRUS104.pdf", "https://docs.wto.org/imrd/directdoc.asp?DDFDocuments/u/G/SPS/NRUS104.pdf")</f>
      </c>
      <c r="Q432" s="6">
        <f>HYPERLINK("https://docs.wto.org/imrd/directdoc.asp?DDFDocuments/v/G/SPS/NRUS104.pdf", "https://docs.wto.org/imrd/directdoc.asp?DDFDocuments/v/G/SPS/NRUS104.pdf")</f>
      </c>
      <c r="R432" s="0" t="s">
        <v>36</v>
      </c>
      <c r="S432" s="0" t="s">
        <v>36</v>
      </c>
      <c r="T432" s="0" t="s">
        <v>36</v>
      </c>
      <c r="U432" s="0" t="s">
        <v>36</v>
      </c>
      <c r="V432" s="0" t="s">
        <v>36</v>
      </c>
      <c r="W432" s="0" t="s">
        <v>36</v>
      </c>
      <c r="X432" s="0" t="s">
        <v>36</v>
      </c>
      <c r="Y432" s="2" t="s">
        <v>36</v>
      </c>
      <c r="Z432" s="0" t="s">
        <v>42</v>
      </c>
      <c r="AA432" s="0" t="s">
        <v>43</v>
      </c>
      <c r="AB432" s="0" t="s">
        <v>42</v>
      </c>
      <c r="AC432" s="0" t="s">
        <v>42</v>
      </c>
      <c r="AD432" s="0" t="s">
        <v>43</v>
      </c>
      <c r="AE432" s="2"/>
    </row>
    <row r="433">
      <c r="A433" s="6" t="s">
        <v>31</v>
      </c>
      <c r="B433" s="7">
        <v>42249</v>
      </c>
      <c r="C433" s="9">
        <f>HYPERLINK("https://www.epingalert.org/en/Search?viewData= G/SPS/N/RUS/103"," G/SPS/N/RUS/103")</f>
      </c>
      <c r="D433" s="8" t="s">
        <v>2077</v>
      </c>
      <c r="E433" s="8" t="s">
        <v>2078</v>
      </c>
      <c r="F433" s="8" t="s">
        <v>220</v>
      </c>
      <c r="G433" s="8" t="s">
        <v>2079</v>
      </c>
      <c r="H433" s="8" t="s">
        <v>36</v>
      </c>
      <c r="I433" s="8" t="s">
        <v>1328</v>
      </c>
      <c r="J433" s="8" t="s">
        <v>2080</v>
      </c>
      <c r="K433" s="6"/>
      <c r="L433" s="7">
        <v>42309</v>
      </c>
      <c r="M433" s="6" t="s">
        <v>51</v>
      </c>
      <c r="N433" s="8" t="s">
        <v>2081</v>
      </c>
      <c r="O433" s="6">
        <f>HYPERLINK("https://docs.wto.org/imrd/directdoc.asp?DDFDocuments/t/G/SPS/NRUS103.pdf", "https://docs.wto.org/imrd/directdoc.asp?DDFDocuments/t/G/SPS/NRUS103.pdf")</f>
      </c>
      <c r="P433" s="6">
        <f>HYPERLINK("https://docs.wto.org/imrd/directdoc.asp?DDFDocuments/u/G/SPS/NRUS103.pdf", "https://docs.wto.org/imrd/directdoc.asp?DDFDocuments/u/G/SPS/NRUS103.pdf")</f>
      </c>
      <c r="Q433" s="6">
        <f>HYPERLINK("https://docs.wto.org/imrd/directdoc.asp?DDFDocuments/v/G/SPS/NRUS103.pdf", "https://docs.wto.org/imrd/directdoc.asp?DDFDocuments/v/G/SPS/NRUS103.pdf")</f>
      </c>
      <c r="R433" s="0" t="s">
        <v>36</v>
      </c>
      <c r="S433" s="0" t="s">
        <v>36</v>
      </c>
      <c r="T433" s="0" t="s">
        <v>36</v>
      </c>
      <c r="U433" s="0" t="s">
        <v>36</v>
      </c>
      <c r="V433" s="0" t="s">
        <v>36</v>
      </c>
      <c r="W433" s="0" t="s">
        <v>36</v>
      </c>
      <c r="X433" s="0" t="s">
        <v>36</v>
      </c>
      <c r="Y433" s="2" t="s">
        <v>36</v>
      </c>
      <c r="Z433" s="0" t="s">
        <v>42</v>
      </c>
      <c r="AA433" s="0" t="s">
        <v>42</v>
      </c>
      <c r="AB433" s="0" t="s">
        <v>42</v>
      </c>
      <c r="AC433" s="0" t="s">
        <v>43</v>
      </c>
      <c r="AD433" s="0" t="s">
        <v>107</v>
      </c>
      <c r="AE433" s="2"/>
    </row>
    <row r="434">
      <c r="A434" s="6" t="s">
        <v>31</v>
      </c>
      <c r="B434" s="7">
        <v>42249</v>
      </c>
      <c r="C434" s="9">
        <f>HYPERLINK("https://www.epingalert.org/en/Search?viewData= G/SPS/N/RUS/102"," G/SPS/N/RUS/102")</f>
      </c>
      <c r="D434" s="8" t="s">
        <v>1742</v>
      </c>
      <c r="E434" s="8" t="s">
        <v>2082</v>
      </c>
      <c r="F434" s="8" t="s">
        <v>1629</v>
      </c>
      <c r="G434" s="8" t="s">
        <v>1735</v>
      </c>
      <c r="H434" s="8" t="s">
        <v>36</v>
      </c>
      <c r="I434" s="8" t="s">
        <v>65</v>
      </c>
      <c r="J434" s="8" t="s">
        <v>1528</v>
      </c>
      <c r="K434" s="6"/>
      <c r="L434" s="7">
        <v>42309</v>
      </c>
      <c r="M434" s="6" t="s">
        <v>51</v>
      </c>
      <c r="N434" s="6"/>
      <c r="O434" s="6">
        <f>HYPERLINK("https://docs.wto.org/imrd/directdoc.asp?DDFDocuments/t/G/SPS/NRUS102.pdf", "https://docs.wto.org/imrd/directdoc.asp?DDFDocuments/t/G/SPS/NRUS102.pdf")</f>
      </c>
      <c r="P434" s="6">
        <f>HYPERLINK("https://docs.wto.org/imrd/directdoc.asp?DDFDocuments/u/G/SPS/NRUS102.pdf", "https://docs.wto.org/imrd/directdoc.asp?DDFDocuments/u/G/SPS/NRUS102.pdf")</f>
      </c>
      <c r="Q434" s="6">
        <f>HYPERLINK("https://docs.wto.org/imrd/directdoc.asp?DDFDocuments/v/G/SPS/NRUS102.pdf", "https://docs.wto.org/imrd/directdoc.asp?DDFDocuments/v/G/SPS/NRUS102.pdf")</f>
      </c>
      <c r="R434" s="0" t="s">
        <v>36</v>
      </c>
      <c r="S434" s="0" t="s">
        <v>36</v>
      </c>
      <c r="T434" s="0" t="s">
        <v>36</v>
      </c>
      <c r="U434" s="0" t="s">
        <v>36</v>
      </c>
      <c r="V434" s="0" t="s">
        <v>36</v>
      </c>
      <c r="W434" s="0" t="s">
        <v>36</v>
      </c>
      <c r="X434" s="0" t="s">
        <v>36</v>
      </c>
      <c r="Y434" s="2" t="s">
        <v>36</v>
      </c>
      <c r="Z434" s="0" t="s">
        <v>42</v>
      </c>
      <c r="AA434" s="0" t="s">
        <v>42</v>
      </c>
      <c r="AB434" s="0" t="s">
        <v>43</v>
      </c>
      <c r="AC434" s="0" t="s">
        <v>42</v>
      </c>
      <c r="AD434" s="0" t="s">
        <v>43</v>
      </c>
      <c r="AE434" s="2"/>
    </row>
    <row r="435">
      <c r="A435" s="6" t="s">
        <v>31</v>
      </c>
      <c r="B435" s="7">
        <v>42237</v>
      </c>
      <c r="C435" s="9">
        <f>HYPERLINK("https://www.epingalert.org/en/Search?viewData= G/SPS/N/RUS/67/Add.2"," G/SPS/N/RUS/67/Add.2")</f>
      </c>
      <c r="D435" s="8" t="s">
        <v>2083</v>
      </c>
      <c r="E435" s="8" t="s">
        <v>2084</v>
      </c>
      <c r="F435" s="8"/>
      <c r="G435" s="8" t="s">
        <v>2085</v>
      </c>
      <c r="H435" s="8" t="s">
        <v>36</v>
      </c>
      <c r="I435" s="8" t="s">
        <v>505</v>
      </c>
      <c r="J435" s="8" t="s">
        <v>1696</v>
      </c>
      <c r="K435" s="6"/>
      <c r="L435" s="7" t="s">
        <v>36</v>
      </c>
      <c r="M435" s="6" t="s">
        <v>179</v>
      </c>
      <c r="N435" s="6"/>
      <c r="O435" s="6">
        <f>HYPERLINK("https://docs.wto.org/imrd/directdoc.asp?DDFDocuments/t/G/SPS/NRUS67A2.pdf", "https://docs.wto.org/imrd/directdoc.asp?DDFDocuments/t/G/SPS/NRUS67A2.pdf")</f>
      </c>
      <c r="P435" s="6">
        <f>HYPERLINK("https://docs.wto.org/imrd/directdoc.asp?DDFDocuments/u/G/SPS/NRUS67A2.pdf", "https://docs.wto.org/imrd/directdoc.asp?DDFDocuments/u/G/SPS/NRUS67A2.pdf")</f>
      </c>
      <c r="Q435" s="6">
        <f>HYPERLINK("https://docs.wto.org/imrd/directdoc.asp?DDFDocuments/v/G/SPS/NRUS67A2.pdf", "https://docs.wto.org/imrd/directdoc.asp?DDFDocuments/v/G/SPS/NRUS67A2.pdf")</f>
      </c>
      <c r="R435" s="0" t="s">
        <v>36</v>
      </c>
      <c r="S435" s="0" t="s">
        <v>36</v>
      </c>
      <c r="T435" s="0" t="s">
        <v>36</v>
      </c>
      <c r="U435" s="0" t="s">
        <v>36</v>
      </c>
      <c r="V435" s="0" t="s">
        <v>36</v>
      </c>
      <c r="W435" s="0" t="s">
        <v>36</v>
      </c>
      <c r="X435" s="0" t="s">
        <v>36</v>
      </c>
      <c r="Y435" s="2" t="s">
        <v>36</v>
      </c>
      <c r="Z435" s="0" t="s">
        <v>36</v>
      </c>
      <c r="AA435" s="0" t="s">
        <v>36</v>
      </c>
      <c r="AB435" s="0" t="s">
        <v>36</v>
      </c>
      <c r="AC435" s="0" t="s">
        <v>36</v>
      </c>
      <c r="AD435" s="0" t="s">
        <v>36</v>
      </c>
      <c r="AE435" s="2" t="s">
        <v>36</v>
      </c>
    </row>
    <row r="436">
      <c r="A436" s="6" t="s">
        <v>31</v>
      </c>
      <c r="B436" s="7">
        <v>42222</v>
      </c>
      <c r="C436" s="9">
        <f>HYPERLINK("https://www.epingalert.org/en/Search?viewData= G/SPS/N/RUS/100"," G/SPS/N/RUS/100")</f>
      </c>
      <c r="D436" s="8" t="s">
        <v>2086</v>
      </c>
      <c r="E436" s="8" t="s">
        <v>2087</v>
      </c>
      <c r="F436" s="8" t="s">
        <v>2088</v>
      </c>
      <c r="G436" s="8" t="s">
        <v>1666</v>
      </c>
      <c r="H436" s="8" t="s">
        <v>36</v>
      </c>
      <c r="I436" s="8" t="s">
        <v>37</v>
      </c>
      <c r="J436" s="8" t="s">
        <v>1098</v>
      </c>
      <c r="K436" s="6"/>
      <c r="L436" s="7">
        <v>42276</v>
      </c>
      <c r="M436" s="6" t="s">
        <v>51</v>
      </c>
      <c r="N436" s="8" t="s">
        <v>2089</v>
      </c>
      <c r="O436" s="6">
        <f>HYPERLINK("https://docs.wto.org/imrd/directdoc.asp?DDFDocuments/t/G/SPS/NRUS100.pdf", "https://docs.wto.org/imrd/directdoc.asp?DDFDocuments/t/G/SPS/NRUS100.pdf")</f>
      </c>
      <c r="P436" s="6">
        <f>HYPERLINK("https://docs.wto.org/imrd/directdoc.asp?DDFDocuments/u/G/SPS/NRUS100.pdf", "https://docs.wto.org/imrd/directdoc.asp?DDFDocuments/u/G/SPS/NRUS100.pdf")</f>
      </c>
      <c r="Q436" s="6">
        <f>HYPERLINK("https://docs.wto.org/imrd/directdoc.asp?DDFDocuments/v/G/SPS/NRUS100.pdf", "https://docs.wto.org/imrd/directdoc.asp?DDFDocuments/v/G/SPS/NRUS100.pdf")</f>
      </c>
      <c r="R436" s="0" t="s">
        <v>36</v>
      </c>
      <c r="S436" s="0" t="s">
        <v>36</v>
      </c>
      <c r="T436" s="0" t="s">
        <v>36</v>
      </c>
      <c r="U436" s="0" t="s">
        <v>36</v>
      </c>
      <c r="V436" s="0" t="s">
        <v>36</v>
      </c>
      <c r="W436" s="0" t="s">
        <v>36</v>
      </c>
      <c r="X436" s="0" t="s">
        <v>36</v>
      </c>
      <c r="Y436" s="2" t="s">
        <v>36</v>
      </c>
      <c r="Z436" s="0" t="s">
        <v>42</v>
      </c>
      <c r="AA436" s="0" t="s">
        <v>43</v>
      </c>
      <c r="AB436" s="0" t="s">
        <v>42</v>
      </c>
      <c r="AC436" s="0" t="s">
        <v>42</v>
      </c>
      <c r="AD436" s="0" t="s">
        <v>43</v>
      </c>
      <c r="AE436" s="2"/>
    </row>
    <row r="437">
      <c r="A437" s="6" t="s">
        <v>31</v>
      </c>
      <c r="B437" s="7">
        <v>42222</v>
      </c>
      <c r="C437" s="9">
        <f>HYPERLINK("https://www.epingalert.org/en/Search?viewData= G/SPS/N/RUS/101"," G/SPS/N/RUS/101")</f>
      </c>
      <c r="D437" s="8" t="s">
        <v>2090</v>
      </c>
      <c r="E437" s="8" t="s">
        <v>2091</v>
      </c>
      <c r="F437" s="8" t="s">
        <v>2088</v>
      </c>
      <c r="G437" s="8" t="s">
        <v>1666</v>
      </c>
      <c r="H437" s="8" t="s">
        <v>36</v>
      </c>
      <c r="I437" s="8" t="s">
        <v>37</v>
      </c>
      <c r="J437" s="8" t="s">
        <v>1098</v>
      </c>
      <c r="K437" s="6"/>
      <c r="L437" s="7">
        <v>42276</v>
      </c>
      <c r="M437" s="6" t="s">
        <v>51</v>
      </c>
      <c r="N437" s="8" t="s">
        <v>2089</v>
      </c>
      <c r="O437" s="6">
        <f>HYPERLINK("https://docs.wto.org/imrd/directdoc.asp?DDFDocuments/t/G/SPS/NRUS101.pdf", "https://docs.wto.org/imrd/directdoc.asp?DDFDocuments/t/G/SPS/NRUS101.pdf")</f>
      </c>
      <c r="P437" s="6">
        <f>HYPERLINK("https://docs.wto.org/imrd/directdoc.asp?DDFDocuments/u/G/SPS/NRUS101.pdf", "https://docs.wto.org/imrd/directdoc.asp?DDFDocuments/u/G/SPS/NRUS101.pdf")</f>
      </c>
      <c r="Q437" s="6">
        <f>HYPERLINK("https://docs.wto.org/imrd/directdoc.asp?DDFDocuments/v/G/SPS/NRUS101.pdf", "https://docs.wto.org/imrd/directdoc.asp?DDFDocuments/v/G/SPS/NRUS101.pdf")</f>
      </c>
      <c r="R437" s="0" t="s">
        <v>36</v>
      </c>
      <c r="S437" s="0" t="s">
        <v>36</v>
      </c>
      <c r="T437" s="0" t="s">
        <v>36</v>
      </c>
      <c r="U437" s="0" t="s">
        <v>36</v>
      </c>
      <c r="V437" s="0" t="s">
        <v>36</v>
      </c>
      <c r="W437" s="0" t="s">
        <v>36</v>
      </c>
      <c r="X437" s="0" t="s">
        <v>36</v>
      </c>
      <c r="Y437" s="2" t="s">
        <v>36</v>
      </c>
      <c r="Z437" s="0" t="s">
        <v>42</v>
      </c>
      <c r="AA437" s="0" t="s">
        <v>43</v>
      </c>
      <c r="AB437" s="0" t="s">
        <v>42</v>
      </c>
      <c r="AC437" s="0" t="s">
        <v>42</v>
      </c>
      <c r="AD437" s="0" t="s">
        <v>43</v>
      </c>
      <c r="AE437" s="2"/>
    </row>
    <row r="438">
      <c r="A438" s="6" t="s">
        <v>31</v>
      </c>
      <c r="B438" s="7">
        <v>42221</v>
      </c>
      <c r="C438" s="9">
        <f>HYPERLINK("https://www.epingalert.org/en/Search?viewData= G/SPS/N/RUS/99"," G/SPS/N/RUS/99")</f>
      </c>
      <c r="D438" s="8" t="s">
        <v>2092</v>
      </c>
      <c r="E438" s="8" t="s">
        <v>2093</v>
      </c>
      <c r="F438" s="8" t="s">
        <v>2094</v>
      </c>
      <c r="G438" s="8" t="s">
        <v>2095</v>
      </c>
      <c r="H438" s="8" t="s">
        <v>36</v>
      </c>
      <c r="I438" s="8" t="s">
        <v>332</v>
      </c>
      <c r="J438" s="8" t="s">
        <v>2096</v>
      </c>
      <c r="K438" s="6" t="s">
        <v>136</v>
      </c>
      <c r="L438" s="7" t="s">
        <v>36</v>
      </c>
      <c r="M438" s="6" t="s">
        <v>51</v>
      </c>
      <c r="N438" s="8" t="s">
        <v>2097</v>
      </c>
      <c r="O438" s="6">
        <f>HYPERLINK("https://docs.wto.org/imrd/directdoc.asp?DDFDocuments/t/G/SPS/NRUS99.pdf", "https://docs.wto.org/imrd/directdoc.asp?DDFDocuments/t/G/SPS/NRUS99.pdf")</f>
      </c>
      <c r="P438" s="6">
        <f>HYPERLINK("https://docs.wto.org/imrd/directdoc.asp?DDFDocuments/u/G/SPS/NRUS99.pdf", "https://docs.wto.org/imrd/directdoc.asp?DDFDocuments/u/G/SPS/NRUS99.pdf")</f>
      </c>
      <c r="Q438" s="6">
        <f>HYPERLINK("https://docs.wto.org/imrd/directdoc.asp?DDFDocuments/v/G/SPS/NRUS99.pdf", "https://docs.wto.org/imrd/directdoc.asp?DDFDocuments/v/G/SPS/NRUS99.pdf")</f>
      </c>
      <c r="R438" s="0" t="s">
        <v>36</v>
      </c>
      <c r="S438" s="0" t="s">
        <v>36</v>
      </c>
      <c r="T438" s="0" t="s">
        <v>36</v>
      </c>
      <c r="U438" s="0" t="s">
        <v>36</v>
      </c>
      <c r="V438" s="0" t="s">
        <v>36</v>
      </c>
      <c r="W438" s="0" t="s">
        <v>36</v>
      </c>
      <c r="X438" s="0" t="s">
        <v>36</v>
      </c>
      <c r="Y438" s="2" t="s">
        <v>36</v>
      </c>
      <c r="Z438" s="0" t="s">
        <v>42</v>
      </c>
      <c r="AA438" s="0" t="s">
        <v>43</v>
      </c>
      <c r="AB438" s="0" t="s">
        <v>42</v>
      </c>
      <c r="AC438" s="0" t="s">
        <v>42</v>
      </c>
      <c r="AD438" s="0" t="s">
        <v>43</v>
      </c>
      <c r="AE438" s="2"/>
    </row>
    <row r="439">
      <c r="A439" s="6" t="s">
        <v>31</v>
      </c>
      <c r="B439" s="7">
        <v>42220</v>
      </c>
      <c r="C439" s="9">
        <f>HYPERLINK("https://www.epingalert.org/en/Search?viewData= G/SPS/N/RUS/98"," G/SPS/N/RUS/98")</f>
      </c>
      <c r="D439" s="8" t="s">
        <v>2098</v>
      </c>
      <c r="E439" s="8" t="s">
        <v>2099</v>
      </c>
      <c r="F439" s="8" t="s">
        <v>2100</v>
      </c>
      <c r="G439" s="8" t="s">
        <v>2101</v>
      </c>
      <c r="H439" s="8" t="s">
        <v>36</v>
      </c>
      <c r="I439" s="8" t="s">
        <v>37</v>
      </c>
      <c r="J439" s="8" t="s">
        <v>271</v>
      </c>
      <c r="K439" s="6" t="s">
        <v>2102</v>
      </c>
      <c r="L439" s="7" t="s">
        <v>36</v>
      </c>
      <c r="M439" s="6" t="s">
        <v>40</v>
      </c>
      <c r="N439" s="8" t="s">
        <v>2103</v>
      </c>
      <c r="O439" s="6">
        <f>HYPERLINK("https://docs.wto.org/imrd/directdoc.asp?DDFDocuments/t/G/SPS/NRUS98.pdf", "https://docs.wto.org/imrd/directdoc.asp?DDFDocuments/t/G/SPS/NRUS98.pdf")</f>
      </c>
      <c r="P439" s="6">
        <f>HYPERLINK("https://docs.wto.org/imrd/directdoc.asp?DDFDocuments/u/G/SPS/NRUS98.pdf", "https://docs.wto.org/imrd/directdoc.asp?DDFDocuments/u/G/SPS/NRUS98.pdf")</f>
      </c>
      <c r="Q439" s="6">
        <f>HYPERLINK("https://docs.wto.org/imrd/directdoc.asp?DDFDocuments/v/G/SPS/NRUS98.pdf", "https://docs.wto.org/imrd/directdoc.asp?DDFDocuments/v/G/SPS/NRUS98.pdf")</f>
      </c>
      <c r="R439" s="0" t="s">
        <v>36</v>
      </c>
      <c r="S439" s="0" t="s">
        <v>36</v>
      </c>
      <c r="T439" s="0" t="s">
        <v>36</v>
      </c>
      <c r="U439" s="0" t="s">
        <v>36</v>
      </c>
      <c r="V439" s="0" t="s">
        <v>36</v>
      </c>
      <c r="W439" s="0" t="s">
        <v>36</v>
      </c>
      <c r="X439" s="0" t="s">
        <v>36</v>
      </c>
      <c r="Y439" s="2" t="s">
        <v>36</v>
      </c>
      <c r="Z439" s="0" t="s">
        <v>42</v>
      </c>
      <c r="AA439" s="0" t="s">
        <v>43</v>
      </c>
      <c r="AB439" s="0" t="s">
        <v>42</v>
      </c>
      <c r="AC439" s="0" t="s">
        <v>42</v>
      </c>
      <c r="AD439" s="0" t="s">
        <v>43</v>
      </c>
      <c r="AE439" s="2"/>
    </row>
    <row r="440">
      <c r="A440" s="6" t="s">
        <v>31</v>
      </c>
      <c r="B440" s="7">
        <v>42215</v>
      </c>
      <c r="C440" s="9">
        <f>HYPERLINK("https://www.epingalert.org/en/Search?viewData= G/SPS/N/RUS/97"," G/SPS/N/RUS/97")</f>
      </c>
      <c r="D440" s="8" t="s">
        <v>2104</v>
      </c>
      <c r="E440" s="8" t="s">
        <v>2105</v>
      </c>
      <c r="F440" s="8" t="s">
        <v>2106</v>
      </c>
      <c r="G440" s="8" t="s">
        <v>2107</v>
      </c>
      <c r="H440" s="8" t="s">
        <v>36</v>
      </c>
      <c r="I440" s="8" t="s">
        <v>332</v>
      </c>
      <c r="J440" s="8" t="s">
        <v>2108</v>
      </c>
      <c r="K440" s="6"/>
      <c r="L440" s="7">
        <v>42266</v>
      </c>
      <c r="M440" s="6" t="s">
        <v>51</v>
      </c>
      <c r="N440" s="8" t="s">
        <v>2089</v>
      </c>
      <c r="O440" s="6">
        <f>HYPERLINK("https://docs.wto.org/imrd/directdoc.asp?DDFDocuments/t/G/SPS/NRUS97.pdf", "https://docs.wto.org/imrd/directdoc.asp?DDFDocuments/t/G/SPS/NRUS97.pdf")</f>
      </c>
      <c r="P440" s="6">
        <f>HYPERLINK("https://docs.wto.org/imrd/directdoc.asp?DDFDocuments/u/G/SPS/NRUS97.pdf", "https://docs.wto.org/imrd/directdoc.asp?DDFDocuments/u/G/SPS/NRUS97.pdf")</f>
      </c>
      <c r="Q440" s="6">
        <f>HYPERLINK("https://docs.wto.org/imrd/directdoc.asp?DDFDocuments/v/G/SPS/NRUS97.pdf", "https://docs.wto.org/imrd/directdoc.asp?DDFDocuments/v/G/SPS/NRUS97.pdf")</f>
      </c>
      <c r="R440" s="0" t="s">
        <v>36</v>
      </c>
      <c r="S440" s="0" t="s">
        <v>36</v>
      </c>
      <c r="T440" s="0" t="s">
        <v>36</v>
      </c>
      <c r="U440" s="0" t="s">
        <v>36</v>
      </c>
      <c r="V440" s="0" t="s">
        <v>36</v>
      </c>
      <c r="W440" s="0" t="s">
        <v>36</v>
      </c>
      <c r="X440" s="0" t="s">
        <v>36</v>
      </c>
      <c r="Y440" s="2" t="s">
        <v>36</v>
      </c>
      <c r="Z440" s="0" t="s">
        <v>42</v>
      </c>
      <c r="AA440" s="0" t="s">
        <v>43</v>
      </c>
      <c r="AB440" s="0" t="s">
        <v>42</v>
      </c>
      <c r="AC440" s="0" t="s">
        <v>42</v>
      </c>
      <c r="AD440" s="0" t="s">
        <v>43</v>
      </c>
      <c r="AE440" s="2"/>
    </row>
    <row r="441">
      <c r="A441" s="6" t="s">
        <v>31</v>
      </c>
      <c r="B441" s="7">
        <v>42201</v>
      </c>
      <c r="C441" s="9">
        <f>HYPERLINK("https://www.epingalert.org/en/Search?viewData= G/TBT/N/RUS/42"," G/TBT/N/RUS/42")</f>
      </c>
      <c r="D441" s="8" t="s">
        <v>2109</v>
      </c>
      <c r="E441" s="8" t="s">
        <v>2110</v>
      </c>
      <c r="F441" s="8" t="s">
        <v>873</v>
      </c>
      <c r="G441" s="8" t="s">
        <v>36</v>
      </c>
      <c r="H441" s="8" t="s">
        <v>874</v>
      </c>
      <c r="I441" s="8" t="s">
        <v>796</v>
      </c>
      <c r="J441" s="8" t="s">
        <v>36</v>
      </c>
      <c r="K441" s="6"/>
      <c r="L441" s="7">
        <v>42257</v>
      </c>
      <c r="M441" s="6" t="s">
        <v>51</v>
      </c>
      <c r="N441" s="6"/>
      <c r="O441" s="6">
        <f>HYPERLINK("https://docs.wto.org/imrd/directdoc.asp?DDFDocuments/t/G/TBTN15/RUS42.DOC", "https://docs.wto.org/imrd/directdoc.asp?DDFDocuments/t/G/TBTN15/RUS42.DOC")</f>
      </c>
      <c r="P441" s="6">
        <f>HYPERLINK("https://docs.wto.org/imrd/directdoc.asp?DDFDocuments/u/G/TBTN15/RUS42.DOC", "https://docs.wto.org/imrd/directdoc.asp?DDFDocuments/u/G/TBTN15/RUS42.DOC")</f>
      </c>
      <c r="Q441" s="6">
        <f>HYPERLINK("https://docs.wto.org/imrd/directdoc.asp?DDFDocuments/v/G/TBTN15/RUS42.DOC", "https://docs.wto.org/imrd/directdoc.asp?DDFDocuments/v/G/TBTN15/RUS42.DOC")</f>
      </c>
      <c r="R441" s="0" t="s">
        <v>43</v>
      </c>
      <c r="S441" s="0" t="s">
        <v>42</v>
      </c>
      <c r="T441" s="0" t="s">
        <v>43</v>
      </c>
      <c r="U441" s="0" t="s">
        <v>42</v>
      </c>
      <c r="V441" s="0" t="s">
        <v>42</v>
      </c>
      <c r="W441" s="0" t="s">
        <v>42</v>
      </c>
      <c r="X441" s="0" t="s">
        <v>42</v>
      </c>
      <c r="Y441" s="2" t="s">
        <v>2111</v>
      </c>
      <c r="Z441" s="0" t="s">
        <v>36</v>
      </c>
      <c r="AA441" s="0" t="s">
        <v>36</v>
      </c>
      <c r="AB441" s="0" t="s">
        <v>36</v>
      </c>
      <c r="AC441" s="0" t="s">
        <v>36</v>
      </c>
      <c r="AD441" s="0" t="s">
        <v>36</v>
      </c>
      <c r="AE441" s="2" t="s">
        <v>36</v>
      </c>
    </row>
    <row r="442">
      <c r="A442" s="6" t="s">
        <v>31</v>
      </c>
      <c r="B442" s="7">
        <v>42201</v>
      </c>
      <c r="C442" s="9">
        <f>HYPERLINK("https://www.epingalert.org/en/Search?viewData= G/TBT/N/RUS/44"," G/TBT/N/RUS/44")</f>
      </c>
      <c r="D442" s="8" t="s">
        <v>2112</v>
      </c>
      <c r="E442" s="8" t="s">
        <v>2113</v>
      </c>
      <c r="F442" s="8" t="s">
        <v>2114</v>
      </c>
      <c r="G442" s="8" t="s">
        <v>36</v>
      </c>
      <c r="H442" s="8" t="s">
        <v>2115</v>
      </c>
      <c r="I442" s="8" t="s">
        <v>1637</v>
      </c>
      <c r="J442" s="8" t="s">
        <v>36</v>
      </c>
      <c r="K442" s="6"/>
      <c r="L442" s="7">
        <v>42257</v>
      </c>
      <c r="M442" s="6" t="s">
        <v>51</v>
      </c>
      <c r="N442" s="6"/>
      <c r="O442" s="6">
        <f>HYPERLINK("https://docs.wto.org/imrd/directdoc.asp?DDFDocuments/t/G/TBTN15/RUS44.DOC", "https://docs.wto.org/imrd/directdoc.asp?DDFDocuments/t/G/TBTN15/RUS44.DOC")</f>
      </c>
      <c r="P442" s="6">
        <f>HYPERLINK("https://docs.wto.org/imrd/directdoc.asp?DDFDocuments/u/G/TBTN15/RUS44.DOC", "https://docs.wto.org/imrd/directdoc.asp?DDFDocuments/u/G/TBTN15/RUS44.DOC")</f>
      </c>
      <c r="Q442" s="6">
        <f>HYPERLINK("https://docs.wto.org/imrd/directdoc.asp?DDFDocuments/v/G/TBTN15/RUS44.DOC", "https://docs.wto.org/imrd/directdoc.asp?DDFDocuments/v/G/TBTN15/RUS44.DOC")</f>
      </c>
      <c r="R442" s="0" t="s">
        <v>43</v>
      </c>
      <c r="S442" s="0" t="s">
        <v>42</v>
      </c>
      <c r="T442" s="0" t="s">
        <v>43</v>
      </c>
      <c r="U442" s="0" t="s">
        <v>42</v>
      </c>
      <c r="V442" s="0" t="s">
        <v>42</v>
      </c>
      <c r="W442" s="0" t="s">
        <v>42</v>
      </c>
      <c r="X442" s="0" t="s">
        <v>42</v>
      </c>
      <c r="Y442" s="2" t="s">
        <v>2116</v>
      </c>
      <c r="Z442" s="0" t="s">
        <v>36</v>
      </c>
      <c r="AA442" s="0" t="s">
        <v>36</v>
      </c>
      <c r="AB442" s="0" t="s">
        <v>36</v>
      </c>
      <c r="AC442" s="0" t="s">
        <v>36</v>
      </c>
      <c r="AD442" s="0" t="s">
        <v>36</v>
      </c>
      <c r="AE442" s="2" t="s">
        <v>36</v>
      </c>
    </row>
    <row r="443">
      <c r="A443" s="6" t="s">
        <v>31</v>
      </c>
      <c r="B443" s="7">
        <v>42201</v>
      </c>
      <c r="C443" s="9">
        <f>HYPERLINK("https://www.epingalert.org/en/Search?viewData= G/TBT/N/RUS/45"," G/TBT/N/RUS/45")</f>
      </c>
      <c r="D443" s="8" t="s">
        <v>2117</v>
      </c>
      <c r="E443" s="8" t="s">
        <v>2118</v>
      </c>
      <c r="F443" s="8" t="s">
        <v>2119</v>
      </c>
      <c r="G443" s="8" t="s">
        <v>36</v>
      </c>
      <c r="H443" s="8" t="s">
        <v>2115</v>
      </c>
      <c r="I443" s="8" t="s">
        <v>1637</v>
      </c>
      <c r="J443" s="8" t="s">
        <v>36</v>
      </c>
      <c r="K443" s="6"/>
      <c r="L443" s="7">
        <v>42257</v>
      </c>
      <c r="M443" s="6" t="s">
        <v>51</v>
      </c>
      <c r="N443" s="6"/>
      <c r="O443" s="6">
        <f>HYPERLINK("https://docs.wto.org/imrd/directdoc.asp?DDFDocuments/t/G/TBTN15/RUS45.DOC", "https://docs.wto.org/imrd/directdoc.asp?DDFDocuments/t/G/TBTN15/RUS45.DOC")</f>
      </c>
      <c r="P443" s="6">
        <f>HYPERLINK("https://docs.wto.org/imrd/directdoc.asp?DDFDocuments/u/G/TBTN15/RUS45.DOC", "https://docs.wto.org/imrd/directdoc.asp?DDFDocuments/u/G/TBTN15/RUS45.DOC")</f>
      </c>
      <c r="Q443" s="6">
        <f>HYPERLINK("https://docs.wto.org/imrd/directdoc.asp?DDFDocuments/v/G/TBTN15/RUS45.DOC", "https://docs.wto.org/imrd/directdoc.asp?DDFDocuments/v/G/TBTN15/RUS45.DOC")</f>
      </c>
      <c r="R443" s="0" t="s">
        <v>43</v>
      </c>
      <c r="S443" s="0" t="s">
        <v>42</v>
      </c>
      <c r="T443" s="0" t="s">
        <v>43</v>
      </c>
      <c r="U443" s="0" t="s">
        <v>42</v>
      </c>
      <c r="V443" s="0" t="s">
        <v>42</v>
      </c>
      <c r="W443" s="0" t="s">
        <v>42</v>
      </c>
      <c r="X443" s="0" t="s">
        <v>42</v>
      </c>
      <c r="Y443" s="2" t="s">
        <v>2120</v>
      </c>
      <c r="Z443" s="0" t="s">
        <v>36</v>
      </c>
      <c r="AA443" s="0" t="s">
        <v>36</v>
      </c>
      <c r="AB443" s="0" t="s">
        <v>36</v>
      </c>
      <c r="AC443" s="0" t="s">
        <v>36</v>
      </c>
      <c r="AD443" s="0" t="s">
        <v>36</v>
      </c>
      <c r="AE443" s="2" t="s">
        <v>36</v>
      </c>
    </row>
    <row r="444">
      <c r="A444" s="6" t="s">
        <v>31</v>
      </c>
      <c r="B444" s="7">
        <v>42201</v>
      </c>
      <c r="C444" s="9">
        <f>HYPERLINK("https://www.epingalert.org/en/Search?viewData= G/TBT/N/RUS/43"," G/TBT/N/RUS/43")</f>
      </c>
      <c r="D444" s="8" t="s">
        <v>2121</v>
      </c>
      <c r="E444" s="8" t="s">
        <v>2122</v>
      </c>
      <c r="F444" s="8" t="s">
        <v>2123</v>
      </c>
      <c r="G444" s="8" t="s">
        <v>36</v>
      </c>
      <c r="H444" s="8" t="s">
        <v>2124</v>
      </c>
      <c r="I444" s="8" t="s">
        <v>2125</v>
      </c>
      <c r="J444" s="8" t="s">
        <v>36</v>
      </c>
      <c r="K444" s="6"/>
      <c r="L444" s="7">
        <v>42257</v>
      </c>
      <c r="M444" s="6" t="s">
        <v>51</v>
      </c>
      <c r="N444" s="6"/>
      <c r="O444" s="6">
        <f>HYPERLINK("https://docs.wto.org/imrd/directdoc.asp?DDFDocuments/t/G/TBTN15/RUS43.DOC", "https://docs.wto.org/imrd/directdoc.asp?DDFDocuments/t/G/TBTN15/RUS43.DOC")</f>
      </c>
      <c r="P444" s="6">
        <f>HYPERLINK("https://docs.wto.org/imrd/directdoc.asp?DDFDocuments/u/G/TBTN15/RUS43.DOC", "https://docs.wto.org/imrd/directdoc.asp?DDFDocuments/u/G/TBTN15/RUS43.DOC")</f>
      </c>
      <c r="Q444" s="6">
        <f>HYPERLINK("https://docs.wto.org/imrd/directdoc.asp?DDFDocuments/v/G/TBTN15/RUS43.DOC", "https://docs.wto.org/imrd/directdoc.asp?DDFDocuments/v/G/TBTN15/RUS43.DOC")</f>
      </c>
      <c r="R444" s="0" t="s">
        <v>43</v>
      </c>
      <c r="S444" s="0" t="s">
        <v>42</v>
      </c>
      <c r="T444" s="0" t="s">
        <v>42</v>
      </c>
      <c r="U444" s="0" t="s">
        <v>42</v>
      </c>
      <c r="V444" s="0" t="s">
        <v>42</v>
      </c>
      <c r="W444" s="0" t="s">
        <v>42</v>
      </c>
      <c r="X444" s="0" t="s">
        <v>42</v>
      </c>
      <c r="Y444" s="2" t="s">
        <v>2126</v>
      </c>
      <c r="Z444" s="0" t="s">
        <v>36</v>
      </c>
      <c r="AA444" s="0" t="s">
        <v>36</v>
      </c>
      <c r="AB444" s="0" t="s">
        <v>36</v>
      </c>
      <c r="AC444" s="0" t="s">
        <v>36</v>
      </c>
      <c r="AD444" s="0" t="s">
        <v>36</v>
      </c>
      <c r="AE444" s="2" t="s">
        <v>36</v>
      </c>
    </row>
    <row r="445">
      <c r="A445" s="6" t="s">
        <v>31</v>
      </c>
      <c r="B445" s="7">
        <v>42195</v>
      </c>
      <c r="C445" s="9">
        <f>HYPERLINK("https://www.epingalert.org/en/Search?viewData= G/SPS/N/RUS/96"," G/SPS/N/RUS/96")</f>
      </c>
      <c r="D445" s="8" t="s">
        <v>2127</v>
      </c>
      <c r="E445" s="8" t="s">
        <v>2128</v>
      </c>
      <c r="F445" s="8" t="s">
        <v>2129</v>
      </c>
      <c r="G445" s="8" t="s">
        <v>2130</v>
      </c>
      <c r="H445" s="8" t="s">
        <v>36</v>
      </c>
      <c r="I445" s="8" t="s">
        <v>97</v>
      </c>
      <c r="J445" s="8" t="s">
        <v>2131</v>
      </c>
      <c r="K445" s="6" t="s">
        <v>2132</v>
      </c>
      <c r="L445" s="7">
        <v>42255</v>
      </c>
      <c r="M445" s="6" t="s">
        <v>51</v>
      </c>
      <c r="N445" s="6"/>
      <c r="O445" s="6">
        <f>HYPERLINK("https://docs.wto.org/imrd/directdoc.asp?DDFDocuments/t/G/SPS/NRUS96.pdf", "https://docs.wto.org/imrd/directdoc.asp?DDFDocuments/t/G/SPS/NRUS96.pdf")</f>
      </c>
      <c r="P445" s="6">
        <f>HYPERLINK("https://docs.wto.org/imrd/directdoc.asp?DDFDocuments/u/G/SPS/NRUS96.pdf", "https://docs.wto.org/imrd/directdoc.asp?DDFDocuments/u/G/SPS/NRUS96.pdf")</f>
      </c>
      <c r="Q445" s="6">
        <f>HYPERLINK("https://docs.wto.org/imrd/directdoc.asp?DDFDocuments/v/G/SPS/NRUS96.pdf", "https://docs.wto.org/imrd/directdoc.asp?DDFDocuments/v/G/SPS/NRUS96.pdf")</f>
      </c>
      <c r="R445" s="0" t="s">
        <v>36</v>
      </c>
      <c r="S445" s="0" t="s">
        <v>36</v>
      </c>
      <c r="T445" s="0" t="s">
        <v>36</v>
      </c>
      <c r="U445" s="0" t="s">
        <v>36</v>
      </c>
      <c r="V445" s="0" t="s">
        <v>36</v>
      </c>
      <c r="W445" s="0" t="s">
        <v>36</v>
      </c>
      <c r="X445" s="0" t="s">
        <v>36</v>
      </c>
      <c r="Y445" s="2" t="s">
        <v>36</v>
      </c>
      <c r="Z445" s="0" t="s">
        <v>42</v>
      </c>
      <c r="AA445" s="0" t="s">
        <v>43</v>
      </c>
      <c r="AB445" s="0" t="s">
        <v>42</v>
      </c>
      <c r="AC445" s="0" t="s">
        <v>42</v>
      </c>
      <c r="AD445" s="0" t="s">
        <v>43</v>
      </c>
      <c r="AE445" s="2"/>
    </row>
    <row r="446">
      <c r="A446" s="6" t="s">
        <v>31</v>
      </c>
      <c r="B446" s="7">
        <v>42171</v>
      </c>
      <c r="C446" s="9">
        <f>HYPERLINK("https://www.epingalert.org/en/Search?viewData= G/SPS/N/RUS/67/Add.1"," G/SPS/N/RUS/67/Add.1")</f>
      </c>
      <c r="D446" s="8" t="s">
        <v>2133</v>
      </c>
      <c r="E446" s="8" t="s">
        <v>2134</v>
      </c>
      <c r="F446" s="8"/>
      <c r="G446" s="8" t="s">
        <v>604</v>
      </c>
      <c r="H446" s="8" t="s">
        <v>36</v>
      </c>
      <c r="I446" s="8" t="s">
        <v>505</v>
      </c>
      <c r="J446" s="8" t="s">
        <v>1696</v>
      </c>
      <c r="K446" s="6"/>
      <c r="L446" s="7" t="s">
        <v>36</v>
      </c>
      <c r="M446" s="6" t="s">
        <v>179</v>
      </c>
      <c r="N446" s="6"/>
      <c r="O446" s="6">
        <f>HYPERLINK("https://docs.wto.org/imrd/directdoc.asp?DDFDocuments/t/G/SPS/NRUS67A1.pdf", "https://docs.wto.org/imrd/directdoc.asp?DDFDocuments/t/G/SPS/NRUS67A1.pdf")</f>
      </c>
      <c r="P446" s="6">
        <f>HYPERLINK("https://docs.wto.org/imrd/directdoc.asp?DDFDocuments/u/G/SPS/NRUS67A1.pdf", "https://docs.wto.org/imrd/directdoc.asp?DDFDocuments/u/G/SPS/NRUS67A1.pdf")</f>
      </c>
      <c r="Q446" s="6">
        <f>HYPERLINK("https://docs.wto.org/imrd/directdoc.asp?DDFDocuments/v/G/SPS/NRUS67A1.pdf", "https://docs.wto.org/imrd/directdoc.asp?DDFDocuments/v/G/SPS/NRUS67A1.pdf")</f>
      </c>
      <c r="R446" s="0" t="s">
        <v>36</v>
      </c>
      <c r="S446" s="0" t="s">
        <v>36</v>
      </c>
      <c r="T446" s="0" t="s">
        <v>36</v>
      </c>
      <c r="U446" s="0" t="s">
        <v>36</v>
      </c>
      <c r="V446" s="0" t="s">
        <v>36</v>
      </c>
      <c r="W446" s="0" t="s">
        <v>36</v>
      </c>
      <c r="X446" s="0" t="s">
        <v>36</v>
      </c>
      <c r="Y446" s="2" t="s">
        <v>36</v>
      </c>
      <c r="Z446" s="0" t="s">
        <v>36</v>
      </c>
      <c r="AA446" s="0" t="s">
        <v>36</v>
      </c>
      <c r="AB446" s="0" t="s">
        <v>36</v>
      </c>
      <c r="AC446" s="0" t="s">
        <v>36</v>
      </c>
      <c r="AD446" s="0" t="s">
        <v>36</v>
      </c>
      <c r="AE446" s="2" t="s">
        <v>36</v>
      </c>
    </row>
    <row r="447">
      <c r="A447" s="6" t="s">
        <v>31</v>
      </c>
      <c r="B447" s="7">
        <v>42142</v>
      </c>
      <c r="C447" s="9">
        <f>HYPERLINK("https://www.epingalert.org/en/Search?viewData= G/SPS/N/RUS/95"," G/SPS/N/RUS/95")</f>
      </c>
      <c r="D447" s="8" t="s">
        <v>2135</v>
      </c>
      <c r="E447" s="8" t="s">
        <v>2136</v>
      </c>
      <c r="F447" s="8" t="s">
        <v>2137</v>
      </c>
      <c r="G447" s="8" t="s">
        <v>2138</v>
      </c>
      <c r="H447" s="8" t="s">
        <v>36</v>
      </c>
      <c r="I447" s="8" t="s">
        <v>65</v>
      </c>
      <c r="J447" s="8" t="s">
        <v>1528</v>
      </c>
      <c r="K447" s="6" t="s">
        <v>291</v>
      </c>
      <c r="L447" s="7" t="s">
        <v>36</v>
      </c>
      <c r="M447" s="6" t="s">
        <v>40</v>
      </c>
      <c r="N447" s="8" t="s">
        <v>2139</v>
      </c>
      <c r="O447" s="6">
        <f>HYPERLINK("https://docs.wto.org/imrd/directdoc.asp?DDFDocuments/t/G/SPS/NRUS95.pdf", "https://docs.wto.org/imrd/directdoc.asp?DDFDocuments/t/G/SPS/NRUS95.pdf")</f>
      </c>
      <c r="P447" s="6">
        <f>HYPERLINK("https://docs.wto.org/imrd/directdoc.asp?DDFDocuments/u/G/SPS/NRUS95.pdf", "https://docs.wto.org/imrd/directdoc.asp?DDFDocuments/u/G/SPS/NRUS95.pdf")</f>
      </c>
      <c r="Q447" s="6">
        <f>HYPERLINK("https://docs.wto.org/imrd/directdoc.asp?DDFDocuments/v/G/SPS/NRUS95.pdf", "https://docs.wto.org/imrd/directdoc.asp?DDFDocuments/v/G/SPS/NRUS95.pdf")</f>
      </c>
      <c r="R447" s="0" t="s">
        <v>36</v>
      </c>
      <c r="S447" s="0" t="s">
        <v>36</v>
      </c>
      <c r="T447" s="0" t="s">
        <v>36</v>
      </c>
      <c r="U447" s="0" t="s">
        <v>36</v>
      </c>
      <c r="V447" s="0" t="s">
        <v>36</v>
      </c>
      <c r="W447" s="0" t="s">
        <v>36</v>
      </c>
      <c r="X447" s="0" t="s">
        <v>36</v>
      </c>
      <c r="Y447" s="2" t="s">
        <v>36</v>
      </c>
      <c r="Z447" s="0" t="s">
        <v>42</v>
      </c>
      <c r="AA447" s="0" t="s">
        <v>42</v>
      </c>
      <c r="AB447" s="0" t="s">
        <v>43</v>
      </c>
      <c r="AC447" s="0" t="s">
        <v>42</v>
      </c>
      <c r="AD447" s="0" t="s">
        <v>43</v>
      </c>
      <c r="AE447" s="2"/>
    </row>
    <row r="448">
      <c r="A448" s="6" t="s">
        <v>31</v>
      </c>
      <c r="B448" s="7">
        <v>42123</v>
      </c>
      <c r="C448" s="9">
        <f>HYPERLINK("https://www.epingalert.org/en/Search?viewData= G/SPS/N/RUS/94"," G/SPS/N/RUS/94")</f>
      </c>
      <c r="D448" s="8" t="s">
        <v>2140</v>
      </c>
      <c r="E448" s="8" t="s">
        <v>2141</v>
      </c>
      <c r="F448" s="8" t="s">
        <v>2142</v>
      </c>
      <c r="G448" s="8" t="s">
        <v>2143</v>
      </c>
      <c r="H448" s="8" t="s">
        <v>36</v>
      </c>
      <c r="I448" s="8" t="s">
        <v>332</v>
      </c>
      <c r="J448" s="8" t="s">
        <v>2144</v>
      </c>
      <c r="K448" s="6" t="s">
        <v>2145</v>
      </c>
      <c r="L448" s="7" t="s">
        <v>36</v>
      </c>
      <c r="M448" s="6" t="s">
        <v>40</v>
      </c>
      <c r="N448" s="8" t="s">
        <v>2146</v>
      </c>
      <c r="O448" s="6">
        <f>HYPERLINK("https://docs.wto.org/imrd/directdoc.asp?DDFDocuments/t/G/SPS/NRUS94.pdf", "https://docs.wto.org/imrd/directdoc.asp?DDFDocuments/t/G/SPS/NRUS94.pdf")</f>
      </c>
      <c r="P448" s="6">
        <f>HYPERLINK("https://docs.wto.org/imrd/directdoc.asp?DDFDocuments/u/G/SPS/NRUS94.pdf", "https://docs.wto.org/imrd/directdoc.asp?DDFDocuments/u/G/SPS/NRUS94.pdf")</f>
      </c>
      <c r="Q448" s="6">
        <f>HYPERLINK("https://docs.wto.org/imrd/directdoc.asp?DDFDocuments/v/G/SPS/NRUS94.pdf", "https://docs.wto.org/imrd/directdoc.asp?DDFDocuments/v/G/SPS/NRUS94.pdf")</f>
      </c>
      <c r="R448" s="0" t="s">
        <v>36</v>
      </c>
      <c r="S448" s="0" t="s">
        <v>36</v>
      </c>
      <c r="T448" s="0" t="s">
        <v>36</v>
      </c>
      <c r="U448" s="0" t="s">
        <v>36</v>
      </c>
      <c r="V448" s="0" t="s">
        <v>36</v>
      </c>
      <c r="W448" s="0" t="s">
        <v>36</v>
      </c>
      <c r="X448" s="0" t="s">
        <v>36</v>
      </c>
      <c r="Y448" s="2" t="s">
        <v>36</v>
      </c>
      <c r="Z448" s="0" t="s">
        <v>42</v>
      </c>
      <c r="AA448" s="0" t="s">
        <v>43</v>
      </c>
      <c r="AB448" s="0" t="s">
        <v>42</v>
      </c>
      <c r="AC448" s="0" t="s">
        <v>42</v>
      </c>
      <c r="AD448" s="0" t="s">
        <v>43</v>
      </c>
      <c r="AE448" s="2"/>
    </row>
    <row r="449">
      <c r="A449" s="6" t="s">
        <v>31</v>
      </c>
      <c r="B449" s="7">
        <v>42040</v>
      </c>
      <c r="C449" s="9">
        <f>HYPERLINK("https://www.epingalert.org/en/Search?viewData= G/SPS/N/RUS/91"," G/SPS/N/RUS/91")</f>
      </c>
      <c r="D449" s="8" t="s">
        <v>2147</v>
      </c>
      <c r="E449" s="8" t="s">
        <v>2148</v>
      </c>
      <c r="F449" s="8" t="s">
        <v>2149</v>
      </c>
      <c r="G449" s="8" t="s">
        <v>1744</v>
      </c>
      <c r="H449" s="8" t="s">
        <v>36</v>
      </c>
      <c r="I449" s="8" t="s">
        <v>2150</v>
      </c>
      <c r="J449" s="8" t="s">
        <v>2151</v>
      </c>
      <c r="K449" s="6"/>
      <c r="L449" s="7" t="s">
        <v>36</v>
      </c>
      <c r="M449" s="6" t="s">
        <v>51</v>
      </c>
      <c r="N449" s="6"/>
      <c r="O449" s="6">
        <f>HYPERLINK("https://docs.wto.org/imrd/directdoc.asp?DDFDocuments/t/G/SPS/NRUS91.pdf", "https://docs.wto.org/imrd/directdoc.asp?DDFDocuments/t/G/SPS/NRUS91.pdf")</f>
      </c>
      <c r="P449" s="6">
        <f>HYPERLINK("https://docs.wto.org/imrd/directdoc.asp?DDFDocuments/u/G/SPS/NRUS91.pdf", "https://docs.wto.org/imrd/directdoc.asp?DDFDocuments/u/G/SPS/NRUS91.pdf")</f>
      </c>
      <c r="Q449" s="6">
        <f>HYPERLINK("https://docs.wto.org/imrd/directdoc.asp?DDFDocuments/v/G/SPS/NRUS91.pdf", "https://docs.wto.org/imrd/directdoc.asp?DDFDocuments/v/G/SPS/NRUS91.pdf")</f>
      </c>
      <c r="R449" s="0" t="s">
        <v>36</v>
      </c>
      <c r="S449" s="0" t="s">
        <v>36</v>
      </c>
      <c r="T449" s="0" t="s">
        <v>36</v>
      </c>
      <c r="U449" s="0" t="s">
        <v>36</v>
      </c>
      <c r="V449" s="0" t="s">
        <v>36</v>
      </c>
      <c r="W449" s="0" t="s">
        <v>36</v>
      </c>
      <c r="X449" s="0" t="s">
        <v>36</v>
      </c>
      <c r="Y449" s="2" t="s">
        <v>36</v>
      </c>
      <c r="Z449" s="0" t="s">
        <v>42</v>
      </c>
      <c r="AA449" s="0" t="s">
        <v>42</v>
      </c>
      <c r="AB449" s="0" t="s">
        <v>43</v>
      </c>
      <c r="AC449" s="0" t="s">
        <v>42</v>
      </c>
      <c r="AD449" s="0" t="s">
        <v>43</v>
      </c>
      <c r="AE449" s="2"/>
    </row>
    <row r="450">
      <c r="A450" s="6" t="s">
        <v>31</v>
      </c>
      <c r="B450" s="7">
        <v>42040</v>
      </c>
      <c r="C450" s="9">
        <f>HYPERLINK("https://www.epingalert.org/en/Search?viewData= G/SPS/N/RUS/92"," G/SPS/N/RUS/92")</f>
      </c>
      <c r="D450" s="8" t="s">
        <v>2152</v>
      </c>
      <c r="E450" s="8" t="s">
        <v>2153</v>
      </c>
      <c r="F450" s="8" t="s">
        <v>2154</v>
      </c>
      <c r="G450" s="8" t="s">
        <v>2155</v>
      </c>
      <c r="H450" s="8" t="s">
        <v>36</v>
      </c>
      <c r="I450" s="8" t="s">
        <v>37</v>
      </c>
      <c r="J450" s="8" t="s">
        <v>1098</v>
      </c>
      <c r="K450" s="6"/>
      <c r="L450" s="7" t="s">
        <v>36</v>
      </c>
      <c r="M450" s="6" t="s">
        <v>51</v>
      </c>
      <c r="N450" s="8" t="s">
        <v>2156</v>
      </c>
      <c r="O450" s="6">
        <f>HYPERLINK("https://docs.wto.org/imrd/directdoc.asp?DDFDocuments/t/G/SPS/NRUS92.pdf", "https://docs.wto.org/imrd/directdoc.asp?DDFDocuments/t/G/SPS/NRUS92.pdf")</f>
      </c>
      <c r="P450" s="6">
        <f>HYPERLINK("https://docs.wto.org/imrd/directdoc.asp?DDFDocuments/u/G/SPS/NRUS92.pdf", "https://docs.wto.org/imrd/directdoc.asp?DDFDocuments/u/G/SPS/NRUS92.pdf")</f>
      </c>
      <c r="Q450" s="6">
        <f>HYPERLINK("https://docs.wto.org/imrd/directdoc.asp?DDFDocuments/v/G/SPS/NRUS92.pdf", "https://docs.wto.org/imrd/directdoc.asp?DDFDocuments/v/G/SPS/NRUS92.pdf")</f>
      </c>
      <c r="R450" s="0" t="s">
        <v>36</v>
      </c>
      <c r="S450" s="0" t="s">
        <v>36</v>
      </c>
      <c r="T450" s="0" t="s">
        <v>36</v>
      </c>
      <c r="U450" s="0" t="s">
        <v>36</v>
      </c>
      <c r="V450" s="0" t="s">
        <v>36</v>
      </c>
      <c r="W450" s="0" t="s">
        <v>36</v>
      </c>
      <c r="X450" s="0" t="s">
        <v>36</v>
      </c>
      <c r="Y450" s="2" t="s">
        <v>36</v>
      </c>
      <c r="Z450" s="0" t="s">
        <v>42</v>
      </c>
      <c r="AA450" s="0" t="s">
        <v>43</v>
      </c>
      <c r="AB450" s="0" t="s">
        <v>42</v>
      </c>
      <c r="AC450" s="0" t="s">
        <v>42</v>
      </c>
      <c r="AD450" s="0" t="s">
        <v>43</v>
      </c>
      <c r="AE450" s="2"/>
    </row>
    <row r="451">
      <c r="A451" s="6" t="s">
        <v>31</v>
      </c>
      <c r="B451" s="7">
        <v>42040</v>
      </c>
      <c r="C451" s="9">
        <f>HYPERLINK("https://www.epingalert.org/en/Search?viewData= G/SPS/N/RUS/93"," G/SPS/N/RUS/93")</f>
      </c>
      <c r="D451" s="8" t="s">
        <v>2157</v>
      </c>
      <c r="E451" s="8" t="s">
        <v>2158</v>
      </c>
      <c r="F451" s="8" t="s">
        <v>532</v>
      </c>
      <c r="G451" s="8" t="s">
        <v>533</v>
      </c>
      <c r="H451" s="8" t="s">
        <v>36</v>
      </c>
      <c r="I451" s="8" t="s">
        <v>1328</v>
      </c>
      <c r="J451" s="8" t="s">
        <v>2159</v>
      </c>
      <c r="K451" s="6"/>
      <c r="L451" s="7" t="s">
        <v>36</v>
      </c>
      <c r="M451" s="6" t="s">
        <v>51</v>
      </c>
      <c r="N451" s="8" t="s">
        <v>2160</v>
      </c>
      <c r="O451" s="6">
        <f>HYPERLINK("https://docs.wto.org/imrd/directdoc.asp?DDFDocuments/t/G/SPS/NRUS93.pdf", "https://docs.wto.org/imrd/directdoc.asp?DDFDocuments/t/G/SPS/NRUS93.pdf")</f>
      </c>
      <c r="P451" s="6">
        <f>HYPERLINK("https://docs.wto.org/imrd/directdoc.asp?DDFDocuments/u/G/SPS/NRUS93.pdf", "https://docs.wto.org/imrd/directdoc.asp?DDFDocuments/u/G/SPS/NRUS93.pdf")</f>
      </c>
      <c r="Q451" s="6">
        <f>HYPERLINK("https://docs.wto.org/imrd/directdoc.asp?DDFDocuments/v/G/SPS/NRUS93.pdf", "https://docs.wto.org/imrd/directdoc.asp?DDFDocuments/v/G/SPS/NRUS93.pdf")</f>
      </c>
      <c r="R451" s="0" t="s">
        <v>36</v>
      </c>
      <c r="S451" s="0" t="s">
        <v>36</v>
      </c>
      <c r="T451" s="0" t="s">
        <v>36</v>
      </c>
      <c r="U451" s="0" t="s">
        <v>36</v>
      </c>
      <c r="V451" s="0" t="s">
        <v>36</v>
      </c>
      <c r="W451" s="0" t="s">
        <v>36</v>
      </c>
      <c r="X451" s="0" t="s">
        <v>36</v>
      </c>
      <c r="Y451" s="2" t="s">
        <v>36</v>
      </c>
      <c r="Z451" s="0" t="s">
        <v>43</v>
      </c>
      <c r="AA451" s="0" t="s">
        <v>43</v>
      </c>
      <c r="AB451" s="0" t="s">
        <v>42</v>
      </c>
      <c r="AC451" s="0" t="s">
        <v>42</v>
      </c>
      <c r="AD451" s="0" t="s">
        <v>43</v>
      </c>
      <c r="AE451" s="2"/>
    </row>
    <row r="452">
      <c r="A452" s="6" t="s">
        <v>31</v>
      </c>
      <c r="B452" s="7">
        <v>42011</v>
      </c>
      <c r="C452" s="9">
        <f>HYPERLINK("https://www.epingalert.org/en/Search?viewData= G/SPS/N/RUS/90"," G/SPS/N/RUS/90")</f>
      </c>
      <c r="D452" s="8" t="s">
        <v>2161</v>
      </c>
      <c r="E452" s="8" t="s">
        <v>2162</v>
      </c>
      <c r="F452" s="8" t="s">
        <v>2163</v>
      </c>
      <c r="G452" s="8" t="s">
        <v>2164</v>
      </c>
      <c r="H452" s="8" t="s">
        <v>36</v>
      </c>
      <c r="I452" s="8" t="s">
        <v>332</v>
      </c>
      <c r="J452" s="8" t="s">
        <v>1603</v>
      </c>
      <c r="K452" s="6" t="s">
        <v>455</v>
      </c>
      <c r="L452" s="7" t="s">
        <v>36</v>
      </c>
      <c r="M452" s="6" t="s">
        <v>40</v>
      </c>
      <c r="N452" s="8" t="s">
        <v>2165</v>
      </c>
      <c r="O452" s="6">
        <f>HYPERLINK("https://docs.wto.org/imrd/directdoc.asp?DDFDocuments/t/G/SPS/NRUS90.pdf", "https://docs.wto.org/imrd/directdoc.asp?DDFDocuments/t/G/SPS/NRUS90.pdf")</f>
      </c>
      <c r="P452" s="6">
        <f>HYPERLINK("https://docs.wto.org/imrd/directdoc.asp?DDFDocuments/u/G/SPS/NRUS90.pdf", "https://docs.wto.org/imrd/directdoc.asp?DDFDocuments/u/G/SPS/NRUS90.pdf")</f>
      </c>
      <c r="Q452" s="6">
        <f>HYPERLINK("https://docs.wto.org/imrd/directdoc.asp?DDFDocuments/v/G/SPS/NRUS90.pdf", "https://docs.wto.org/imrd/directdoc.asp?DDFDocuments/v/G/SPS/NRUS90.pdf")</f>
      </c>
      <c r="R452" s="0" t="s">
        <v>36</v>
      </c>
      <c r="S452" s="0" t="s">
        <v>36</v>
      </c>
      <c r="T452" s="0" t="s">
        <v>36</v>
      </c>
      <c r="U452" s="0" t="s">
        <v>36</v>
      </c>
      <c r="V452" s="0" t="s">
        <v>36</v>
      </c>
      <c r="W452" s="0" t="s">
        <v>36</v>
      </c>
      <c r="X452" s="0" t="s">
        <v>36</v>
      </c>
      <c r="Y452" s="2" t="s">
        <v>36</v>
      </c>
      <c r="Z452" s="0" t="s">
        <v>42</v>
      </c>
      <c r="AA452" s="0" t="s">
        <v>43</v>
      </c>
      <c r="AB452" s="0" t="s">
        <v>42</v>
      </c>
      <c r="AC452" s="0" t="s">
        <v>42</v>
      </c>
      <c r="AD452" s="0" t="s">
        <v>43</v>
      </c>
      <c r="AE452" s="2"/>
    </row>
    <row r="453">
      <c r="A453" s="6" t="s">
        <v>31</v>
      </c>
      <c r="B453" s="7">
        <v>41991</v>
      </c>
      <c r="C453" s="9">
        <f>HYPERLINK("https://www.epingalert.org/en/Search?viewData= G/SPS/N/RUS/89"," G/SPS/N/RUS/89")</f>
      </c>
      <c r="D453" s="8" t="s">
        <v>2166</v>
      </c>
      <c r="E453" s="8" t="s">
        <v>2167</v>
      </c>
      <c r="F453" s="8" t="s">
        <v>2168</v>
      </c>
      <c r="G453" s="8" t="s">
        <v>2169</v>
      </c>
      <c r="H453" s="8" t="s">
        <v>36</v>
      </c>
      <c r="I453" s="8" t="s">
        <v>97</v>
      </c>
      <c r="J453" s="8" t="s">
        <v>2170</v>
      </c>
      <c r="K453" s="6" t="s">
        <v>353</v>
      </c>
      <c r="L453" s="7" t="s">
        <v>36</v>
      </c>
      <c r="M453" s="6" t="s">
        <v>40</v>
      </c>
      <c r="N453" s="8" t="s">
        <v>2171</v>
      </c>
      <c r="O453" s="6">
        <f>HYPERLINK("https://docs.wto.org/imrd/directdoc.asp?DDFDocuments/t/G/SPS/NRUS89.pdf", "https://docs.wto.org/imrd/directdoc.asp?DDFDocuments/t/G/SPS/NRUS89.pdf")</f>
      </c>
      <c r="P453" s="6">
        <f>HYPERLINK("https://docs.wto.org/imrd/directdoc.asp?DDFDocuments/u/G/SPS/NRUS89.pdf", "https://docs.wto.org/imrd/directdoc.asp?DDFDocuments/u/G/SPS/NRUS89.pdf")</f>
      </c>
      <c r="Q453" s="6">
        <f>HYPERLINK("https://docs.wto.org/imrd/directdoc.asp?DDFDocuments/v/G/SPS/NRUS89.pdf", "https://docs.wto.org/imrd/directdoc.asp?DDFDocuments/v/G/SPS/NRUS89.pdf")</f>
      </c>
      <c r="R453" s="0" t="s">
        <v>36</v>
      </c>
      <c r="S453" s="0" t="s">
        <v>36</v>
      </c>
      <c r="T453" s="0" t="s">
        <v>36</v>
      </c>
      <c r="U453" s="0" t="s">
        <v>36</v>
      </c>
      <c r="V453" s="0" t="s">
        <v>36</v>
      </c>
      <c r="W453" s="0" t="s">
        <v>36</v>
      </c>
      <c r="X453" s="0" t="s">
        <v>36</v>
      </c>
      <c r="Y453" s="2" t="s">
        <v>36</v>
      </c>
      <c r="Z453" s="0" t="s">
        <v>42</v>
      </c>
      <c r="AA453" s="0" t="s">
        <v>43</v>
      </c>
      <c r="AB453" s="0" t="s">
        <v>42</v>
      </c>
      <c r="AC453" s="0" t="s">
        <v>42</v>
      </c>
      <c r="AD453" s="0" t="s">
        <v>43</v>
      </c>
      <c r="AE453" s="2"/>
    </row>
    <row r="454">
      <c r="A454" s="6" t="s">
        <v>31</v>
      </c>
      <c r="B454" s="7">
        <v>41989</v>
      </c>
      <c r="C454" s="9">
        <f>HYPERLINK("https://www.epingalert.org/en/Search?viewData= G/SPS/N/RUS/88"," G/SPS/N/RUS/88")</f>
      </c>
      <c r="D454" s="8" t="s">
        <v>2172</v>
      </c>
      <c r="E454" s="8" t="s">
        <v>2173</v>
      </c>
      <c r="F454" s="8" t="s">
        <v>2174</v>
      </c>
      <c r="G454" s="8" t="s">
        <v>1744</v>
      </c>
      <c r="H454" s="8" t="s">
        <v>36</v>
      </c>
      <c r="I454" s="8" t="s">
        <v>65</v>
      </c>
      <c r="J454" s="8" t="s">
        <v>72</v>
      </c>
      <c r="K454" s="6" t="s">
        <v>228</v>
      </c>
      <c r="L454" s="7" t="s">
        <v>36</v>
      </c>
      <c r="M454" s="6" t="s">
        <v>40</v>
      </c>
      <c r="N454" s="6"/>
      <c r="O454" s="6">
        <f>HYPERLINK("https://docs.wto.org/imrd/directdoc.asp?DDFDocuments/t/G/SPS/NRUS88.pdf", "https://docs.wto.org/imrd/directdoc.asp?DDFDocuments/t/G/SPS/NRUS88.pdf")</f>
      </c>
      <c r="P454" s="6">
        <f>HYPERLINK("https://docs.wto.org/imrd/directdoc.asp?DDFDocuments/u/G/SPS/NRUS88.pdf", "https://docs.wto.org/imrd/directdoc.asp?DDFDocuments/u/G/SPS/NRUS88.pdf")</f>
      </c>
      <c r="Q454" s="6">
        <f>HYPERLINK("https://docs.wto.org/imrd/directdoc.asp?DDFDocuments/v/G/SPS/NRUS88.pdf", "https://docs.wto.org/imrd/directdoc.asp?DDFDocuments/v/G/SPS/NRUS88.pdf")</f>
      </c>
      <c r="R454" s="0" t="s">
        <v>36</v>
      </c>
      <c r="S454" s="0" t="s">
        <v>36</v>
      </c>
      <c r="T454" s="0" t="s">
        <v>36</v>
      </c>
      <c r="U454" s="0" t="s">
        <v>36</v>
      </c>
      <c r="V454" s="0" t="s">
        <v>36</v>
      </c>
      <c r="W454" s="0" t="s">
        <v>36</v>
      </c>
      <c r="X454" s="0" t="s">
        <v>36</v>
      </c>
      <c r="Y454" s="2" t="s">
        <v>36</v>
      </c>
      <c r="Z454" s="0" t="s">
        <v>42</v>
      </c>
      <c r="AA454" s="0" t="s">
        <v>42</v>
      </c>
      <c r="AB454" s="0" t="s">
        <v>43</v>
      </c>
      <c r="AC454" s="0" t="s">
        <v>42</v>
      </c>
      <c r="AD454" s="0" t="s">
        <v>43</v>
      </c>
      <c r="AE454" s="2"/>
    </row>
    <row r="455">
      <c r="A455" s="6" t="s">
        <v>31</v>
      </c>
      <c r="B455" s="7">
        <v>41988</v>
      </c>
      <c r="C455" s="9">
        <f>HYPERLINK("https://www.epingalert.org/en/Search?viewData= G/SPS/N/RUS/50/Add.1"," G/SPS/N/RUS/50/Add.1")</f>
      </c>
      <c r="D455" s="8" t="s">
        <v>2175</v>
      </c>
      <c r="E455" s="8" t="s">
        <v>2176</v>
      </c>
      <c r="F455" s="8"/>
      <c r="G455" s="8" t="s">
        <v>2177</v>
      </c>
      <c r="H455" s="8" t="s">
        <v>36</v>
      </c>
      <c r="I455" s="8" t="s">
        <v>97</v>
      </c>
      <c r="J455" s="8" t="s">
        <v>1696</v>
      </c>
      <c r="K455" s="6"/>
      <c r="L455" s="7">
        <v>42048</v>
      </c>
      <c r="M455" s="6" t="s">
        <v>1211</v>
      </c>
      <c r="N455" s="6"/>
      <c r="O455" s="6">
        <f>HYPERLINK("https://docs.wto.org/imrd/directdoc.asp?DDFDocuments/t/G/SPS/NRUS50A1.pdf", "https://docs.wto.org/imrd/directdoc.asp?DDFDocuments/t/G/SPS/NRUS50A1.pdf")</f>
      </c>
      <c r="P455" s="6">
        <f>HYPERLINK("https://docs.wto.org/imrd/directdoc.asp?DDFDocuments/u/G/SPS/NRUS50A1.pdf", "https://docs.wto.org/imrd/directdoc.asp?DDFDocuments/u/G/SPS/NRUS50A1.pdf")</f>
      </c>
      <c r="Q455" s="6">
        <f>HYPERLINK("https://docs.wto.org/imrd/directdoc.asp?DDFDocuments/v/G/SPS/NRUS50A1.pdf", "https://docs.wto.org/imrd/directdoc.asp?DDFDocuments/v/G/SPS/NRUS50A1.pdf")</f>
      </c>
      <c r="R455" s="0" t="s">
        <v>36</v>
      </c>
      <c r="S455" s="0" t="s">
        <v>36</v>
      </c>
      <c r="T455" s="0" t="s">
        <v>36</v>
      </c>
      <c r="U455" s="0" t="s">
        <v>36</v>
      </c>
      <c r="V455" s="0" t="s">
        <v>36</v>
      </c>
      <c r="W455" s="0" t="s">
        <v>36</v>
      </c>
      <c r="X455" s="0" t="s">
        <v>36</v>
      </c>
      <c r="Y455" s="2" t="s">
        <v>36</v>
      </c>
      <c r="Z455" s="0" t="s">
        <v>36</v>
      </c>
      <c r="AA455" s="0" t="s">
        <v>36</v>
      </c>
      <c r="AB455" s="0" t="s">
        <v>36</v>
      </c>
      <c r="AC455" s="0" t="s">
        <v>36</v>
      </c>
      <c r="AD455" s="0" t="s">
        <v>36</v>
      </c>
      <c r="AE455" s="2" t="s">
        <v>36</v>
      </c>
    </row>
    <row r="456">
      <c r="A456" s="6" t="s">
        <v>31</v>
      </c>
      <c r="B456" s="7">
        <v>41983</v>
      </c>
      <c r="C456" s="9">
        <f>HYPERLINK("https://www.epingalert.org/en/Search?viewData= G/SPS/N/RUS/86"," G/SPS/N/RUS/86")</f>
      </c>
      <c r="D456" s="8" t="s">
        <v>2178</v>
      </c>
      <c r="E456" s="8" t="s">
        <v>2179</v>
      </c>
      <c r="F456" s="8" t="s">
        <v>2180</v>
      </c>
      <c r="G456" s="8" t="s">
        <v>2181</v>
      </c>
      <c r="H456" s="8" t="s">
        <v>36</v>
      </c>
      <c r="I456" s="8" t="s">
        <v>37</v>
      </c>
      <c r="J456" s="8" t="s">
        <v>232</v>
      </c>
      <c r="K456" s="6" t="s">
        <v>2182</v>
      </c>
      <c r="L456" s="7" t="s">
        <v>36</v>
      </c>
      <c r="M456" s="6" t="s">
        <v>40</v>
      </c>
      <c r="N456" s="8" t="s">
        <v>2183</v>
      </c>
      <c r="O456" s="6">
        <f>HYPERLINK("https://docs.wto.org/imrd/directdoc.asp?DDFDocuments/t/G/SPS/NRUS86.pdf", "https://docs.wto.org/imrd/directdoc.asp?DDFDocuments/t/G/SPS/NRUS86.pdf")</f>
      </c>
      <c r="P456" s="6">
        <f>HYPERLINK("https://docs.wto.org/imrd/directdoc.asp?DDFDocuments/u/G/SPS/NRUS86.pdf", "https://docs.wto.org/imrd/directdoc.asp?DDFDocuments/u/G/SPS/NRUS86.pdf")</f>
      </c>
      <c r="Q456" s="6">
        <f>HYPERLINK("https://docs.wto.org/imrd/directdoc.asp?DDFDocuments/v/G/SPS/NRUS86.pdf", "https://docs.wto.org/imrd/directdoc.asp?DDFDocuments/v/G/SPS/NRUS86.pdf")</f>
      </c>
      <c r="R456" s="0" t="s">
        <v>36</v>
      </c>
      <c r="S456" s="0" t="s">
        <v>36</v>
      </c>
      <c r="T456" s="0" t="s">
        <v>36</v>
      </c>
      <c r="U456" s="0" t="s">
        <v>36</v>
      </c>
      <c r="V456" s="0" t="s">
        <v>36</v>
      </c>
      <c r="W456" s="0" t="s">
        <v>36</v>
      </c>
      <c r="X456" s="0" t="s">
        <v>36</v>
      </c>
      <c r="Y456" s="2" t="s">
        <v>36</v>
      </c>
      <c r="Z456" s="0" t="s">
        <v>42</v>
      </c>
      <c r="AA456" s="0" t="s">
        <v>43</v>
      </c>
      <c r="AB456" s="0" t="s">
        <v>42</v>
      </c>
      <c r="AC456" s="0" t="s">
        <v>42</v>
      </c>
      <c r="AD456" s="0" t="s">
        <v>43</v>
      </c>
      <c r="AE456" s="2"/>
    </row>
    <row r="457">
      <c r="A457" s="6" t="s">
        <v>31</v>
      </c>
      <c r="B457" s="7">
        <v>41983</v>
      </c>
      <c r="C457" s="9">
        <f>HYPERLINK("https://www.epingalert.org/en/Search?viewData= G/SPS/N/RUS/87"," G/SPS/N/RUS/87")</f>
      </c>
      <c r="D457" s="8" t="s">
        <v>2184</v>
      </c>
      <c r="E457" s="8" t="s">
        <v>2185</v>
      </c>
      <c r="F457" s="8" t="s">
        <v>2186</v>
      </c>
      <c r="G457" s="8" t="s">
        <v>2187</v>
      </c>
      <c r="H457" s="8" t="s">
        <v>36</v>
      </c>
      <c r="I457" s="8" t="s">
        <v>332</v>
      </c>
      <c r="J457" s="8" t="s">
        <v>2188</v>
      </c>
      <c r="K457" s="6" t="s">
        <v>2189</v>
      </c>
      <c r="L457" s="7" t="s">
        <v>36</v>
      </c>
      <c r="M457" s="6" t="s">
        <v>40</v>
      </c>
      <c r="N457" s="8" t="s">
        <v>2190</v>
      </c>
      <c r="O457" s="6">
        <f>HYPERLINK("https://docs.wto.org/imrd/directdoc.asp?DDFDocuments/t/G/SPS/NRUS87.pdf", "https://docs.wto.org/imrd/directdoc.asp?DDFDocuments/t/G/SPS/NRUS87.pdf")</f>
      </c>
      <c r="P457" s="6">
        <f>HYPERLINK("https://docs.wto.org/imrd/directdoc.asp?DDFDocuments/u/G/SPS/NRUS87.pdf", "https://docs.wto.org/imrd/directdoc.asp?DDFDocuments/u/G/SPS/NRUS87.pdf")</f>
      </c>
      <c r="Q457" s="6">
        <f>HYPERLINK("https://docs.wto.org/imrd/directdoc.asp?DDFDocuments/v/G/SPS/NRUS87.pdf", "https://docs.wto.org/imrd/directdoc.asp?DDFDocuments/v/G/SPS/NRUS87.pdf")</f>
      </c>
      <c r="R457" s="0" t="s">
        <v>36</v>
      </c>
      <c r="S457" s="0" t="s">
        <v>36</v>
      </c>
      <c r="T457" s="0" t="s">
        <v>36</v>
      </c>
      <c r="U457" s="0" t="s">
        <v>36</v>
      </c>
      <c r="V457" s="0" t="s">
        <v>36</v>
      </c>
      <c r="W457" s="0" t="s">
        <v>36</v>
      </c>
      <c r="X457" s="0" t="s">
        <v>36</v>
      </c>
      <c r="Y457" s="2" t="s">
        <v>36</v>
      </c>
      <c r="Z457" s="0" t="s">
        <v>42</v>
      </c>
      <c r="AA457" s="0" t="s">
        <v>43</v>
      </c>
      <c r="AB457" s="0" t="s">
        <v>42</v>
      </c>
      <c r="AC457" s="0" t="s">
        <v>42</v>
      </c>
      <c r="AD457" s="0" t="s">
        <v>43</v>
      </c>
      <c r="AE457" s="2"/>
    </row>
    <row r="458">
      <c r="A458" s="6" t="s">
        <v>31</v>
      </c>
      <c r="B458" s="7">
        <v>41982</v>
      </c>
      <c r="C458" s="9">
        <f>HYPERLINK("https://www.epingalert.org/en/Search?viewData= G/TBT/N/RUS/41"," G/TBT/N/RUS/41")</f>
      </c>
      <c r="D458" s="8" t="s">
        <v>2191</v>
      </c>
      <c r="E458" s="8" t="s">
        <v>2192</v>
      </c>
      <c r="F458" s="8" t="s">
        <v>532</v>
      </c>
      <c r="G458" s="8" t="s">
        <v>36</v>
      </c>
      <c r="H458" s="8" t="s">
        <v>534</v>
      </c>
      <c r="I458" s="8" t="s">
        <v>902</v>
      </c>
      <c r="J458" s="8" t="s">
        <v>120</v>
      </c>
      <c r="K458" s="6"/>
      <c r="L458" s="7">
        <v>42040</v>
      </c>
      <c r="M458" s="6" t="s">
        <v>51</v>
      </c>
      <c r="N458" s="6"/>
      <c r="O458" s="6">
        <f>HYPERLINK("https://docs.wto.org/imrd/directdoc.asp?DDFDocuments/t/G/TBTN14/RUS41.DOC", "https://docs.wto.org/imrd/directdoc.asp?DDFDocuments/t/G/TBTN14/RUS41.DOC")</f>
      </c>
      <c r="P458" s="6">
        <f>HYPERLINK("https://docs.wto.org/imrd/directdoc.asp?DDFDocuments/u/G/TBTN14/RUS41.DOC", "https://docs.wto.org/imrd/directdoc.asp?DDFDocuments/u/G/TBTN14/RUS41.DOC")</f>
      </c>
      <c r="Q458" s="6">
        <f>HYPERLINK("https://docs.wto.org/imrd/directdoc.asp?DDFDocuments/v/G/TBTN14/RUS41.DOC", "https://docs.wto.org/imrd/directdoc.asp?DDFDocuments/v/G/TBTN14/RUS41.DOC")</f>
      </c>
      <c r="R458" s="0" t="s">
        <v>43</v>
      </c>
      <c r="S458" s="0" t="s">
        <v>42</v>
      </c>
      <c r="T458" s="0" t="s">
        <v>43</v>
      </c>
      <c r="U458" s="0" t="s">
        <v>42</v>
      </c>
      <c r="V458" s="0" t="s">
        <v>42</v>
      </c>
      <c r="W458" s="0" t="s">
        <v>42</v>
      </c>
      <c r="X458" s="0" t="s">
        <v>42</v>
      </c>
      <c r="Y458" s="2" t="s">
        <v>2193</v>
      </c>
      <c r="Z458" s="0" t="s">
        <v>36</v>
      </c>
      <c r="AA458" s="0" t="s">
        <v>36</v>
      </c>
      <c r="AB458" s="0" t="s">
        <v>36</v>
      </c>
      <c r="AC458" s="0" t="s">
        <v>36</v>
      </c>
      <c r="AD458" s="0" t="s">
        <v>36</v>
      </c>
      <c r="AE458" s="2" t="s">
        <v>36</v>
      </c>
    </row>
    <row r="459">
      <c r="A459" s="6" t="s">
        <v>31</v>
      </c>
      <c r="B459" s="7">
        <v>41982</v>
      </c>
      <c r="C459" s="9">
        <f>HYPERLINK("https://www.epingalert.org/en/Search?viewData= G/SPS/N/RUS/85"," G/SPS/N/RUS/85")</f>
      </c>
      <c r="D459" s="8" t="s">
        <v>2194</v>
      </c>
      <c r="E459" s="8" t="s">
        <v>2195</v>
      </c>
      <c r="F459" s="8" t="s">
        <v>2196</v>
      </c>
      <c r="G459" s="8" t="s">
        <v>2197</v>
      </c>
      <c r="H459" s="8" t="s">
        <v>36</v>
      </c>
      <c r="I459" s="8" t="s">
        <v>37</v>
      </c>
      <c r="J459" s="8" t="s">
        <v>38</v>
      </c>
      <c r="K459" s="6" t="s">
        <v>2198</v>
      </c>
      <c r="L459" s="7" t="s">
        <v>36</v>
      </c>
      <c r="M459" s="6" t="s">
        <v>51</v>
      </c>
      <c r="N459" s="6"/>
      <c r="O459" s="6">
        <f>HYPERLINK("https://docs.wto.org/imrd/directdoc.asp?DDFDocuments/t/G/SPS/NRUS85.pdf", "https://docs.wto.org/imrd/directdoc.asp?DDFDocuments/t/G/SPS/NRUS85.pdf")</f>
      </c>
      <c r="P459" s="6">
        <f>HYPERLINK("https://docs.wto.org/imrd/directdoc.asp?DDFDocuments/u/G/SPS/NRUS85.pdf", "https://docs.wto.org/imrd/directdoc.asp?DDFDocuments/u/G/SPS/NRUS85.pdf")</f>
      </c>
      <c r="Q459" s="6">
        <f>HYPERLINK("https://docs.wto.org/imrd/directdoc.asp?DDFDocuments/v/G/SPS/NRUS85.pdf", "https://docs.wto.org/imrd/directdoc.asp?DDFDocuments/v/G/SPS/NRUS85.pdf")</f>
      </c>
      <c r="R459" s="0" t="s">
        <v>36</v>
      </c>
      <c r="S459" s="0" t="s">
        <v>36</v>
      </c>
      <c r="T459" s="0" t="s">
        <v>36</v>
      </c>
      <c r="U459" s="0" t="s">
        <v>36</v>
      </c>
      <c r="V459" s="0" t="s">
        <v>36</v>
      </c>
      <c r="W459" s="0" t="s">
        <v>36</v>
      </c>
      <c r="X459" s="0" t="s">
        <v>36</v>
      </c>
      <c r="Y459" s="2" t="s">
        <v>36</v>
      </c>
      <c r="Z459" s="0" t="s">
        <v>42</v>
      </c>
      <c r="AA459" s="0" t="s">
        <v>42</v>
      </c>
      <c r="AB459" s="0" t="s">
        <v>42</v>
      </c>
      <c r="AC459" s="0" t="s">
        <v>43</v>
      </c>
      <c r="AD459" s="0" t="s">
        <v>107</v>
      </c>
      <c r="AE459" s="2" t="s">
        <v>2199</v>
      </c>
    </row>
    <row r="460">
      <c r="A460" s="6" t="s">
        <v>31</v>
      </c>
      <c r="B460" s="7">
        <v>41978</v>
      </c>
      <c r="C460" s="9">
        <f>HYPERLINK("https://www.epingalert.org/en/Search?viewData= G/SPS/N/RUS/84"," G/SPS/N/RUS/84")</f>
      </c>
      <c r="D460" s="8" t="s">
        <v>2200</v>
      </c>
      <c r="E460" s="8" t="s">
        <v>2201</v>
      </c>
      <c r="F460" s="8" t="s">
        <v>2202</v>
      </c>
      <c r="G460" s="8" t="s">
        <v>1392</v>
      </c>
      <c r="H460" s="8" t="s">
        <v>36</v>
      </c>
      <c r="I460" s="8" t="s">
        <v>37</v>
      </c>
      <c r="J460" s="8" t="s">
        <v>2203</v>
      </c>
      <c r="K460" s="6" t="s">
        <v>2204</v>
      </c>
      <c r="L460" s="7" t="s">
        <v>36</v>
      </c>
      <c r="M460" s="6" t="s">
        <v>40</v>
      </c>
      <c r="N460" s="6"/>
      <c r="O460" s="6">
        <f>HYPERLINK("https://docs.wto.org/imrd/directdoc.asp?DDFDocuments/t/G/SPS/NRUS84.pdf", "https://docs.wto.org/imrd/directdoc.asp?DDFDocuments/t/G/SPS/NRUS84.pdf")</f>
      </c>
      <c r="P460" s="6">
        <f>HYPERLINK("https://docs.wto.org/imrd/directdoc.asp?DDFDocuments/u/G/SPS/NRUS84.pdf", "https://docs.wto.org/imrd/directdoc.asp?DDFDocuments/u/G/SPS/NRUS84.pdf")</f>
      </c>
      <c r="Q460" s="6">
        <f>HYPERLINK("https://docs.wto.org/imrd/directdoc.asp?DDFDocuments/v/G/SPS/NRUS84.pdf", "https://docs.wto.org/imrd/directdoc.asp?DDFDocuments/v/G/SPS/NRUS84.pdf")</f>
      </c>
      <c r="R460" s="0" t="s">
        <v>36</v>
      </c>
      <c r="S460" s="0" t="s">
        <v>36</v>
      </c>
      <c r="T460" s="0" t="s">
        <v>36</v>
      </c>
      <c r="U460" s="0" t="s">
        <v>36</v>
      </c>
      <c r="V460" s="0" t="s">
        <v>36</v>
      </c>
      <c r="W460" s="0" t="s">
        <v>36</v>
      </c>
      <c r="X460" s="0" t="s">
        <v>36</v>
      </c>
      <c r="Y460" s="2" t="s">
        <v>36</v>
      </c>
      <c r="Z460" s="0" t="s">
        <v>42</v>
      </c>
      <c r="AA460" s="0" t="s">
        <v>43</v>
      </c>
      <c r="AB460" s="0" t="s">
        <v>42</v>
      </c>
      <c r="AC460" s="0" t="s">
        <v>42</v>
      </c>
      <c r="AD460" s="0" t="s">
        <v>43</v>
      </c>
      <c r="AE460" s="2"/>
    </row>
    <row r="461">
      <c r="A461" s="6" t="s">
        <v>31</v>
      </c>
      <c r="B461" s="7">
        <v>41961</v>
      </c>
      <c r="C461" s="9">
        <f>HYPERLINK("https://www.epingalert.org/en/Search?viewData= G/SPS/N/RUS/83"," G/SPS/N/RUS/83")</f>
      </c>
      <c r="D461" s="8" t="s">
        <v>2205</v>
      </c>
      <c r="E461" s="8" t="s">
        <v>2206</v>
      </c>
      <c r="F461" s="8" t="s">
        <v>2207</v>
      </c>
      <c r="G461" s="8" t="s">
        <v>2208</v>
      </c>
      <c r="H461" s="8" t="s">
        <v>36</v>
      </c>
      <c r="I461" s="8" t="s">
        <v>97</v>
      </c>
      <c r="J461" s="8" t="s">
        <v>2209</v>
      </c>
      <c r="K461" s="6" t="s">
        <v>2210</v>
      </c>
      <c r="L461" s="7" t="s">
        <v>36</v>
      </c>
      <c r="M461" s="6" t="s">
        <v>40</v>
      </c>
      <c r="N461" s="8" t="s">
        <v>2211</v>
      </c>
      <c r="O461" s="6">
        <f>HYPERLINK("https://docs.wto.org/imrd/directdoc.asp?DDFDocuments/t/G/SPS/NRUS83.pdf", "https://docs.wto.org/imrd/directdoc.asp?DDFDocuments/t/G/SPS/NRUS83.pdf")</f>
      </c>
      <c r="P461" s="6">
        <f>HYPERLINK("https://docs.wto.org/imrd/directdoc.asp?DDFDocuments/u/G/SPS/NRUS83.pdf", "https://docs.wto.org/imrd/directdoc.asp?DDFDocuments/u/G/SPS/NRUS83.pdf")</f>
      </c>
      <c r="Q461" s="6">
        <f>HYPERLINK("https://docs.wto.org/imrd/directdoc.asp?DDFDocuments/v/G/SPS/NRUS83.pdf", "https://docs.wto.org/imrd/directdoc.asp?DDFDocuments/v/G/SPS/NRUS83.pdf")</f>
      </c>
      <c r="R461" s="0" t="s">
        <v>36</v>
      </c>
      <c r="S461" s="0" t="s">
        <v>36</v>
      </c>
      <c r="T461" s="0" t="s">
        <v>36</v>
      </c>
      <c r="U461" s="0" t="s">
        <v>36</v>
      </c>
      <c r="V461" s="0" t="s">
        <v>36</v>
      </c>
      <c r="W461" s="0" t="s">
        <v>36</v>
      </c>
      <c r="X461" s="0" t="s">
        <v>36</v>
      </c>
      <c r="Y461" s="2" t="s">
        <v>36</v>
      </c>
      <c r="Z461" s="0" t="s">
        <v>42</v>
      </c>
      <c r="AA461" s="0" t="s">
        <v>43</v>
      </c>
      <c r="AB461" s="0" t="s">
        <v>42</v>
      </c>
      <c r="AC461" s="0" t="s">
        <v>42</v>
      </c>
      <c r="AD461" s="0" t="s">
        <v>43</v>
      </c>
      <c r="AE461" s="2"/>
    </row>
    <row r="462">
      <c r="A462" s="6" t="s">
        <v>31</v>
      </c>
      <c r="B462" s="7">
        <v>41953</v>
      </c>
      <c r="C462" s="9">
        <f>HYPERLINK("https://www.epingalert.org/en/Search?viewData= G/SPS/N/RUS/82"," G/SPS/N/RUS/82")</f>
      </c>
      <c r="D462" s="8" t="s">
        <v>2212</v>
      </c>
      <c r="E462" s="8" t="s">
        <v>2213</v>
      </c>
      <c r="F462" s="8" t="s">
        <v>2214</v>
      </c>
      <c r="G462" s="8" t="s">
        <v>2215</v>
      </c>
      <c r="H462" s="8" t="s">
        <v>36</v>
      </c>
      <c r="I462" s="8" t="s">
        <v>332</v>
      </c>
      <c r="J462" s="8" t="s">
        <v>2216</v>
      </c>
      <c r="K462" s="6"/>
      <c r="L462" s="7">
        <v>42013</v>
      </c>
      <c r="M462" s="6" t="s">
        <v>51</v>
      </c>
      <c r="N462" s="8" t="s">
        <v>2217</v>
      </c>
      <c r="O462" s="6">
        <f>HYPERLINK("https://docs.wto.org/imrd/directdoc.asp?DDFDocuments/t/G/SPS/NRUS82.pdf", "https://docs.wto.org/imrd/directdoc.asp?DDFDocuments/t/G/SPS/NRUS82.pdf")</f>
      </c>
      <c r="P462" s="6">
        <f>HYPERLINK("https://docs.wto.org/imrd/directdoc.asp?DDFDocuments/u/G/SPS/NRUS82.pdf", "https://docs.wto.org/imrd/directdoc.asp?DDFDocuments/u/G/SPS/NRUS82.pdf")</f>
      </c>
      <c r="Q462" s="6">
        <f>HYPERLINK("https://docs.wto.org/imrd/directdoc.asp?DDFDocuments/v/G/SPS/NRUS82.pdf", "https://docs.wto.org/imrd/directdoc.asp?DDFDocuments/v/G/SPS/NRUS82.pdf")</f>
      </c>
      <c r="R462" s="0" t="s">
        <v>36</v>
      </c>
      <c r="S462" s="0" t="s">
        <v>36</v>
      </c>
      <c r="T462" s="0" t="s">
        <v>36</v>
      </c>
      <c r="U462" s="0" t="s">
        <v>36</v>
      </c>
      <c r="V462" s="0" t="s">
        <v>36</v>
      </c>
      <c r="W462" s="0" t="s">
        <v>36</v>
      </c>
      <c r="X462" s="0" t="s">
        <v>36</v>
      </c>
      <c r="Y462" s="2" t="s">
        <v>36</v>
      </c>
      <c r="Z462" s="0" t="s">
        <v>42</v>
      </c>
      <c r="AA462" s="0" t="s">
        <v>43</v>
      </c>
      <c r="AB462" s="0" t="s">
        <v>42</v>
      </c>
      <c r="AC462" s="0" t="s">
        <v>42</v>
      </c>
      <c r="AD462" s="0" t="s">
        <v>43</v>
      </c>
      <c r="AE462" s="2"/>
    </row>
    <row r="463">
      <c r="A463" s="6" t="s">
        <v>31</v>
      </c>
      <c r="B463" s="7">
        <v>41936</v>
      </c>
      <c r="C463" s="9">
        <f>HYPERLINK("https://www.epingalert.org/en/Search?viewData= G/SPS/N/RUS/43/Add.1"," G/SPS/N/RUS/43/Add.1")</f>
      </c>
      <c r="D463" s="8" t="s">
        <v>2218</v>
      </c>
      <c r="E463" s="8" t="s">
        <v>2219</v>
      </c>
      <c r="F463" s="8"/>
      <c r="G463" s="8" t="s">
        <v>2220</v>
      </c>
      <c r="H463" s="8" t="s">
        <v>36</v>
      </c>
      <c r="I463" s="8" t="s">
        <v>332</v>
      </c>
      <c r="J463" s="8" t="s">
        <v>1652</v>
      </c>
      <c r="K463" s="6"/>
      <c r="L463" s="7" t="s">
        <v>36</v>
      </c>
      <c r="M463" s="6" t="s">
        <v>1211</v>
      </c>
      <c r="N463" s="6"/>
      <c r="O463" s="6">
        <f>HYPERLINK("https://docs.wto.org/imrd/directdoc.asp?DDFDocuments/t/G/SPS/NRUS43A1.pdf", "https://docs.wto.org/imrd/directdoc.asp?DDFDocuments/t/G/SPS/NRUS43A1.pdf")</f>
      </c>
      <c r="P463" s="6">
        <f>HYPERLINK("https://docs.wto.org/imrd/directdoc.asp?DDFDocuments/u/G/SPS/NRUS43A1.pdf", "https://docs.wto.org/imrd/directdoc.asp?DDFDocuments/u/G/SPS/NRUS43A1.pdf")</f>
      </c>
      <c r="Q463" s="6">
        <f>HYPERLINK("https://docs.wto.org/imrd/directdoc.asp?DDFDocuments/v/G/SPS/NRUS43A1.pdf", "https://docs.wto.org/imrd/directdoc.asp?DDFDocuments/v/G/SPS/NRUS43A1.pdf")</f>
      </c>
      <c r="R463" s="0" t="s">
        <v>36</v>
      </c>
      <c r="S463" s="0" t="s">
        <v>36</v>
      </c>
      <c r="T463" s="0" t="s">
        <v>36</v>
      </c>
      <c r="U463" s="0" t="s">
        <v>36</v>
      </c>
      <c r="V463" s="0" t="s">
        <v>36</v>
      </c>
      <c r="W463" s="0" t="s">
        <v>36</v>
      </c>
      <c r="X463" s="0" t="s">
        <v>36</v>
      </c>
      <c r="Y463" s="2" t="s">
        <v>36</v>
      </c>
      <c r="Z463" s="0" t="s">
        <v>36</v>
      </c>
      <c r="AA463" s="0" t="s">
        <v>36</v>
      </c>
      <c r="AB463" s="0" t="s">
        <v>36</v>
      </c>
      <c r="AC463" s="0" t="s">
        <v>36</v>
      </c>
      <c r="AD463" s="0" t="s">
        <v>36</v>
      </c>
      <c r="AE463" s="2" t="s">
        <v>36</v>
      </c>
    </row>
    <row r="464">
      <c r="A464" s="6" t="s">
        <v>31</v>
      </c>
      <c r="B464" s="7">
        <v>41936</v>
      </c>
      <c r="C464" s="9">
        <f>HYPERLINK("https://www.epingalert.org/en/Search?viewData= G/SPS/N/RUS/80"," G/SPS/N/RUS/80")</f>
      </c>
      <c r="D464" s="8" t="s">
        <v>2221</v>
      </c>
      <c r="E464" s="8" t="s">
        <v>2222</v>
      </c>
      <c r="F464" s="8" t="s">
        <v>2174</v>
      </c>
      <c r="G464" s="8" t="s">
        <v>1735</v>
      </c>
      <c r="H464" s="8" t="s">
        <v>36</v>
      </c>
      <c r="I464" s="8" t="s">
        <v>65</v>
      </c>
      <c r="J464" s="8" t="s">
        <v>1528</v>
      </c>
      <c r="K464" s="6" t="s">
        <v>1798</v>
      </c>
      <c r="L464" s="7" t="s">
        <v>36</v>
      </c>
      <c r="M464" s="6" t="s">
        <v>40</v>
      </c>
      <c r="N464" s="6"/>
      <c r="O464" s="6">
        <f>HYPERLINK("https://docs.wto.org/imrd/directdoc.asp?DDFDocuments/t/G/SPS/NRUS80.pdf", "https://docs.wto.org/imrd/directdoc.asp?DDFDocuments/t/G/SPS/NRUS80.pdf")</f>
      </c>
      <c r="P464" s="6">
        <f>HYPERLINK("https://docs.wto.org/imrd/directdoc.asp?DDFDocuments/u/G/SPS/NRUS80.pdf", "https://docs.wto.org/imrd/directdoc.asp?DDFDocuments/u/G/SPS/NRUS80.pdf")</f>
      </c>
      <c r="Q464" s="6">
        <f>HYPERLINK("https://docs.wto.org/imrd/directdoc.asp?DDFDocuments/v/G/SPS/NRUS80.pdf", "https://docs.wto.org/imrd/directdoc.asp?DDFDocuments/v/G/SPS/NRUS80.pdf")</f>
      </c>
      <c r="R464" s="0" t="s">
        <v>36</v>
      </c>
      <c r="S464" s="0" t="s">
        <v>36</v>
      </c>
      <c r="T464" s="0" t="s">
        <v>36</v>
      </c>
      <c r="U464" s="0" t="s">
        <v>36</v>
      </c>
      <c r="V464" s="0" t="s">
        <v>36</v>
      </c>
      <c r="W464" s="0" t="s">
        <v>36</v>
      </c>
      <c r="X464" s="0" t="s">
        <v>36</v>
      </c>
      <c r="Y464" s="2" t="s">
        <v>36</v>
      </c>
      <c r="Z464" s="0" t="s">
        <v>42</v>
      </c>
      <c r="AA464" s="0" t="s">
        <v>42</v>
      </c>
      <c r="AB464" s="0" t="s">
        <v>43</v>
      </c>
      <c r="AC464" s="0" t="s">
        <v>42</v>
      </c>
      <c r="AD464" s="0" t="s">
        <v>43</v>
      </c>
      <c r="AE464" s="2"/>
    </row>
    <row r="465">
      <c r="A465" s="6" t="s">
        <v>31</v>
      </c>
      <c r="B465" s="7">
        <v>41936</v>
      </c>
      <c r="C465" s="9">
        <f>HYPERLINK("https://www.epingalert.org/en/Search?viewData= G/SPS/N/RUS/14/Add.3"," G/SPS/N/RUS/14/Add.3")</f>
      </c>
      <c r="D465" s="8" t="s">
        <v>2223</v>
      </c>
      <c r="E465" s="8" t="s">
        <v>2224</v>
      </c>
      <c r="F465" s="8"/>
      <c r="G465" s="8" t="s">
        <v>2225</v>
      </c>
      <c r="H465" s="8" t="s">
        <v>36</v>
      </c>
      <c r="I465" s="8" t="s">
        <v>36</v>
      </c>
      <c r="J465" s="8" t="s">
        <v>2226</v>
      </c>
      <c r="K465" s="6"/>
      <c r="L465" s="7" t="s">
        <v>36</v>
      </c>
      <c r="M465" s="6" t="s">
        <v>1211</v>
      </c>
      <c r="N465" s="6"/>
      <c r="O465" s="6">
        <f>HYPERLINK("https://docs.wto.org/imrd/directdoc.asp?DDFDocuments/t/G/SPS/NRUS14A3.pdf", "https://docs.wto.org/imrd/directdoc.asp?DDFDocuments/t/G/SPS/NRUS14A3.pdf")</f>
      </c>
      <c r="P465" s="6">
        <f>HYPERLINK("https://docs.wto.org/imrd/directdoc.asp?DDFDocuments/u/G/SPS/NRUS14A3.pdf", "https://docs.wto.org/imrd/directdoc.asp?DDFDocuments/u/G/SPS/NRUS14A3.pdf")</f>
      </c>
      <c r="Q465" s="6">
        <f>HYPERLINK("https://docs.wto.org/imrd/directdoc.asp?DDFDocuments/v/G/SPS/NRUS14A3.pdf", "https://docs.wto.org/imrd/directdoc.asp?DDFDocuments/v/G/SPS/NRUS14A3.pdf")</f>
      </c>
      <c r="R465" s="0" t="s">
        <v>36</v>
      </c>
      <c r="S465" s="0" t="s">
        <v>36</v>
      </c>
      <c r="T465" s="0" t="s">
        <v>36</v>
      </c>
      <c r="U465" s="0" t="s">
        <v>36</v>
      </c>
      <c r="V465" s="0" t="s">
        <v>36</v>
      </c>
      <c r="W465" s="0" t="s">
        <v>36</v>
      </c>
      <c r="X465" s="0" t="s">
        <v>36</v>
      </c>
      <c r="Y465" s="2" t="s">
        <v>36</v>
      </c>
      <c r="Z465" s="0" t="s">
        <v>36</v>
      </c>
      <c r="AA465" s="0" t="s">
        <v>36</v>
      </c>
      <c r="AB465" s="0" t="s">
        <v>36</v>
      </c>
      <c r="AC465" s="0" t="s">
        <v>36</v>
      </c>
      <c r="AD465" s="0" t="s">
        <v>36</v>
      </c>
      <c r="AE465" s="2" t="s">
        <v>36</v>
      </c>
    </row>
    <row r="466">
      <c r="A466" s="6" t="s">
        <v>31</v>
      </c>
      <c r="B466" s="7">
        <v>41936</v>
      </c>
      <c r="C466" s="9">
        <f>HYPERLINK("https://www.epingalert.org/en/Search?viewData= G/SPS/N/RUS/81"," G/SPS/N/RUS/81")</f>
      </c>
      <c r="D466" s="8" t="s">
        <v>2227</v>
      </c>
      <c r="E466" s="8" t="s">
        <v>2228</v>
      </c>
      <c r="F466" s="8" t="s">
        <v>2229</v>
      </c>
      <c r="G466" s="8" t="s">
        <v>2230</v>
      </c>
      <c r="H466" s="8" t="s">
        <v>36</v>
      </c>
      <c r="I466" s="8" t="s">
        <v>97</v>
      </c>
      <c r="J466" s="8" t="s">
        <v>2170</v>
      </c>
      <c r="K466" s="6" t="s">
        <v>353</v>
      </c>
      <c r="L466" s="7" t="s">
        <v>36</v>
      </c>
      <c r="M466" s="6" t="s">
        <v>40</v>
      </c>
      <c r="N466" s="8" t="s">
        <v>2231</v>
      </c>
      <c r="O466" s="6">
        <f>HYPERLINK("https://docs.wto.org/imrd/directdoc.asp?DDFDocuments/t/G/SPS/NRUS81.pdf", "https://docs.wto.org/imrd/directdoc.asp?DDFDocuments/t/G/SPS/NRUS81.pdf")</f>
      </c>
      <c r="P466" s="6">
        <f>HYPERLINK("https://docs.wto.org/imrd/directdoc.asp?DDFDocuments/u/G/SPS/NRUS81.pdf", "https://docs.wto.org/imrd/directdoc.asp?DDFDocuments/u/G/SPS/NRUS81.pdf")</f>
      </c>
      <c r="Q466" s="6">
        <f>HYPERLINK("https://docs.wto.org/imrd/directdoc.asp?DDFDocuments/v/G/SPS/NRUS81.pdf", "https://docs.wto.org/imrd/directdoc.asp?DDFDocuments/v/G/SPS/NRUS81.pdf")</f>
      </c>
      <c r="R466" s="0" t="s">
        <v>36</v>
      </c>
      <c r="S466" s="0" t="s">
        <v>36</v>
      </c>
      <c r="T466" s="0" t="s">
        <v>36</v>
      </c>
      <c r="U466" s="0" t="s">
        <v>36</v>
      </c>
      <c r="V466" s="0" t="s">
        <v>36</v>
      </c>
      <c r="W466" s="0" t="s">
        <v>36</v>
      </c>
      <c r="X466" s="0" t="s">
        <v>36</v>
      </c>
      <c r="Y466" s="2" t="s">
        <v>36</v>
      </c>
      <c r="Z466" s="0" t="s">
        <v>42</v>
      </c>
      <c r="AA466" s="0" t="s">
        <v>43</v>
      </c>
      <c r="AB466" s="0" t="s">
        <v>42</v>
      </c>
      <c r="AC466" s="0" t="s">
        <v>42</v>
      </c>
      <c r="AD466" s="0" t="s">
        <v>43</v>
      </c>
      <c r="AE466" s="2"/>
    </row>
    <row r="467">
      <c r="A467" s="6" t="s">
        <v>31</v>
      </c>
      <c r="B467" s="7">
        <v>41933</v>
      </c>
      <c r="C467" s="9">
        <f>HYPERLINK("https://www.epingalert.org/en/Search?viewData= G/SPS/N/RUS/79"," G/SPS/N/RUS/79")</f>
      </c>
      <c r="D467" s="8" t="s">
        <v>2232</v>
      </c>
      <c r="E467" s="8" t="s">
        <v>2233</v>
      </c>
      <c r="F467" s="8" t="s">
        <v>2234</v>
      </c>
      <c r="G467" s="8" t="s">
        <v>2235</v>
      </c>
      <c r="H467" s="8" t="s">
        <v>36</v>
      </c>
      <c r="I467" s="8" t="s">
        <v>1328</v>
      </c>
      <c r="J467" s="8" t="s">
        <v>2236</v>
      </c>
      <c r="K467" s="6" t="s">
        <v>1798</v>
      </c>
      <c r="L467" s="7" t="s">
        <v>36</v>
      </c>
      <c r="M467" s="6" t="s">
        <v>51</v>
      </c>
      <c r="N467" s="8" t="s">
        <v>2237</v>
      </c>
      <c r="O467" s="6">
        <f>HYPERLINK("https://docs.wto.org/imrd/directdoc.asp?DDFDocuments/t/G/SPS/NRUS79.pdf", "https://docs.wto.org/imrd/directdoc.asp?DDFDocuments/t/G/SPS/NRUS79.pdf")</f>
      </c>
      <c r="P467" s="6">
        <f>HYPERLINK("https://docs.wto.org/imrd/directdoc.asp?DDFDocuments/u/G/SPS/NRUS79.pdf", "https://docs.wto.org/imrd/directdoc.asp?DDFDocuments/u/G/SPS/NRUS79.pdf")</f>
      </c>
      <c r="Q467" s="6">
        <f>HYPERLINK("https://docs.wto.org/imrd/directdoc.asp?DDFDocuments/v/G/SPS/NRUS79.pdf", "https://docs.wto.org/imrd/directdoc.asp?DDFDocuments/v/G/SPS/NRUS79.pdf")</f>
      </c>
      <c r="R467" s="0" t="s">
        <v>36</v>
      </c>
      <c r="S467" s="0" t="s">
        <v>36</v>
      </c>
      <c r="T467" s="0" t="s">
        <v>36</v>
      </c>
      <c r="U467" s="0" t="s">
        <v>36</v>
      </c>
      <c r="V467" s="0" t="s">
        <v>36</v>
      </c>
      <c r="W467" s="0" t="s">
        <v>36</v>
      </c>
      <c r="X467" s="0" t="s">
        <v>36</v>
      </c>
      <c r="Y467" s="2" t="s">
        <v>36</v>
      </c>
      <c r="Z467" s="0" t="s">
        <v>42</v>
      </c>
      <c r="AA467" s="0" t="s">
        <v>43</v>
      </c>
      <c r="AB467" s="0" t="s">
        <v>42</v>
      </c>
      <c r="AC467" s="0" t="s">
        <v>42</v>
      </c>
      <c r="AD467" s="0" t="s">
        <v>43</v>
      </c>
      <c r="AE467" s="2" t="s">
        <v>36</v>
      </c>
    </row>
    <row r="468">
      <c r="A468" s="6" t="s">
        <v>31</v>
      </c>
      <c r="B468" s="7">
        <v>41926</v>
      </c>
      <c r="C468" s="9">
        <f>HYPERLINK("https://www.epingalert.org/en/Search?viewData= G/TBT/N/RUS/40"," G/TBT/N/RUS/40")</f>
      </c>
      <c r="D468" s="8" t="s">
        <v>2238</v>
      </c>
      <c r="E468" s="8" t="s">
        <v>2239</v>
      </c>
      <c r="F468" s="8" t="s">
        <v>2240</v>
      </c>
      <c r="G468" s="8" t="s">
        <v>36</v>
      </c>
      <c r="H468" s="8" t="s">
        <v>2241</v>
      </c>
      <c r="I468" s="8" t="s">
        <v>902</v>
      </c>
      <c r="J468" s="8" t="s">
        <v>36</v>
      </c>
      <c r="K468" s="6"/>
      <c r="L468" s="7">
        <v>41965</v>
      </c>
      <c r="M468" s="6" t="s">
        <v>51</v>
      </c>
      <c r="N468" s="6"/>
      <c r="O468" s="6">
        <f>HYPERLINK("https://docs.wto.org/imrd/directdoc.asp?DDFDocuments/t/G/TBTN14/RUS40.DOC", "https://docs.wto.org/imrd/directdoc.asp?DDFDocuments/t/G/TBTN14/RUS40.DOC")</f>
      </c>
      <c r="P468" s="6">
        <f>HYPERLINK("https://docs.wto.org/imrd/directdoc.asp?DDFDocuments/u/G/TBTN14/RUS40.DOC", "https://docs.wto.org/imrd/directdoc.asp?DDFDocuments/u/G/TBTN14/RUS40.DOC")</f>
      </c>
      <c r="Q468" s="6">
        <f>HYPERLINK("https://docs.wto.org/imrd/directdoc.asp?DDFDocuments/v/G/TBTN14/RUS40.DOC", "https://docs.wto.org/imrd/directdoc.asp?DDFDocuments/v/G/TBTN14/RUS40.DOC")</f>
      </c>
      <c r="R468" s="0" t="s">
        <v>42</v>
      </c>
      <c r="S468" s="0" t="s">
        <v>42</v>
      </c>
      <c r="T468" s="0" t="s">
        <v>43</v>
      </c>
      <c r="U468" s="0" t="s">
        <v>42</v>
      </c>
      <c r="V468" s="0" t="s">
        <v>42</v>
      </c>
      <c r="W468" s="0" t="s">
        <v>42</v>
      </c>
      <c r="X468" s="0" t="s">
        <v>42</v>
      </c>
      <c r="Y468" s="2" t="s">
        <v>2242</v>
      </c>
      <c r="Z468" s="0" t="s">
        <v>36</v>
      </c>
      <c r="AA468" s="0" t="s">
        <v>36</v>
      </c>
      <c r="AB468" s="0" t="s">
        <v>36</v>
      </c>
      <c r="AC468" s="0" t="s">
        <v>36</v>
      </c>
      <c r="AD468" s="0" t="s">
        <v>36</v>
      </c>
      <c r="AE468" s="2" t="s">
        <v>36</v>
      </c>
    </row>
    <row r="469">
      <c r="A469" s="6" t="s">
        <v>31</v>
      </c>
      <c r="B469" s="7">
        <v>41898</v>
      </c>
      <c r="C469" s="9">
        <f>HYPERLINK("https://www.epingalert.org/en/Search?viewData= G/SPS/N/RUS/77"," G/SPS/N/RUS/77")</f>
      </c>
      <c r="D469" s="8" t="s">
        <v>2243</v>
      </c>
      <c r="E469" s="8" t="s">
        <v>2244</v>
      </c>
      <c r="F469" s="8" t="s">
        <v>2245</v>
      </c>
      <c r="G469" s="8" t="s">
        <v>2246</v>
      </c>
      <c r="H469" s="8" t="s">
        <v>36</v>
      </c>
      <c r="I469" s="8" t="s">
        <v>37</v>
      </c>
      <c r="J469" s="8" t="s">
        <v>2203</v>
      </c>
      <c r="K469" s="6" t="s">
        <v>2247</v>
      </c>
      <c r="L469" s="7" t="s">
        <v>36</v>
      </c>
      <c r="M469" s="6" t="s">
        <v>40</v>
      </c>
      <c r="N469" s="8" t="s">
        <v>2248</v>
      </c>
      <c r="O469" s="6">
        <f>HYPERLINK("https://docs.wto.org/imrd/directdoc.asp?DDFDocuments/t/G/SPS/NRUS77.pdf", "https://docs.wto.org/imrd/directdoc.asp?DDFDocuments/t/G/SPS/NRUS77.pdf")</f>
      </c>
      <c r="P469" s="6">
        <f>HYPERLINK("https://docs.wto.org/imrd/directdoc.asp?DDFDocuments/u/G/SPS/NRUS77.pdf", "https://docs.wto.org/imrd/directdoc.asp?DDFDocuments/u/G/SPS/NRUS77.pdf")</f>
      </c>
      <c r="Q469" s="6">
        <f>HYPERLINK("https://docs.wto.org/imrd/directdoc.asp?DDFDocuments/v/G/SPS/NRUS77.pdf", "https://docs.wto.org/imrd/directdoc.asp?DDFDocuments/v/G/SPS/NRUS77.pdf")</f>
      </c>
      <c r="R469" s="0" t="s">
        <v>36</v>
      </c>
      <c r="S469" s="0" t="s">
        <v>36</v>
      </c>
      <c r="T469" s="0" t="s">
        <v>36</v>
      </c>
      <c r="U469" s="0" t="s">
        <v>36</v>
      </c>
      <c r="V469" s="0" t="s">
        <v>36</v>
      </c>
      <c r="W469" s="0" t="s">
        <v>36</v>
      </c>
      <c r="X469" s="0" t="s">
        <v>36</v>
      </c>
      <c r="Y469" s="2" t="s">
        <v>36</v>
      </c>
      <c r="Z469" s="0" t="s">
        <v>42</v>
      </c>
      <c r="AA469" s="0" t="s">
        <v>43</v>
      </c>
      <c r="AB469" s="0" t="s">
        <v>42</v>
      </c>
      <c r="AC469" s="0" t="s">
        <v>42</v>
      </c>
      <c r="AD469" s="0" t="s">
        <v>43</v>
      </c>
      <c r="AE469" s="2"/>
    </row>
    <row r="470">
      <c r="A470" s="6" t="s">
        <v>31</v>
      </c>
      <c r="B470" s="7">
        <v>41898</v>
      </c>
      <c r="C470" s="9">
        <f>HYPERLINK("https://www.epingalert.org/en/Search?viewData= G/SPS/N/RUS/78"," G/SPS/N/RUS/78")</f>
      </c>
      <c r="D470" s="8" t="s">
        <v>2243</v>
      </c>
      <c r="E470" s="8" t="s">
        <v>2249</v>
      </c>
      <c r="F470" s="8" t="s">
        <v>2245</v>
      </c>
      <c r="G470" s="8" t="s">
        <v>2246</v>
      </c>
      <c r="H470" s="8" t="s">
        <v>36</v>
      </c>
      <c r="I470" s="8" t="s">
        <v>37</v>
      </c>
      <c r="J470" s="8" t="s">
        <v>1574</v>
      </c>
      <c r="K470" s="6" t="s">
        <v>2250</v>
      </c>
      <c r="L470" s="7" t="s">
        <v>36</v>
      </c>
      <c r="M470" s="6" t="s">
        <v>40</v>
      </c>
      <c r="N470" s="8" t="s">
        <v>2248</v>
      </c>
      <c r="O470" s="6">
        <f>HYPERLINK("https://docs.wto.org/imrd/directdoc.asp?DDFDocuments/t/G/SPS/NRUS78.pdf", "https://docs.wto.org/imrd/directdoc.asp?DDFDocuments/t/G/SPS/NRUS78.pdf")</f>
      </c>
      <c r="P470" s="6">
        <f>HYPERLINK("https://docs.wto.org/imrd/directdoc.asp?DDFDocuments/u/G/SPS/NRUS78.pdf", "https://docs.wto.org/imrd/directdoc.asp?DDFDocuments/u/G/SPS/NRUS78.pdf")</f>
      </c>
      <c r="Q470" s="6">
        <f>HYPERLINK("https://docs.wto.org/imrd/directdoc.asp?DDFDocuments/v/G/SPS/NRUS78.pdf", "https://docs.wto.org/imrd/directdoc.asp?DDFDocuments/v/G/SPS/NRUS78.pdf")</f>
      </c>
      <c r="R470" s="0" t="s">
        <v>36</v>
      </c>
      <c r="S470" s="0" t="s">
        <v>36</v>
      </c>
      <c r="T470" s="0" t="s">
        <v>36</v>
      </c>
      <c r="U470" s="0" t="s">
        <v>36</v>
      </c>
      <c r="V470" s="0" t="s">
        <v>36</v>
      </c>
      <c r="W470" s="0" t="s">
        <v>36</v>
      </c>
      <c r="X470" s="0" t="s">
        <v>36</v>
      </c>
      <c r="Y470" s="2" t="s">
        <v>36</v>
      </c>
      <c r="Z470" s="0" t="s">
        <v>42</v>
      </c>
      <c r="AA470" s="0" t="s">
        <v>43</v>
      </c>
      <c r="AB470" s="0" t="s">
        <v>42</v>
      </c>
      <c r="AC470" s="0" t="s">
        <v>42</v>
      </c>
      <c r="AD470" s="0" t="s">
        <v>43</v>
      </c>
      <c r="AE470" s="2"/>
    </row>
    <row r="471">
      <c r="A471" s="6" t="s">
        <v>31</v>
      </c>
      <c r="B471" s="7">
        <v>41898</v>
      </c>
      <c r="C471" s="9">
        <f>HYPERLINK("https://www.epingalert.org/en/Search?viewData= G/SPS/N/RUS/76"," G/SPS/N/RUS/76")</f>
      </c>
      <c r="D471" s="8" t="s">
        <v>2251</v>
      </c>
      <c r="E471" s="8" t="s">
        <v>2252</v>
      </c>
      <c r="F471" s="8" t="s">
        <v>2253</v>
      </c>
      <c r="G471" s="8" t="s">
        <v>2254</v>
      </c>
      <c r="H471" s="8" t="s">
        <v>36</v>
      </c>
      <c r="I471" s="8" t="s">
        <v>332</v>
      </c>
      <c r="J471" s="8" t="s">
        <v>2255</v>
      </c>
      <c r="K471" s="6" t="s">
        <v>973</v>
      </c>
      <c r="L471" s="7" t="s">
        <v>36</v>
      </c>
      <c r="M471" s="6" t="s">
        <v>40</v>
      </c>
      <c r="N471" s="8" t="s">
        <v>2256</v>
      </c>
      <c r="O471" s="6">
        <f>HYPERLINK("https://docs.wto.org/imrd/directdoc.asp?DDFDocuments/t/G/SPS/NRUS76.pdf", "https://docs.wto.org/imrd/directdoc.asp?DDFDocuments/t/G/SPS/NRUS76.pdf")</f>
      </c>
      <c r="P471" s="6">
        <f>HYPERLINK("https://docs.wto.org/imrd/directdoc.asp?DDFDocuments/u/G/SPS/NRUS76.pdf", "https://docs.wto.org/imrd/directdoc.asp?DDFDocuments/u/G/SPS/NRUS76.pdf")</f>
      </c>
      <c r="Q471" s="6">
        <f>HYPERLINK("https://docs.wto.org/imrd/directdoc.asp?DDFDocuments/v/G/SPS/NRUS76.pdf", "https://docs.wto.org/imrd/directdoc.asp?DDFDocuments/v/G/SPS/NRUS76.pdf")</f>
      </c>
      <c r="R471" s="0" t="s">
        <v>36</v>
      </c>
      <c r="S471" s="0" t="s">
        <v>36</v>
      </c>
      <c r="T471" s="0" t="s">
        <v>36</v>
      </c>
      <c r="U471" s="0" t="s">
        <v>36</v>
      </c>
      <c r="V471" s="0" t="s">
        <v>36</v>
      </c>
      <c r="W471" s="0" t="s">
        <v>36</v>
      </c>
      <c r="X471" s="0" t="s">
        <v>36</v>
      </c>
      <c r="Y471" s="2" t="s">
        <v>36</v>
      </c>
      <c r="Z471" s="0" t="s">
        <v>42</v>
      </c>
      <c r="AA471" s="0" t="s">
        <v>43</v>
      </c>
      <c r="AB471" s="0" t="s">
        <v>42</v>
      </c>
      <c r="AC471" s="0" t="s">
        <v>42</v>
      </c>
      <c r="AD471" s="0" t="s">
        <v>43</v>
      </c>
      <c r="AE471" s="2" t="s">
        <v>36</v>
      </c>
    </row>
    <row r="472">
      <c r="A472" s="6" t="s">
        <v>31</v>
      </c>
      <c r="B472" s="7">
        <v>41897</v>
      </c>
      <c r="C472" s="9">
        <f>HYPERLINK("https://www.epingalert.org/en/Search?viewData= G/SPS/N/RUS/75"," G/SPS/N/RUS/75")</f>
      </c>
      <c r="D472" s="8" t="s">
        <v>2257</v>
      </c>
      <c r="E472" s="8" t="s">
        <v>2258</v>
      </c>
      <c r="F472" s="8" t="s">
        <v>2259</v>
      </c>
      <c r="G472" s="8" t="s">
        <v>2260</v>
      </c>
      <c r="H472" s="8" t="s">
        <v>36</v>
      </c>
      <c r="I472" s="8" t="s">
        <v>37</v>
      </c>
      <c r="J472" s="8" t="s">
        <v>199</v>
      </c>
      <c r="K472" s="6" t="s">
        <v>2261</v>
      </c>
      <c r="L472" s="7" t="s">
        <v>36</v>
      </c>
      <c r="M472" s="6" t="s">
        <v>40</v>
      </c>
      <c r="N472" s="8" t="s">
        <v>2262</v>
      </c>
      <c r="O472" s="6">
        <f>HYPERLINK("https://docs.wto.org/imrd/directdoc.asp?DDFDocuments/t/G/SPS/NRUS75.pdf", "https://docs.wto.org/imrd/directdoc.asp?DDFDocuments/t/G/SPS/NRUS75.pdf")</f>
      </c>
      <c r="P472" s="6">
        <f>HYPERLINK("https://docs.wto.org/imrd/directdoc.asp?DDFDocuments/u/G/SPS/NRUS75.pdf", "https://docs.wto.org/imrd/directdoc.asp?DDFDocuments/u/G/SPS/NRUS75.pdf")</f>
      </c>
      <c r="Q472" s="6">
        <f>HYPERLINK("https://docs.wto.org/imrd/directdoc.asp?DDFDocuments/v/G/SPS/NRUS75.pdf", "https://docs.wto.org/imrd/directdoc.asp?DDFDocuments/v/G/SPS/NRUS75.pdf")</f>
      </c>
      <c r="R472" s="0" t="s">
        <v>36</v>
      </c>
      <c r="S472" s="0" t="s">
        <v>36</v>
      </c>
      <c r="T472" s="0" t="s">
        <v>36</v>
      </c>
      <c r="U472" s="0" t="s">
        <v>36</v>
      </c>
      <c r="V472" s="0" t="s">
        <v>36</v>
      </c>
      <c r="W472" s="0" t="s">
        <v>36</v>
      </c>
      <c r="X472" s="0" t="s">
        <v>36</v>
      </c>
      <c r="Y472" s="2" t="s">
        <v>36</v>
      </c>
      <c r="Z472" s="0" t="s">
        <v>42</v>
      </c>
      <c r="AA472" s="0" t="s">
        <v>43</v>
      </c>
      <c r="AB472" s="0" t="s">
        <v>42</v>
      </c>
      <c r="AC472" s="0" t="s">
        <v>42</v>
      </c>
      <c r="AD472" s="0" t="s">
        <v>43</v>
      </c>
      <c r="AE472" s="2"/>
    </row>
    <row r="473">
      <c r="A473" s="6" t="s">
        <v>31</v>
      </c>
      <c r="B473" s="7">
        <v>41885</v>
      </c>
      <c r="C473" s="9">
        <f>HYPERLINK("https://www.epingalert.org/en/Search?viewData= G/TBT/N/RUS/38"," G/TBT/N/RUS/38")</f>
      </c>
      <c r="D473" s="8" t="s">
        <v>2263</v>
      </c>
      <c r="E473" s="8" t="s">
        <v>2264</v>
      </c>
      <c r="F473" s="8" t="s">
        <v>1914</v>
      </c>
      <c r="G473" s="8" t="s">
        <v>36</v>
      </c>
      <c r="H473" s="8" t="s">
        <v>1910</v>
      </c>
      <c r="I473" s="8" t="s">
        <v>2265</v>
      </c>
      <c r="J473" s="8" t="s">
        <v>58</v>
      </c>
      <c r="K473" s="6"/>
      <c r="L473" s="7">
        <v>41944</v>
      </c>
      <c r="M473" s="6" t="s">
        <v>51</v>
      </c>
      <c r="N473" s="6"/>
      <c r="O473" s="6">
        <f>HYPERLINK("https://docs.wto.org/imrd/directdoc.asp?DDFDocuments/t/G/TBTN14/RUS38.DOC", "https://docs.wto.org/imrd/directdoc.asp?DDFDocuments/t/G/TBTN14/RUS38.DOC")</f>
      </c>
      <c r="P473" s="6">
        <f>HYPERLINK("https://docs.wto.org/imrd/directdoc.asp?DDFDocuments/u/G/TBTN14/RUS38.DOC", "https://docs.wto.org/imrd/directdoc.asp?DDFDocuments/u/G/TBTN14/RUS38.DOC")</f>
      </c>
      <c r="Q473" s="6">
        <f>HYPERLINK("https://docs.wto.org/imrd/directdoc.asp?DDFDocuments/v/G/TBTN14/RUS38.DOC", "https://docs.wto.org/imrd/directdoc.asp?DDFDocuments/v/G/TBTN14/RUS38.DOC")</f>
      </c>
      <c r="R473" s="0" t="s">
        <v>42</v>
      </c>
      <c r="S473" s="0" t="s">
        <v>42</v>
      </c>
      <c r="T473" s="0" t="s">
        <v>43</v>
      </c>
      <c r="U473" s="0" t="s">
        <v>42</v>
      </c>
      <c r="V473" s="0" t="s">
        <v>42</v>
      </c>
      <c r="W473" s="0" t="s">
        <v>42</v>
      </c>
      <c r="X473" s="0" t="s">
        <v>42</v>
      </c>
      <c r="Y473" s="2" t="s">
        <v>2266</v>
      </c>
      <c r="Z473" s="0" t="s">
        <v>36</v>
      </c>
      <c r="AA473" s="0" t="s">
        <v>36</v>
      </c>
      <c r="AB473" s="0" t="s">
        <v>36</v>
      </c>
      <c r="AC473" s="0" t="s">
        <v>36</v>
      </c>
      <c r="AD473" s="0" t="s">
        <v>36</v>
      </c>
      <c r="AE473" s="2" t="s">
        <v>36</v>
      </c>
    </row>
    <row r="474">
      <c r="A474" s="6" t="s">
        <v>31</v>
      </c>
      <c r="B474" s="7">
        <v>41885</v>
      </c>
      <c r="C474" s="9">
        <f>HYPERLINK("https://www.epingalert.org/en/Search?viewData= G/TBT/N/RUS/39"," G/TBT/N/RUS/39")</f>
      </c>
      <c r="D474" s="8" t="s">
        <v>2267</v>
      </c>
      <c r="E474" s="8" t="s">
        <v>2268</v>
      </c>
      <c r="F474" s="8" t="s">
        <v>2269</v>
      </c>
      <c r="G474" s="8" t="s">
        <v>36</v>
      </c>
      <c r="H474" s="8" t="s">
        <v>77</v>
      </c>
      <c r="I474" s="8" t="s">
        <v>818</v>
      </c>
      <c r="J474" s="8" t="s">
        <v>58</v>
      </c>
      <c r="K474" s="6"/>
      <c r="L474" s="7">
        <v>41944</v>
      </c>
      <c r="M474" s="6" t="s">
        <v>51</v>
      </c>
      <c r="N474" s="6"/>
      <c r="O474" s="6">
        <f>HYPERLINK("https://docs.wto.org/imrd/directdoc.asp?DDFDocuments/t/G/TBTN14/RUS39.DOC", "https://docs.wto.org/imrd/directdoc.asp?DDFDocuments/t/G/TBTN14/RUS39.DOC")</f>
      </c>
      <c r="P474" s="6">
        <f>HYPERLINK("https://docs.wto.org/imrd/directdoc.asp?DDFDocuments/u/G/TBTN14/RUS39.DOC", "https://docs.wto.org/imrd/directdoc.asp?DDFDocuments/u/G/TBTN14/RUS39.DOC")</f>
      </c>
      <c r="Q474" s="6">
        <f>HYPERLINK("https://docs.wto.org/imrd/directdoc.asp?DDFDocuments/v/G/TBTN14/RUS39.DOC", "https://docs.wto.org/imrd/directdoc.asp?DDFDocuments/v/G/TBTN14/RUS39.DOC")</f>
      </c>
      <c r="R474" s="0" t="s">
        <v>42</v>
      </c>
      <c r="S474" s="0" t="s">
        <v>42</v>
      </c>
      <c r="T474" s="0" t="s">
        <v>43</v>
      </c>
      <c r="U474" s="0" t="s">
        <v>42</v>
      </c>
      <c r="V474" s="0" t="s">
        <v>42</v>
      </c>
      <c r="W474" s="0" t="s">
        <v>42</v>
      </c>
      <c r="X474" s="0" t="s">
        <v>42</v>
      </c>
      <c r="Y474" s="2" t="s">
        <v>2270</v>
      </c>
      <c r="Z474" s="0" t="s">
        <v>36</v>
      </c>
      <c r="AA474" s="0" t="s">
        <v>36</v>
      </c>
      <c r="AB474" s="0" t="s">
        <v>36</v>
      </c>
      <c r="AC474" s="0" t="s">
        <v>36</v>
      </c>
      <c r="AD474" s="0" t="s">
        <v>36</v>
      </c>
      <c r="AE474" s="2" t="s">
        <v>36</v>
      </c>
    </row>
    <row r="475">
      <c r="A475" s="6" t="s">
        <v>31</v>
      </c>
      <c r="B475" s="7">
        <v>41878</v>
      </c>
      <c r="C475" s="9">
        <f>HYPERLINK("https://www.epingalert.org/en/Search?viewData= G/SPS/N/RUS/74"," G/SPS/N/RUS/74")</f>
      </c>
      <c r="D475" s="8" t="s">
        <v>2271</v>
      </c>
      <c r="E475" s="8" t="s">
        <v>2272</v>
      </c>
      <c r="F475" s="8" t="s">
        <v>2273</v>
      </c>
      <c r="G475" s="8" t="s">
        <v>2274</v>
      </c>
      <c r="H475" s="8" t="s">
        <v>36</v>
      </c>
      <c r="I475" s="8" t="s">
        <v>97</v>
      </c>
      <c r="J475" s="8" t="s">
        <v>105</v>
      </c>
      <c r="K475" s="6" t="s">
        <v>2275</v>
      </c>
      <c r="L475" s="7" t="s">
        <v>36</v>
      </c>
      <c r="M475" s="6" t="s">
        <v>51</v>
      </c>
      <c r="N475" s="8" t="s">
        <v>2276</v>
      </c>
      <c r="O475" s="6">
        <f>HYPERLINK("https://docs.wto.org/imrd/directdoc.asp?DDFDocuments/t/G/SPS/NRUS74.pdf", "https://docs.wto.org/imrd/directdoc.asp?DDFDocuments/t/G/SPS/NRUS74.pdf")</f>
      </c>
      <c r="P475" s="6">
        <f>HYPERLINK("https://docs.wto.org/imrd/directdoc.asp?DDFDocuments/u/G/SPS/NRUS74.pdf", "https://docs.wto.org/imrd/directdoc.asp?DDFDocuments/u/G/SPS/NRUS74.pdf")</f>
      </c>
      <c r="Q475" s="6">
        <f>HYPERLINK("https://docs.wto.org/imrd/directdoc.asp?DDFDocuments/v/G/SPS/NRUS74.pdf", "https://docs.wto.org/imrd/directdoc.asp?DDFDocuments/v/G/SPS/NRUS74.pdf")</f>
      </c>
      <c r="R475" s="0" t="s">
        <v>36</v>
      </c>
      <c r="S475" s="0" t="s">
        <v>36</v>
      </c>
      <c r="T475" s="0" t="s">
        <v>36</v>
      </c>
      <c r="U475" s="0" t="s">
        <v>36</v>
      </c>
      <c r="V475" s="0" t="s">
        <v>36</v>
      </c>
      <c r="W475" s="0" t="s">
        <v>36</v>
      </c>
      <c r="X475" s="0" t="s">
        <v>36</v>
      </c>
      <c r="Y475" s="2" t="s">
        <v>36</v>
      </c>
      <c r="Z475" s="0" t="s">
        <v>42</v>
      </c>
      <c r="AA475" s="0" t="s">
        <v>43</v>
      </c>
      <c r="AB475" s="0" t="s">
        <v>42</v>
      </c>
      <c r="AC475" s="0" t="s">
        <v>42</v>
      </c>
      <c r="AD475" s="0" t="s">
        <v>43</v>
      </c>
      <c r="AE475" s="2"/>
    </row>
    <row r="476">
      <c r="A476" s="6" t="s">
        <v>31</v>
      </c>
      <c r="B476" s="7">
        <v>41873</v>
      </c>
      <c r="C476" s="9">
        <f>HYPERLINK("https://www.epingalert.org/en/Search?viewData= G/SPS/N/RUS/73"," G/SPS/N/RUS/73")</f>
      </c>
      <c r="D476" s="8" t="s">
        <v>2277</v>
      </c>
      <c r="E476" s="8" t="s">
        <v>2278</v>
      </c>
      <c r="F476" s="8" t="s">
        <v>2279</v>
      </c>
      <c r="G476" s="8" t="s">
        <v>2280</v>
      </c>
      <c r="H476" s="8" t="s">
        <v>36</v>
      </c>
      <c r="I476" s="8" t="s">
        <v>37</v>
      </c>
      <c r="J476" s="8" t="s">
        <v>2281</v>
      </c>
      <c r="K476" s="6"/>
      <c r="L476" s="7">
        <v>41933</v>
      </c>
      <c r="M476" s="6" t="s">
        <v>51</v>
      </c>
      <c r="N476" s="8" t="s">
        <v>2282</v>
      </c>
      <c r="O476" s="6">
        <f>HYPERLINK("https://docs.wto.org/imrd/directdoc.asp?DDFDocuments/t/G/SPS/NRUS73.pdf", "https://docs.wto.org/imrd/directdoc.asp?DDFDocuments/t/G/SPS/NRUS73.pdf")</f>
      </c>
      <c r="P476" s="6">
        <f>HYPERLINK("https://docs.wto.org/imrd/directdoc.asp?DDFDocuments/u/G/SPS/NRUS73.pdf", "https://docs.wto.org/imrd/directdoc.asp?DDFDocuments/u/G/SPS/NRUS73.pdf")</f>
      </c>
      <c r="Q476" s="6">
        <f>HYPERLINK("https://docs.wto.org/imrd/directdoc.asp?DDFDocuments/v/G/SPS/NRUS73.pdf", "https://docs.wto.org/imrd/directdoc.asp?DDFDocuments/v/G/SPS/NRUS73.pdf")</f>
      </c>
      <c r="R476" s="0" t="s">
        <v>36</v>
      </c>
      <c r="S476" s="0" t="s">
        <v>36</v>
      </c>
      <c r="T476" s="0" t="s">
        <v>36</v>
      </c>
      <c r="U476" s="0" t="s">
        <v>36</v>
      </c>
      <c r="V476" s="0" t="s">
        <v>36</v>
      </c>
      <c r="W476" s="0" t="s">
        <v>36</v>
      </c>
      <c r="X476" s="0" t="s">
        <v>36</v>
      </c>
      <c r="Y476" s="2" t="s">
        <v>36</v>
      </c>
      <c r="Z476" s="0" t="s">
        <v>42</v>
      </c>
      <c r="AA476" s="0" t="s">
        <v>43</v>
      </c>
      <c r="AB476" s="0" t="s">
        <v>42</v>
      </c>
      <c r="AC476" s="0" t="s">
        <v>42</v>
      </c>
      <c r="AD476" s="0" t="s">
        <v>43</v>
      </c>
      <c r="AE476" s="2"/>
    </row>
    <row r="477">
      <c r="A477" s="6" t="s">
        <v>31</v>
      </c>
      <c r="B477" s="7">
        <v>41871</v>
      </c>
      <c r="C477" s="9">
        <f>HYPERLINK("https://www.epingalert.org/en/Search?viewData= G/SPS/N/RUS/72"," G/SPS/N/RUS/72")</f>
      </c>
      <c r="D477" s="8" t="s">
        <v>2283</v>
      </c>
      <c r="E477" s="8" t="s">
        <v>2284</v>
      </c>
      <c r="F477" s="8" t="s">
        <v>2285</v>
      </c>
      <c r="G477" s="8" t="s">
        <v>2286</v>
      </c>
      <c r="H477" s="8" t="s">
        <v>36</v>
      </c>
      <c r="I477" s="8" t="s">
        <v>97</v>
      </c>
      <c r="J477" s="8" t="s">
        <v>105</v>
      </c>
      <c r="K477" s="6" t="s">
        <v>255</v>
      </c>
      <c r="L477" s="7" t="s">
        <v>36</v>
      </c>
      <c r="M477" s="6" t="s">
        <v>51</v>
      </c>
      <c r="N477" s="8" t="s">
        <v>2287</v>
      </c>
      <c r="O477" s="6">
        <f>HYPERLINK("https://docs.wto.org/imrd/directdoc.asp?DDFDocuments/t/G/SPS/NRUS72.pdf", "https://docs.wto.org/imrd/directdoc.asp?DDFDocuments/t/G/SPS/NRUS72.pdf")</f>
      </c>
      <c r="P477" s="6">
        <f>HYPERLINK("https://docs.wto.org/imrd/directdoc.asp?DDFDocuments/u/G/SPS/NRUS72.pdf", "https://docs.wto.org/imrd/directdoc.asp?DDFDocuments/u/G/SPS/NRUS72.pdf")</f>
      </c>
      <c r="Q477" s="6">
        <f>HYPERLINK("https://docs.wto.org/imrd/directdoc.asp?DDFDocuments/v/G/SPS/NRUS72.pdf", "https://docs.wto.org/imrd/directdoc.asp?DDFDocuments/v/G/SPS/NRUS72.pdf")</f>
      </c>
      <c r="R477" s="0" t="s">
        <v>36</v>
      </c>
      <c r="S477" s="0" t="s">
        <v>36</v>
      </c>
      <c r="T477" s="0" t="s">
        <v>36</v>
      </c>
      <c r="U477" s="0" t="s">
        <v>36</v>
      </c>
      <c r="V477" s="0" t="s">
        <v>36</v>
      </c>
      <c r="W477" s="0" t="s">
        <v>36</v>
      </c>
      <c r="X477" s="0" t="s">
        <v>36</v>
      </c>
      <c r="Y477" s="2" t="s">
        <v>36</v>
      </c>
      <c r="Z477" s="0" t="s">
        <v>42</v>
      </c>
      <c r="AA477" s="0" t="s">
        <v>43</v>
      </c>
      <c r="AB477" s="0" t="s">
        <v>42</v>
      </c>
      <c r="AC477" s="0" t="s">
        <v>42</v>
      </c>
      <c r="AD477" s="0" t="s">
        <v>43</v>
      </c>
      <c r="AE477" s="2"/>
    </row>
    <row r="478">
      <c r="A478" s="6" t="s">
        <v>31</v>
      </c>
      <c r="B478" s="7">
        <v>41871</v>
      </c>
      <c r="C478" s="9">
        <f>HYPERLINK("https://www.epingalert.org/en/Search?viewData= G/TBT/N/RUS/37"," G/TBT/N/RUS/37")</f>
      </c>
      <c r="D478" s="8" t="s">
        <v>2288</v>
      </c>
      <c r="E478" s="8" t="s">
        <v>2289</v>
      </c>
      <c r="F478" s="8" t="s">
        <v>2290</v>
      </c>
      <c r="G478" s="8" t="s">
        <v>36</v>
      </c>
      <c r="H478" s="8" t="s">
        <v>48</v>
      </c>
      <c r="I478" s="8" t="s">
        <v>796</v>
      </c>
      <c r="J478" s="8" t="s">
        <v>58</v>
      </c>
      <c r="K478" s="6"/>
      <c r="L478" s="7">
        <v>41918</v>
      </c>
      <c r="M478" s="6" t="s">
        <v>51</v>
      </c>
      <c r="N478" s="6"/>
      <c r="O478" s="6">
        <f>HYPERLINK("https://docs.wto.org/imrd/directdoc.asp?DDFDocuments/t/G/TBTN14/RUS37.DOC", "https://docs.wto.org/imrd/directdoc.asp?DDFDocuments/t/G/TBTN14/RUS37.DOC")</f>
      </c>
      <c r="P478" s="6">
        <f>HYPERLINK("https://docs.wto.org/imrd/directdoc.asp?DDFDocuments/u/G/TBTN14/RUS37.DOC", "https://docs.wto.org/imrd/directdoc.asp?DDFDocuments/u/G/TBTN14/RUS37.DOC")</f>
      </c>
      <c r="Q478" s="6">
        <f>HYPERLINK("https://docs.wto.org/imrd/directdoc.asp?DDFDocuments/v/G/TBTN14/RUS37.DOC", "https://docs.wto.org/imrd/directdoc.asp?DDFDocuments/v/G/TBTN14/RUS37.DOC")</f>
      </c>
      <c r="R478" s="0" t="s">
        <v>43</v>
      </c>
      <c r="S478" s="0" t="s">
        <v>42</v>
      </c>
      <c r="T478" s="0" t="s">
        <v>43</v>
      </c>
      <c r="U478" s="0" t="s">
        <v>42</v>
      </c>
      <c r="V478" s="0" t="s">
        <v>42</v>
      </c>
      <c r="W478" s="0" t="s">
        <v>42</v>
      </c>
      <c r="X478" s="0" t="s">
        <v>42</v>
      </c>
      <c r="Y478" s="2" t="s">
        <v>107</v>
      </c>
      <c r="Z478" s="0" t="s">
        <v>36</v>
      </c>
      <c r="AA478" s="0" t="s">
        <v>36</v>
      </c>
      <c r="AB478" s="0" t="s">
        <v>36</v>
      </c>
      <c r="AC478" s="0" t="s">
        <v>36</v>
      </c>
      <c r="AD478" s="0" t="s">
        <v>36</v>
      </c>
      <c r="AE478" s="2" t="s">
        <v>36</v>
      </c>
    </row>
    <row r="479">
      <c r="A479" s="6" t="s">
        <v>31</v>
      </c>
      <c r="B479" s="7">
        <v>41856</v>
      </c>
      <c r="C479" s="9">
        <f>HYPERLINK("https://www.epingalert.org/en/Search?viewData= G/SPS/N/RUS/71"," G/SPS/N/RUS/71")</f>
      </c>
      <c r="D479" s="8" t="s">
        <v>2291</v>
      </c>
      <c r="E479" s="8" t="s">
        <v>2292</v>
      </c>
      <c r="F479" s="8" t="s">
        <v>2293</v>
      </c>
      <c r="G479" s="8" t="s">
        <v>2294</v>
      </c>
      <c r="H479" s="8" t="s">
        <v>36</v>
      </c>
      <c r="I479" s="8" t="s">
        <v>1328</v>
      </c>
      <c r="J479" s="8" t="s">
        <v>2170</v>
      </c>
      <c r="K479" s="6" t="s">
        <v>1798</v>
      </c>
      <c r="L479" s="7" t="s">
        <v>36</v>
      </c>
      <c r="M479" s="6" t="s">
        <v>40</v>
      </c>
      <c r="N479" s="8" t="s">
        <v>2295</v>
      </c>
      <c r="O479" s="6">
        <f>HYPERLINK("https://docs.wto.org/imrd/directdoc.asp?DDFDocuments/t/G/SPS/NRUS71.pdf", "https://docs.wto.org/imrd/directdoc.asp?DDFDocuments/t/G/SPS/NRUS71.pdf")</f>
      </c>
      <c r="P479" s="6">
        <f>HYPERLINK("https://docs.wto.org/imrd/directdoc.asp?DDFDocuments/u/G/SPS/NRUS71.pdf", "https://docs.wto.org/imrd/directdoc.asp?DDFDocuments/u/G/SPS/NRUS71.pdf")</f>
      </c>
      <c r="Q479" s="6">
        <f>HYPERLINK("https://docs.wto.org/imrd/directdoc.asp?DDFDocuments/v/G/SPS/NRUS71.pdf", "https://docs.wto.org/imrd/directdoc.asp?DDFDocuments/v/G/SPS/NRUS71.pdf")</f>
      </c>
      <c r="R479" s="0" t="s">
        <v>36</v>
      </c>
      <c r="S479" s="0" t="s">
        <v>36</v>
      </c>
      <c r="T479" s="0" t="s">
        <v>36</v>
      </c>
      <c r="U479" s="0" t="s">
        <v>36</v>
      </c>
      <c r="V479" s="0" t="s">
        <v>36</v>
      </c>
      <c r="W479" s="0" t="s">
        <v>36</v>
      </c>
      <c r="X479" s="0" t="s">
        <v>36</v>
      </c>
      <c r="Y479" s="2" t="s">
        <v>36</v>
      </c>
      <c r="Z479" s="0" t="s">
        <v>42</v>
      </c>
      <c r="AA479" s="0" t="s">
        <v>43</v>
      </c>
      <c r="AB479" s="0" t="s">
        <v>42</v>
      </c>
      <c r="AC479" s="0" t="s">
        <v>42</v>
      </c>
      <c r="AD479" s="0" t="s">
        <v>43</v>
      </c>
      <c r="AE479" s="2"/>
    </row>
    <row r="480">
      <c r="A480" s="6" t="s">
        <v>31</v>
      </c>
      <c r="B480" s="7">
        <v>41856</v>
      </c>
      <c r="C480" s="9">
        <f>HYPERLINK("https://www.epingalert.org/en/Search?viewData= G/SPS/N/RUS/68"," G/SPS/N/RUS/68")</f>
      </c>
      <c r="D480" s="8" t="s">
        <v>2296</v>
      </c>
      <c r="E480" s="8" t="s">
        <v>2297</v>
      </c>
      <c r="F480" s="8" t="s">
        <v>2298</v>
      </c>
      <c r="G480" s="8" t="s">
        <v>36</v>
      </c>
      <c r="H480" s="8" t="s">
        <v>36</v>
      </c>
      <c r="I480" s="8" t="s">
        <v>2299</v>
      </c>
      <c r="J480" s="8" t="s">
        <v>2300</v>
      </c>
      <c r="K480" s="6" t="s">
        <v>1798</v>
      </c>
      <c r="L480" s="7" t="s">
        <v>36</v>
      </c>
      <c r="M480" s="6" t="s">
        <v>40</v>
      </c>
      <c r="N480" s="6"/>
      <c r="O480" s="6">
        <f>HYPERLINK("https://docs.wto.org/imrd/directdoc.asp?DDFDocuments/t/G/SPS/NRUS68.pdf", "https://docs.wto.org/imrd/directdoc.asp?DDFDocuments/t/G/SPS/NRUS68.pdf")</f>
      </c>
      <c r="P480" s="6">
        <f>HYPERLINK("https://docs.wto.org/imrd/directdoc.asp?DDFDocuments/u/G/SPS/NRUS68.pdf", "https://docs.wto.org/imrd/directdoc.asp?DDFDocuments/u/G/SPS/NRUS68.pdf")</f>
      </c>
      <c r="Q480" s="6">
        <f>HYPERLINK("https://docs.wto.org/imrd/directdoc.asp?DDFDocuments/v/G/SPS/NRUS68.pdf", "https://docs.wto.org/imrd/directdoc.asp?DDFDocuments/v/G/SPS/NRUS68.pdf")</f>
      </c>
      <c r="R480" s="0" t="s">
        <v>36</v>
      </c>
      <c r="S480" s="0" t="s">
        <v>36</v>
      </c>
      <c r="T480" s="0" t="s">
        <v>36</v>
      </c>
      <c r="U480" s="0" t="s">
        <v>36</v>
      </c>
      <c r="V480" s="0" t="s">
        <v>36</v>
      </c>
      <c r="W480" s="0" t="s">
        <v>36</v>
      </c>
      <c r="X480" s="0" t="s">
        <v>36</v>
      </c>
      <c r="Y480" s="2" t="s">
        <v>36</v>
      </c>
      <c r="Z480" s="0" t="s">
        <v>42</v>
      </c>
      <c r="AA480" s="0" t="s">
        <v>42</v>
      </c>
      <c r="AB480" s="0" t="s">
        <v>43</v>
      </c>
      <c r="AC480" s="0" t="s">
        <v>42</v>
      </c>
      <c r="AD480" s="0" t="s">
        <v>43</v>
      </c>
      <c r="AE480" s="2"/>
    </row>
    <row r="481">
      <c r="A481" s="6" t="s">
        <v>31</v>
      </c>
      <c r="B481" s="7">
        <v>41856</v>
      </c>
      <c r="C481" s="9">
        <f>HYPERLINK("https://www.epingalert.org/en/Search?viewData= G/SPS/N/RUS/69"," G/SPS/N/RUS/69")</f>
      </c>
      <c r="D481" s="8" t="s">
        <v>2301</v>
      </c>
      <c r="E481" s="8" t="s">
        <v>2302</v>
      </c>
      <c r="F481" s="8" t="s">
        <v>2303</v>
      </c>
      <c r="G481" s="8" t="s">
        <v>2304</v>
      </c>
      <c r="H481" s="8" t="s">
        <v>36</v>
      </c>
      <c r="I481" s="8" t="s">
        <v>2305</v>
      </c>
      <c r="J481" s="8" t="s">
        <v>2306</v>
      </c>
      <c r="K481" s="6" t="s">
        <v>632</v>
      </c>
      <c r="L481" s="7" t="s">
        <v>36</v>
      </c>
      <c r="M481" s="6" t="s">
        <v>40</v>
      </c>
      <c r="N481" s="6"/>
      <c r="O481" s="6">
        <f>HYPERLINK("https://docs.wto.org/imrd/directdoc.asp?DDFDocuments/t/G/SPS/NRUS69.pdf", "https://docs.wto.org/imrd/directdoc.asp?DDFDocuments/t/G/SPS/NRUS69.pdf")</f>
      </c>
      <c r="P481" s="6">
        <f>HYPERLINK("https://docs.wto.org/imrd/directdoc.asp?DDFDocuments/u/G/SPS/NRUS69.pdf", "https://docs.wto.org/imrd/directdoc.asp?DDFDocuments/u/G/SPS/NRUS69.pdf")</f>
      </c>
      <c r="Q481" s="6">
        <f>HYPERLINK("https://docs.wto.org/imrd/directdoc.asp?DDFDocuments/v/G/SPS/NRUS69.pdf", "https://docs.wto.org/imrd/directdoc.asp?DDFDocuments/v/G/SPS/NRUS69.pdf")</f>
      </c>
      <c r="R481" s="0" t="s">
        <v>36</v>
      </c>
      <c r="S481" s="0" t="s">
        <v>36</v>
      </c>
      <c r="T481" s="0" t="s">
        <v>36</v>
      </c>
      <c r="U481" s="0" t="s">
        <v>36</v>
      </c>
      <c r="V481" s="0" t="s">
        <v>36</v>
      </c>
      <c r="W481" s="0" t="s">
        <v>36</v>
      </c>
      <c r="X481" s="0" t="s">
        <v>36</v>
      </c>
      <c r="Y481" s="2" t="s">
        <v>36</v>
      </c>
      <c r="Z481" s="0" t="s">
        <v>42</v>
      </c>
      <c r="AA481" s="0" t="s">
        <v>42</v>
      </c>
      <c r="AB481" s="0" t="s">
        <v>43</v>
      </c>
      <c r="AC481" s="0" t="s">
        <v>42</v>
      </c>
      <c r="AD481" s="0" t="s">
        <v>43</v>
      </c>
      <c r="AE481" s="2"/>
    </row>
    <row r="482">
      <c r="A482" s="6" t="s">
        <v>31</v>
      </c>
      <c r="B482" s="7">
        <v>41856</v>
      </c>
      <c r="C482" s="9">
        <f>HYPERLINK("https://www.epingalert.org/en/Search?viewData= G/SPS/N/RUS/70"," G/SPS/N/RUS/70")</f>
      </c>
      <c r="D482" s="8" t="s">
        <v>2307</v>
      </c>
      <c r="E482" s="8" t="s">
        <v>2308</v>
      </c>
      <c r="F482" s="8" t="s">
        <v>2309</v>
      </c>
      <c r="G482" s="8" t="s">
        <v>2310</v>
      </c>
      <c r="H482" s="8" t="s">
        <v>36</v>
      </c>
      <c r="I482" s="8" t="s">
        <v>65</v>
      </c>
      <c r="J482" s="8" t="s">
        <v>1528</v>
      </c>
      <c r="K482" s="6" t="s">
        <v>1798</v>
      </c>
      <c r="L482" s="7" t="s">
        <v>36</v>
      </c>
      <c r="M482" s="6" t="s">
        <v>40</v>
      </c>
      <c r="N482" s="6"/>
      <c r="O482" s="6">
        <f>HYPERLINK("https://docs.wto.org/imrd/directdoc.asp?DDFDocuments/t/G/SPS/NRUS70.pdf", "https://docs.wto.org/imrd/directdoc.asp?DDFDocuments/t/G/SPS/NRUS70.pdf")</f>
      </c>
      <c r="P482" s="6">
        <f>HYPERLINK("https://docs.wto.org/imrd/directdoc.asp?DDFDocuments/u/G/SPS/NRUS70.pdf", "https://docs.wto.org/imrd/directdoc.asp?DDFDocuments/u/G/SPS/NRUS70.pdf")</f>
      </c>
      <c r="Q482" s="6">
        <f>HYPERLINK("https://docs.wto.org/imrd/directdoc.asp?DDFDocuments/v/G/SPS/NRUS70.pdf", "https://docs.wto.org/imrd/directdoc.asp?DDFDocuments/v/G/SPS/NRUS70.pdf")</f>
      </c>
      <c r="R482" s="0" t="s">
        <v>36</v>
      </c>
      <c r="S482" s="0" t="s">
        <v>36</v>
      </c>
      <c r="T482" s="0" t="s">
        <v>36</v>
      </c>
      <c r="U482" s="0" t="s">
        <v>36</v>
      </c>
      <c r="V482" s="0" t="s">
        <v>36</v>
      </c>
      <c r="W482" s="0" t="s">
        <v>36</v>
      </c>
      <c r="X482" s="0" t="s">
        <v>36</v>
      </c>
      <c r="Y482" s="2" t="s">
        <v>36</v>
      </c>
      <c r="Z482" s="0" t="s">
        <v>42</v>
      </c>
      <c r="AA482" s="0" t="s">
        <v>42</v>
      </c>
      <c r="AB482" s="0" t="s">
        <v>43</v>
      </c>
      <c r="AC482" s="0" t="s">
        <v>42</v>
      </c>
      <c r="AD482" s="0" t="s">
        <v>43</v>
      </c>
      <c r="AE482" s="2"/>
    </row>
    <row r="483">
      <c r="A483" s="6" t="s">
        <v>31</v>
      </c>
      <c r="B483" s="7">
        <v>41851</v>
      </c>
      <c r="C483" s="9">
        <f>HYPERLINK("https://www.epingalert.org/en/Search?viewData= G/SPS/N/RUS/60/Add.1"," G/SPS/N/RUS/60/Add.1")</f>
      </c>
      <c r="D483" s="8" t="s">
        <v>2311</v>
      </c>
      <c r="E483" s="8" t="s">
        <v>2312</v>
      </c>
      <c r="F483" s="8"/>
      <c r="G483" s="8" t="s">
        <v>2313</v>
      </c>
      <c r="H483" s="8" t="s">
        <v>36</v>
      </c>
      <c r="I483" s="8" t="s">
        <v>37</v>
      </c>
      <c r="J483" s="8" t="s">
        <v>1696</v>
      </c>
      <c r="K483" s="6"/>
      <c r="L483" s="7" t="s">
        <v>36</v>
      </c>
      <c r="M483" s="6" t="s">
        <v>179</v>
      </c>
      <c r="N483" s="6"/>
      <c r="O483" s="6">
        <f>HYPERLINK("https://docs.wto.org/imrd/directdoc.asp?DDFDocuments/t/G/SPS/NRUS60A1.pdf", "https://docs.wto.org/imrd/directdoc.asp?DDFDocuments/t/G/SPS/NRUS60A1.pdf")</f>
      </c>
      <c r="P483" s="6">
        <f>HYPERLINK("https://docs.wto.org/imrd/directdoc.asp?DDFDocuments/u/G/SPS/NRUS60A1.pdf", "https://docs.wto.org/imrd/directdoc.asp?DDFDocuments/u/G/SPS/NRUS60A1.pdf")</f>
      </c>
      <c r="Q483" s="6">
        <f>HYPERLINK("https://docs.wto.org/imrd/directdoc.asp?DDFDocuments/v/G/SPS/NRUS60A1.pdf", "https://docs.wto.org/imrd/directdoc.asp?DDFDocuments/v/G/SPS/NRUS60A1.pdf")</f>
      </c>
      <c r="R483" s="0" t="s">
        <v>36</v>
      </c>
      <c r="S483" s="0" t="s">
        <v>36</v>
      </c>
      <c r="T483" s="0" t="s">
        <v>36</v>
      </c>
      <c r="U483" s="0" t="s">
        <v>36</v>
      </c>
      <c r="V483" s="0" t="s">
        <v>36</v>
      </c>
      <c r="W483" s="0" t="s">
        <v>36</v>
      </c>
      <c r="X483" s="0" t="s">
        <v>36</v>
      </c>
      <c r="Y483" s="2" t="s">
        <v>36</v>
      </c>
      <c r="Z483" s="0" t="s">
        <v>36</v>
      </c>
      <c r="AA483" s="0" t="s">
        <v>36</v>
      </c>
      <c r="AB483" s="0" t="s">
        <v>36</v>
      </c>
      <c r="AC483" s="0" t="s">
        <v>36</v>
      </c>
      <c r="AD483" s="0" t="s">
        <v>36</v>
      </c>
      <c r="AE483" s="2" t="s">
        <v>36</v>
      </c>
    </row>
    <row r="484">
      <c r="A484" s="6" t="s">
        <v>31</v>
      </c>
      <c r="B484" s="7">
        <v>41842</v>
      </c>
      <c r="C484" s="9">
        <f>HYPERLINK("https://www.epingalert.org/en/Search?viewData= G/SPS/N/RUS/67"," G/SPS/N/RUS/67")</f>
      </c>
      <c r="D484" s="8" t="s">
        <v>2314</v>
      </c>
      <c r="E484" s="8" t="s">
        <v>2315</v>
      </c>
      <c r="F484" s="8" t="s">
        <v>2316</v>
      </c>
      <c r="G484" s="8" t="s">
        <v>2085</v>
      </c>
      <c r="H484" s="8" t="s">
        <v>36</v>
      </c>
      <c r="I484" s="8" t="s">
        <v>505</v>
      </c>
      <c r="J484" s="8" t="s">
        <v>2317</v>
      </c>
      <c r="K484" s="6" t="s">
        <v>683</v>
      </c>
      <c r="L484" s="7" t="s">
        <v>36</v>
      </c>
      <c r="M484" s="6" t="s">
        <v>40</v>
      </c>
      <c r="N484" s="8" t="s">
        <v>2318</v>
      </c>
      <c r="O484" s="6">
        <f>HYPERLINK("https://docs.wto.org/imrd/directdoc.asp?DDFDocuments/t/G/SPS/NRUS67.pdf", "https://docs.wto.org/imrd/directdoc.asp?DDFDocuments/t/G/SPS/NRUS67.pdf")</f>
      </c>
      <c r="P484" s="6">
        <f>HYPERLINK("https://docs.wto.org/imrd/directdoc.asp?DDFDocuments/u/G/SPS/NRUS67.pdf", "https://docs.wto.org/imrd/directdoc.asp?DDFDocuments/u/G/SPS/NRUS67.pdf")</f>
      </c>
      <c r="Q484" s="6">
        <f>HYPERLINK("https://docs.wto.org/imrd/directdoc.asp?DDFDocuments/v/G/SPS/NRUS67.pdf", "https://docs.wto.org/imrd/directdoc.asp?DDFDocuments/v/G/SPS/NRUS67.pdf")</f>
      </c>
      <c r="R484" s="0" t="s">
        <v>36</v>
      </c>
      <c r="S484" s="0" t="s">
        <v>36</v>
      </c>
      <c r="T484" s="0" t="s">
        <v>36</v>
      </c>
      <c r="U484" s="0" t="s">
        <v>36</v>
      </c>
      <c r="V484" s="0" t="s">
        <v>36</v>
      </c>
      <c r="W484" s="0" t="s">
        <v>36</v>
      </c>
      <c r="X484" s="0" t="s">
        <v>36</v>
      </c>
      <c r="Y484" s="2" t="s">
        <v>36</v>
      </c>
      <c r="Z484" s="0" t="s">
        <v>42</v>
      </c>
      <c r="AA484" s="0" t="s">
        <v>42</v>
      </c>
      <c r="AB484" s="0" t="s">
        <v>43</v>
      </c>
      <c r="AC484" s="0" t="s">
        <v>42</v>
      </c>
      <c r="AD484" s="0" t="s">
        <v>43</v>
      </c>
      <c r="AE484" s="2"/>
    </row>
    <row r="485">
      <c r="A485" s="6" t="s">
        <v>31</v>
      </c>
      <c r="B485" s="7">
        <v>41837</v>
      </c>
      <c r="C485" s="9">
        <f>HYPERLINK("https://www.epingalert.org/en/Search?viewData= G/SPS/N/RUS/65"," G/SPS/N/RUS/65")</f>
      </c>
      <c r="D485" s="8" t="s">
        <v>2319</v>
      </c>
      <c r="E485" s="8" t="s">
        <v>2320</v>
      </c>
      <c r="F485" s="8" t="s">
        <v>2321</v>
      </c>
      <c r="G485" s="8" t="s">
        <v>2322</v>
      </c>
      <c r="H485" s="8" t="s">
        <v>36</v>
      </c>
      <c r="I485" s="8" t="s">
        <v>97</v>
      </c>
      <c r="J485" s="8" t="s">
        <v>105</v>
      </c>
      <c r="K485" s="6" t="s">
        <v>2323</v>
      </c>
      <c r="L485" s="7" t="s">
        <v>36</v>
      </c>
      <c r="M485" s="6" t="s">
        <v>51</v>
      </c>
      <c r="N485" s="8" t="s">
        <v>2324</v>
      </c>
      <c r="O485" s="6">
        <f>HYPERLINK("https://docs.wto.org/imrd/directdoc.asp?DDFDocuments/t/G/SPS/NRUS65.pdf", "https://docs.wto.org/imrd/directdoc.asp?DDFDocuments/t/G/SPS/NRUS65.pdf")</f>
      </c>
      <c r="P485" s="6">
        <f>HYPERLINK("https://docs.wto.org/imrd/directdoc.asp?DDFDocuments/u/G/SPS/NRUS65.pdf", "https://docs.wto.org/imrd/directdoc.asp?DDFDocuments/u/G/SPS/NRUS65.pdf")</f>
      </c>
      <c r="Q485" s="6">
        <f>HYPERLINK("https://docs.wto.org/imrd/directdoc.asp?DDFDocuments/v/G/SPS/NRUS65.pdf", "https://docs.wto.org/imrd/directdoc.asp?DDFDocuments/v/G/SPS/NRUS65.pdf")</f>
      </c>
      <c r="R485" s="0" t="s">
        <v>36</v>
      </c>
      <c r="S485" s="0" t="s">
        <v>36</v>
      </c>
      <c r="T485" s="0" t="s">
        <v>36</v>
      </c>
      <c r="U485" s="0" t="s">
        <v>36</v>
      </c>
      <c r="V485" s="0" t="s">
        <v>36</v>
      </c>
      <c r="W485" s="0" t="s">
        <v>36</v>
      </c>
      <c r="X485" s="0" t="s">
        <v>36</v>
      </c>
      <c r="Y485" s="2" t="s">
        <v>36</v>
      </c>
      <c r="Z485" s="0" t="s">
        <v>42</v>
      </c>
      <c r="AA485" s="0" t="s">
        <v>43</v>
      </c>
      <c r="AB485" s="0" t="s">
        <v>42</v>
      </c>
      <c r="AC485" s="0" t="s">
        <v>42</v>
      </c>
      <c r="AD485" s="0" t="s">
        <v>43</v>
      </c>
      <c r="AE485" s="2"/>
    </row>
    <row r="486">
      <c r="A486" s="6" t="s">
        <v>31</v>
      </c>
      <c r="B486" s="7">
        <v>41837</v>
      </c>
      <c r="C486" s="9">
        <f>HYPERLINK("https://www.epingalert.org/en/Search?viewData= G/SPS/N/RUS/66"," G/SPS/N/RUS/66")</f>
      </c>
      <c r="D486" s="8" t="s">
        <v>2325</v>
      </c>
      <c r="E486" s="8" t="s">
        <v>2326</v>
      </c>
      <c r="F486" s="8" t="s">
        <v>2321</v>
      </c>
      <c r="G486" s="8" t="s">
        <v>2322</v>
      </c>
      <c r="H486" s="8" t="s">
        <v>36</v>
      </c>
      <c r="I486" s="8" t="s">
        <v>97</v>
      </c>
      <c r="J486" s="8" t="s">
        <v>2327</v>
      </c>
      <c r="K486" s="6" t="s">
        <v>200</v>
      </c>
      <c r="L486" s="7" t="s">
        <v>36</v>
      </c>
      <c r="M486" s="6" t="s">
        <v>51</v>
      </c>
      <c r="N486" s="8" t="s">
        <v>2328</v>
      </c>
      <c r="O486" s="6">
        <f>HYPERLINK("https://docs.wto.org/imrd/directdoc.asp?DDFDocuments/t/G/SPS/NRUS66.pdf", "https://docs.wto.org/imrd/directdoc.asp?DDFDocuments/t/G/SPS/NRUS66.pdf")</f>
      </c>
      <c r="P486" s="6">
        <f>HYPERLINK("https://docs.wto.org/imrd/directdoc.asp?DDFDocuments/u/G/SPS/NRUS66.pdf", "https://docs.wto.org/imrd/directdoc.asp?DDFDocuments/u/G/SPS/NRUS66.pdf")</f>
      </c>
      <c r="Q486" s="6">
        <f>HYPERLINK("https://docs.wto.org/imrd/directdoc.asp?DDFDocuments/v/G/SPS/NRUS66.pdf", "https://docs.wto.org/imrd/directdoc.asp?DDFDocuments/v/G/SPS/NRUS66.pdf")</f>
      </c>
      <c r="R486" s="0" t="s">
        <v>36</v>
      </c>
      <c r="S486" s="0" t="s">
        <v>36</v>
      </c>
      <c r="T486" s="0" t="s">
        <v>36</v>
      </c>
      <c r="U486" s="0" t="s">
        <v>36</v>
      </c>
      <c r="V486" s="0" t="s">
        <v>36</v>
      </c>
      <c r="W486" s="0" t="s">
        <v>36</v>
      </c>
      <c r="X486" s="0" t="s">
        <v>36</v>
      </c>
      <c r="Y486" s="2" t="s">
        <v>36</v>
      </c>
      <c r="Z486" s="0" t="s">
        <v>42</v>
      </c>
      <c r="AA486" s="0" t="s">
        <v>43</v>
      </c>
      <c r="AB486" s="0" t="s">
        <v>42</v>
      </c>
      <c r="AC486" s="0" t="s">
        <v>42</v>
      </c>
      <c r="AD486" s="0" t="s">
        <v>43</v>
      </c>
      <c r="AE486" s="2"/>
    </row>
    <row r="487">
      <c r="A487" s="6" t="s">
        <v>31</v>
      </c>
      <c r="B487" s="7">
        <v>41836</v>
      </c>
      <c r="C487" s="9">
        <f>HYPERLINK("https://www.epingalert.org/en/Search?viewData= G/SPS/N/RUS/64"," G/SPS/N/RUS/64")</f>
      </c>
      <c r="D487" s="8" t="s">
        <v>2329</v>
      </c>
      <c r="E487" s="8" t="s">
        <v>2330</v>
      </c>
      <c r="F487" s="8" t="s">
        <v>2331</v>
      </c>
      <c r="G487" s="8" t="s">
        <v>2332</v>
      </c>
      <c r="H487" s="8" t="s">
        <v>36</v>
      </c>
      <c r="I487" s="8" t="s">
        <v>332</v>
      </c>
      <c r="J487" s="8" t="s">
        <v>2333</v>
      </c>
      <c r="K487" s="6" t="s">
        <v>984</v>
      </c>
      <c r="L487" s="7" t="s">
        <v>36</v>
      </c>
      <c r="M487" s="6" t="s">
        <v>40</v>
      </c>
      <c r="N487" s="8" t="s">
        <v>2334</v>
      </c>
      <c r="O487" s="6">
        <f>HYPERLINK("https://docs.wto.org/imrd/directdoc.asp?DDFDocuments/t/G/SPS/NRUS64.pdf", "https://docs.wto.org/imrd/directdoc.asp?DDFDocuments/t/G/SPS/NRUS64.pdf")</f>
      </c>
      <c r="P487" s="6">
        <f>HYPERLINK("https://docs.wto.org/imrd/directdoc.asp?DDFDocuments/u/G/SPS/NRUS64.pdf", "https://docs.wto.org/imrd/directdoc.asp?DDFDocuments/u/G/SPS/NRUS64.pdf")</f>
      </c>
      <c r="Q487" s="6">
        <f>HYPERLINK("https://docs.wto.org/imrd/directdoc.asp?DDFDocuments/v/G/SPS/NRUS64.pdf", "https://docs.wto.org/imrd/directdoc.asp?DDFDocuments/v/G/SPS/NRUS64.pdf")</f>
      </c>
      <c r="R487" s="0" t="s">
        <v>36</v>
      </c>
      <c r="S487" s="0" t="s">
        <v>36</v>
      </c>
      <c r="T487" s="0" t="s">
        <v>36</v>
      </c>
      <c r="U487" s="0" t="s">
        <v>36</v>
      </c>
      <c r="V487" s="0" t="s">
        <v>36</v>
      </c>
      <c r="W487" s="0" t="s">
        <v>36</v>
      </c>
      <c r="X487" s="0" t="s">
        <v>36</v>
      </c>
      <c r="Y487" s="2" t="s">
        <v>36</v>
      </c>
      <c r="Z487" s="0" t="s">
        <v>42</v>
      </c>
      <c r="AA487" s="0" t="s">
        <v>43</v>
      </c>
      <c r="AB487" s="0" t="s">
        <v>42</v>
      </c>
      <c r="AC487" s="0" t="s">
        <v>42</v>
      </c>
      <c r="AD487" s="0" t="s">
        <v>43</v>
      </c>
      <c r="AE487" s="2" t="s">
        <v>36</v>
      </c>
    </row>
    <row r="488">
      <c r="A488" s="6" t="s">
        <v>31</v>
      </c>
      <c r="B488" s="7">
        <v>41810</v>
      </c>
      <c r="C488" s="9">
        <f>HYPERLINK("https://www.epingalert.org/en/Search?viewData= G/SPS/N/RUS/63"," G/SPS/N/RUS/63")</f>
      </c>
      <c r="D488" s="8" t="s">
        <v>2335</v>
      </c>
      <c r="E488" s="8" t="s">
        <v>2336</v>
      </c>
      <c r="F488" s="8" t="s">
        <v>2337</v>
      </c>
      <c r="G488" s="8" t="s">
        <v>802</v>
      </c>
      <c r="H488" s="8" t="s">
        <v>36</v>
      </c>
      <c r="I488" s="8" t="s">
        <v>475</v>
      </c>
      <c r="J488" s="8" t="s">
        <v>2338</v>
      </c>
      <c r="K488" s="6" t="s">
        <v>210</v>
      </c>
      <c r="L488" s="7" t="s">
        <v>36</v>
      </c>
      <c r="M488" s="6" t="s">
        <v>51</v>
      </c>
      <c r="N488" s="8" t="s">
        <v>2339</v>
      </c>
      <c r="O488" s="6">
        <f>HYPERLINK("https://docs.wto.org/imrd/directdoc.asp?DDFDocuments/t/G/SPS/NRUS63.pdf", "https://docs.wto.org/imrd/directdoc.asp?DDFDocuments/t/G/SPS/NRUS63.pdf")</f>
      </c>
      <c r="P488" s="6">
        <f>HYPERLINK("https://docs.wto.org/imrd/directdoc.asp?DDFDocuments/u/G/SPS/NRUS63.pdf", "https://docs.wto.org/imrd/directdoc.asp?DDFDocuments/u/G/SPS/NRUS63.pdf")</f>
      </c>
      <c r="Q488" s="6">
        <f>HYPERLINK("https://docs.wto.org/imrd/directdoc.asp?DDFDocuments/v/G/SPS/NRUS63.pdf", "https://docs.wto.org/imrd/directdoc.asp?DDFDocuments/v/G/SPS/NRUS63.pdf")</f>
      </c>
      <c r="R488" s="0" t="s">
        <v>36</v>
      </c>
      <c r="S488" s="0" t="s">
        <v>36</v>
      </c>
      <c r="T488" s="0" t="s">
        <v>36</v>
      </c>
      <c r="U488" s="0" t="s">
        <v>36</v>
      </c>
      <c r="V488" s="0" t="s">
        <v>36</v>
      </c>
      <c r="W488" s="0" t="s">
        <v>36</v>
      </c>
      <c r="X488" s="0" t="s">
        <v>36</v>
      </c>
      <c r="Y488" s="2" t="s">
        <v>36</v>
      </c>
      <c r="Z488" s="0" t="s">
        <v>42</v>
      </c>
      <c r="AA488" s="0" t="s">
        <v>43</v>
      </c>
      <c r="AB488" s="0" t="s">
        <v>42</v>
      </c>
      <c r="AC488" s="0" t="s">
        <v>42</v>
      </c>
      <c r="AD488" s="0" t="s">
        <v>43</v>
      </c>
      <c r="AE488" s="2"/>
    </row>
    <row r="489">
      <c r="A489" s="6" t="s">
        <v>31</v>
      </c>
      <c r="B489" s="7">
        <v>41801</v>
      </c>
      <c r="C489" s="9">
        <f>HYPERLINK("https://www.epingalert.org/en/Search?viewData= G/SPS/N/RUS/62"," G/SPS/N/RUS/62")</f>
      </c>
      <c r="D489" s="8" t="s">
        <v>2340</v>
      </c>
      <c r="E489" s="8" t="s">
        <v>2341</v>
      </c>
      <c r="F489" s="8" t="s">
        <v>2342</v>
      </c>
      <c r="G489" s="8" t="s">
        <v>2343</v>
      </c>
      <c r="H489" s="8" t="s">
        <v>36</v>
      </c>
      <c r="I489" s="8" t="s">
        <v>609</v>
      </c>
      <c r="J489" s="8" t="s">
        <v>72</v>
      </c>
      <c r="K489" s="6" t="s">
        <v>2034</v>
      </c>
      <c r="L489" s="7" t="s">
        <v>36</v>
      </c>
      <c r="M489" s="6" t="s">
        <v>51</v>
      </c>
      <c r="N489" s="6"/>
      <c r="O489" s="6">
        <f>HYPERLINK("https://docs.wto.org/imrd/directdoc.asp?DDFDocuments/t/G/SPS/NRUS62.pdf", "https://docs.wto.org/imrd/directdoc.asp?DDFDocuments/t/G/SPS/NRUS62.pdf")</f>
      </c>
      <c r="P489" s="6">
        <f>HYPERLINK("https://docs.wto.org/imrd/directdoc.asp?DDFDocuments/u/G/SPS/NRUS62.pdf", "https://docs.wto.org/imrd/directdoc.asp?DDFDocuments/u/G/SPS/NRUS62.pdf")</f>
      </c>
      <c r="Q489" s="6">
        <f>HYPERLINK("https://docs.wto.org/imrd/directdoc.asp?DDFDocuments/v/G/SPS/NRUS62.pdf", "https://docs.wto.org/imrd/directdoc.asp?DDFDocuments/v/G/SPS/NRUS62.pdf")</f>
      </c>
      <c r="R489" s="0" t="s">
        <v>36</v>
      </c>
      <c r="S489" s="0" t="s">
        <v>36</v>
      </c>
      <c r="T489" s="0" t="s">
        <v>36</v>
      </c>
      <c r="U489" s="0" t="s">
        <v>36</v>
      </c>
      <c r="V489" s="0" t="s">
        <v>36</v>
      </c>
      <c r="W489" s="0" t="s">
        <v>36</v>
      </c>
      <c r="X489" s="0" t="s">
        <v>36</v>
      </c>
      <c r="Y489" s="2" t="s">
        <v>36</v>
      </c>
      <c r="Z489" s="0" t="s">
        <v>42</v>
      </c>
      <c r="AA489" s="0" t="s">
        <v>42</v>
      </c>
      <c r="AB489" s="0" t="s">
        <v>43</v>
      </c>
      <c r="AC489" s="0" t="s">
        <v>42</v>
      </c>
      <c r="AD489" s="0" t="s">
        <v>43</v>
      </c>
      <c r="AE489" s="2"/>
    </row>
    <row r="490">
      <c r="A490" s="6" t="s">
        <v>31</v>
      </c>
      <c r="B490" s="7">
        <v>41801</v>
      </c>
      <c r="C490" s="9">
        <f>HYPERLINK("https://www.epingalert.org/en/Search?viewData= G/SPS/N/RUS/61"," G/SPS/N/RUS/61")</f>
      </c>
      <c r="D490" s="8" t="s">
        <v>2344</v>
      </c>
      <c r="E490" s="8" t="s">
        <v>2345</v>
      </c>
      <c r="F490" s="8" t="s">
        <v>2346</v>
      </c>
      <c r="G490" s="8" t="s">
        <v>215</v>
      </c>
      <c r="H490" s="8" t="s">
        <v>36</v>
      </c>
      <c r="I490" s="8" t="s">
        <v>2305</v>
      </c>
      <c r="J490" s="8" t="s">
        <v>2347</v>
      </c>
      <c r="K490" s="6" t="s">
        <v>1798</v>
      </c>
      <c r="L490" s="7" t="s">
        <v>36</v>
      </c>
      <c r="M490" s="6" t="s">
        <v>40</v>
      </c>
      <c r="N490" s="8" t="s">
        <v>2348</v>
      </c>
      <c r="O490" s="6">
        <f>HYPERLINK("https://docs.wto.org/imrd/directdoc.asp?DDFDocuments/t/G/SPS/NRUS61.pdf", "https://docs.wto.org/imrd/directdoc.asp?DDFDocuments/t/G/SPS/NRUS61.pdf")</f>
      </c>
      <c r="P490" s="6">
        <f>HYPERLINK("https://docs.wto.org/imrd/directdoc.asp?DDFDocuments/u/G/SPS/NRUS61.pdf", "https://docs.wto.org/imrd/directdoc.asp?DDFDocuments/u/G/SPS/NRUS61.pdf")</f>
      </c>
      <c r="Q490" s="6">
        <f>HYPERLINK("https://docs.wto.org/imrd/directdoc.asp?DDFDocuments/v/G/SPS/NRUS61.pdf", "https://docs.wto.org/imrd/directdoc.asp?DDFDocuments/v/G/SPS/NRUS61.pdf")</f>
      </c>
      <c r="R490" s="0" t="s">
        <v>36</v>
      </c>
      <c r="S490" s="0" t="s">
        <v>36</v>
      </c>
      <c r="T490" s="0" t="s">
        <v>36</v>
      </c>
      <c r="U490" s="0" t="s">
        <v>36</v>
      </c>
      <c r="V490" s="0" t="s">
        <v>36</v>
      </c>
      <c r="W490" s="0" t="s">
        <v>36</v>
      </c>
      <c r="X490" s="0" t="s">
        <v>36</v>
      </c>
      <c r="Y490" s="2" t="s">
        <v>36</v>
      </c>
      <c r="Z490" s="0" t="s">
        <v>42</v>
      </c>
      <c r="AA490" s="0" t="s">
        <v>42</v>
      </c>
      <c r="AB490" s="0" t="s">
        <v>43</v>
      </c>
      <c r="AC490" s="0" t="s">
        <v>42</v>
      </c>
      <c r="AD490" s="0" t="s">
        <v>43</v>
      </c>
      <c r="AE490" s="2"/>
    </row>
    <row r="491">
      <c r="A491" s="6" t="s">
        <v>31</v>
      </c>
      <c r="B491" s="7">
        <v>41795</v>
      </c>
      <c r="C491" s="9">
        <f>HYPERLINK("https://www.epingalert.org/en/Search?viewData= G/SPS/N/RUS/60"," G/SPS/N/RUS/60")</f>
      </c>
      <c r="D491" s="8" t="s">
        <v>2349</v>
      </c>
      <c r="E491" s="8" t="s">
        <v>2350</v>
      </c>
      <c r="F491" s="8" t="s">
        <v>2351</v>
      </c>
      <c r="G491" s="8" t="s">
        <v>2352</v>
      </c>
      <c r="H491" s="8" t="s">
        <v>36</v>
      </c>
      <c r="I491" s="8" t="s">
        <v>37</v>
      </c>
      <c r="J491" s="8" t="s">
        <v>157</v>
      </c>
      <c r="K491" s="6" t="s">
        <v>2353</v>
      </c>
      <c r="L491" s="7" t="s">
        <v>36</v>
      </c>
      <c r="M491" s="6" t="s">
        <v>40</v>
      </c>
      <c r="N491" s="8" t="s">
        <v>2354</v>
      </c>
      <c r="O491" s="6">
        <f>HYPERLINK("https://docs.wto.org/imrd/directdoc.asp?DDFDocuments/t/G/SPS/NRUS60.pdf", "https://docs.wto.org/imrd/directdoc.asp?DDFDocuments/t/G/SPS/NRUS60.pdf")</f>
      </c>
      <c r="P491" s="6">
        <f>HYPERLINK("https://docs.wto.org/imrd/directdoc.asp?DDFDocuments/u/G/SPS/NRUS60.pdf", "https://docs.wto.org/imrd/directdoc.asp?DDFDocuments/u/G/SPS/NRUS60.pdf")</f>
      </c>
      <c r="Q491" s="6">
        <f>HYPERLINK("https://docs.wto.org/imrd/directdoc.asp?DDFDocuments/v/G/SPS/NRUS60.pdf", "https://docs.wto.org/imrd/directdoc.asp?DDFDocuments/v/G/SPS/NRUS60.pdf")</f>
      </c>
      <c r="R491" s="0" t="s">
        <v>36</v>
      </c>
      <c r="S491" s="0" t="s">
        <v>36</v>
      </c>
      <c r="T491" s="0" t="s">
        <v>36</v>
      </c>
      <c r="U491" s="0" t="s">
        <v>36</v>
      </c>
      <c r="V491" s="0" t="s">
        <v>36</v>
      </c>
      <c r="W491" s="0" t="s">
        <v>36</v>
      </c>
      <c r="X491" s="0" t="s">
        <v>36</v>
      </c>
      <c r="Y491" s="2" t="s">
        <v>36</v>
      </c>
      <c r="Z491" s="0" t="s">
        <v>42</v>
      </c>
      <c r="AA491" s="0" t="s">
        <v>42</v>
      </c>
      <c r="AB491" s="0" t="s">
        <v>42</v>
      </c>
      <c r="AC491" s="0" t="s">
        <v>43</v>
      </c>
      <c r="AD491" s="0" t="s">
        <v>107</v>
      </c>
      <c r="AE491" s="2" t="s">
        <v>2355</v>
      </c>
    </row>
    <row r="492">
      <c r="A492" s="6" t="s">
        <v>31</v>
      </c>
      <c r="B492" s="7">
        <v>41793</v>
      </c>
      <c r="C492" s="9">
        <f>HYPERLINK("https://www.epingalert.org/en/Search?viewData= G/SPS/N/RUS/59"," G/SPS/N/RUS/59")</f>
      </c>
      <c r="D492" s="8" t="s">
        <v>2356</v>
      </c>
      <c r="E492" s="8" t="s">
        <v>2357</v>
      </c>
      <c r="F492" s="8" t="s">
        <v>2358</v>
      </c>
      <c r="G492" s="8" t="s">
        <v>2359</v>
      </c>
      <c r="H492" s="8" t="s">
        <v>36</v>
      </c>
      <c r="I492" s="8" t="s">
        <v>332</v>
      </c>
      <c r="J492" s="8" t="s">
        <v>2360</v>
      </c>
      <c r="K492" s="6" t="s">
        <v>2361</v>
      </c>
      <c r="L492" s="7" t="s">
        <v>36</v>
      </c>
      <c r="M492" s="6" t="s">
        <v>40</v>
      </c>
      <c r="N492" s="8" t="s">
        <v>2362</v>
      </c>
      <c r="O492" s="6">
        <f>HYPERLINK("https://docs.wto.org/imrd/directdoc.asp?DDFDocuments/t/G/SPS/NRUS59.pdf", "https://docs.wto.org/imrd/directdoc.asp?DDFDocuments/t/G/SPS/NRUS59.pdf")</f>
      </c>
      <c r="P492" s="6">
        <f>HYPERLINK("https://docs.wto.org/imrd/directdoc.asp?DDFDocuments/u/G/SPS/NRUS59.pdf", "https://docs.wto.org/imrd/directdoc.asp?DDFDocuments/u/G/SPS/NRUS59.pdf")</f>
      </c>
      <c r="Q492" s="6">
        <f>HYPERLINK("https://docs.wto.org/imrd/directdoc.asp?DDFDocuments/v/G/SPS/NRUS59.pdf", "https://docs.wto.org/imrd/directdoc.asp?DDFDocuments/v/G/SPS/NRUS59.pdf")</f>
      </c>
      <c r="R492" s="0" t="s">
        <v>36</v>
      </c>
      <c r="S492" s="0" t="s">
        <v>36</v>
      </c>
      <c r="T492" s="0" t="s">
        <v>36</v>
      </c>
      <c r="U492" s="0" t="s">
        <v>36</v>
      </c>
      <c r="V492" s="0" t="s">
        <v>36</v>
      </c>
      <c r="W492" s="0" t="s">
        <v>36</v>
      </c>
      <c r="X492" s="0" t="s">
        <v>36</v>
      </c>
      <c r="Y492" s="2" t="s">
        <v>36</v>
      </c>
      <c r="Z492" s="0" t="s">
        <v>42</v>
      </c>
      <c r="AA492" s="0" t="s">
        <v>43</v>
      </c>
      <c r="AB492" s="0" t="s">
        <v>42</v>
      </c>
      <c r="AC492" s="0" t="s">
        <v>42</v>
      </c>
      <c r="AD492" s="0" t="s">
        <v>43</v>
      </c>
      <c r="AE492" s="2"/>
    </row>
    <row r="493">
      <c r="A493" s="6" t="s">
        <v>31</v>
      </c>
      <c r="B493" s="7">
        <v>41771</v>
      </c>
      <c r="C493" s="9">
        <f>HYPERLINK("https://www.epingalert.org/en/Search?viewData= G/SPS/N/RUS/58"," G/SPS/N/RUS/58")</f>
      </c>
      <c r="D493" s="8" t="s">
        <v>2363</v>
      </c>
      <c r="E493" s="8" t="s">
        <v>2364</v>
      </c>
      <c r="F493" s="8" t="s">
        <v>2365</v>
      </c>
      <c r="G493" s="8" t="s">
        <v>2332</v>
      </c>
      <c r="H493" s="8" t="s">
        <v>36</v>
      </c>
      <c r="I493" s="8" t="s">
        <v>37</v>
      </c>
      <c r="J493" s="8" t="s">
        <v>2366</v>
      </c>
      <c r="K493" s="6" t="s">
        <v>984</v>
      </c>
      <c r="L493" s="7" t="s">
        <v>36</v>
      </c>
      <c r="M493" s="6" t="s">
        <v>40</v>
      </c>
      <c r="N493" s="8" t="s">
        <v>2367</v>
      </c>
      <c r="O493" s="6">
        <f>HYPERLINK("https://docs.wto.org/imrd/directdoc.asp?DDFDocuments/t/G/SPS/NRUS58.pdf", "https://docs.wto.org/imrd/directdoc.asp?DDFDocuments/t/G/SPS/NRUS58.pdf")</f>
      </c>
      <c r="P493" s="6">
        <f>HYPERLINK("https://docs.wto.org/imrd/directdoc.asp?DDFDocuments/u/G/SPS/NRUS58.pdf", "https://docs.wto.org/imrd/directdoc.asp?DDFDocuments/u/G/SPS/NRUS58.pdf")</f>
      </c>
      <c r="Q493" s="6">
        <f>HYPERLINK("https://docs.wto.org/imrd/directdoc.asp?DDFDocuments/v/G/SPS/NRUS58.pdf", "https://docs.wto.org/imrd/directdoc.asp?DDFDocuments/v/G/SPS/NRUS58.pdf")</f>
      </c>
      <c r="R493" s="0" t="s">
        <v>36</v>
      </c>
      <c r="S493" s="0" t="s">
        <v>36</v>
      </c>
      <c r="T493" s="0" t="s">
        <v>36</v>
      </c>
      <c r="U493" s="0" t="s">
        <v>36</v>
      </c>
      <c r="V493" s="0" t="s">
        <v>36</v>
      </c>
      <c r="W493" s="0" t="s">
        <v>36</v>
      </c>
      <c r="X493" s="0" t="s">
        <v>36</v>
      </c>
      <c r="Y493" s="2" t="s">
        <v>36</v>
      </c>
      <c r="Z493" s="0" t="s">
        <v>42</v>
      </c>
      <c r="AA493" s="0" t="s">
        <v>43</v>
      </c>
      <c r="AB493" s="0" t="s">
        <v>42</v>
      </c>
      <c r="AC493" s="0" t="s">
        <v>42</v>
      </c>
      <c r="AD493" s="0" t="s">
        <v>43</v>
      </c>
      <c r="AE493" s="2"/>
    </row>
    <row r="494">
      <c r="A494" s="6" t="s">
        <v>31</v>
      </c>
      <c r="B494" s="7">
        <v>41757</v>
      </c>
      <c r="C494" s="9">
        <f>HYPERLINK("https://www.epingalert.org/en/Search?viewData= G/TBT/N/RUS/36"," G/TBT/N/RUS/36")</f>
      </c>
      <c r="D494" s="8" t="s">
        <v>2368</v>
      </c>
      <c r="E494" s="8" t="s">
        <v>2369</v>
      </c>
      <c r="F494" s="8" t="s">
        <v>563</v>
      </c>
      <c r="G494" s="8" t="s">
        <v>36</v>
      </c>
      <c r="H494" s="8" t="s">
        <v>564</v>
      </c>
      <c r="I494" s="8" t="s">
        <v>164</v>
      </c>
      <c r="J494" s="8" t="s">
        <v>120</v>
      </c>
      <c r="K494" s="6"/>
      <c r="L494" s="7">
        <v>41807</v>
      </c>
      <c r="M494" s="6" t="s">
        <v>51</v>
      </c>
      <c r="N494" s="6"/>
      <c r="O494" s="6">
        <f>HYPERLINK("https://docs.wto.org/imrd/directdoc.asp?DDFDocuments/t/G/TBTN14/RUS36.DOC", "https://docs.wto.org/imrd/directdoc.asp?DDFDocuments/t/G/TBTN14/RUS36.DOC")</f>
      </c>
      <c r="P494" s="6">
        <f>HYPERLINK("https://docs.wto.org/imrd/directdoc.asp?DDFDocuments/u/G/TBTN14/RUS36.DOC", "https://docs.wto.org/imrd/directdoc.asp?DDFDocuments/u/G/TBTN14/RUS36.DOC")</f>
      </c>
      <c r="Q494" s="6">
        <f>HYPERLINK("https://docs.wto.org/imrd/directdoc.asp?DDFDocuments/v/G/TBTN14/RUS36.DOC", "https://docs.wto.org/imrd/directdoc.asp?DDFDocuments/v/G/TBTN14/RUS36.DOC")</f>
      </c>
      <c r="R494" s="0" t="s">
        <v>43</v>
      </c>
      <c r="S494" s="0" t="s">
        <v>42</v>
      </c>
      <c r="T494" s="0" t="s">
        <v>42</v>
      </c>
      <c r="U494" s="0" t="s">
        <v>42</v>
      </c>
      <c r="V494" s="0" t="s">
        <v>42</v>
      </c>
      <c r="W494" s="0" t="s">
        <v>42</v>
      </c>
      <c r="X494" s="0" t="s">
        <v>42</v>
      </c>
      <c r="Y494" s="2" t="s">
        <v>2370</v>
      </c>
      <c r="Z494" s="0" t="s">
        <v>36</v>
      </c>
      <c r="AA494" s="0" t="s">
        <v>36</v>
      </c>
      <c r="AB494" s="0" t="s">
        <v>36</v>
      </c>
      <c r="AC494" s="0" t="s">
        <v>36</v>
      </c>
      <c r="AD494" s="0" t="s">
        <v>36</v>
      </c>
      <c r="AE494" s="2" t="s">
        <v>36</v>
      </c>
    </row>
    <row r="495">
      <c r="A495" s="6" t="s">
        <v>31</v>
      </c>
      <c r="B495" s="7">
        <v>41751</v>
      </c>
      <c r="C495" s="9">
        <f>HYPERLINK("https://www.epingalert.org/en/Search?viewData= G/SPS/N/RUS/57"," G/SPS/N/RUS/57")</f>
      </c>
      <c r="D495" s="8" t="s">
        <v>2371</v>
      </c>
      <c r="E495" s="8" t="s">
        <v>2372</v>
      </c>
      <c r="F495" s="8" t="s">
        <v>2373</v>
      </c>
      <c r="G495" s="8" t="s">
        <v>2374</v>
      </c>
      <c r="H495" s="8" t="s">
        <v>36</v>
      </c>
      <c r="I495" s="8" t="s">
        <v>1328</v>
      </c>
      <c r="J495" s="8" t="s">
        <v>1562</v>
      </c>
      <c r="K495" s="6" t="s">
        <v>2375</v>
      </c>
      <c r="L495" s="7" t="s">
        <v>36</v>
      </c>
      <c r="M495" s="6" t="s">
        <v>40</v>
      </c>
      <c r="N495" s="8" t="s">
        <v>2376</v>
      </c>
      <c r="O495" s="6">
        <f>HYPERLINK("https://docs.wto.org/imrd/directdoc.asp?DDFDocuments/t/G/SPS/NRUS57.pdf", "https://docs.wto.org/imrd/directdoc.asp?DDFDocuments/t/G/SPS/NRUS57.pdf")</f>
      </c>
      <c r="P495" s="6">
        <f>HYPERLINK("https://docs.wto.org/imrd/directdoc.asp?DDFDocuments/u/G/SPS/NRUS57.pdf", "https://docs.wto.org/imrd/directdoc.asp?DDFDocuments/u/G/SPS/NRUS57.pdf")</f>
      </c>
      <c r="Q495" s="6">
        <f>HYPERLINK("https://docs.wto.org/imrd/directdoc.asp?DDFDocuments/v/G/SPS/NRUS57.pdf", "https://docs.wto.org/imrd/directdoc.asp?DDFDocuments/v/G/SPS/NRUS57.pdf")</f>
      </c>
      <c r="R495" s="0" t="s">
        <v>36</v>
      </c>
      <c r="S495" s="0" t="s">
        <v>36</v>
      </c>
      <c r="T495" s="0" t="s">
        <v>36</v>
      </c>
      <c r="U495" s="0" t="s">
        <v>36</v>
      </c>
      <c r="V495" s="0" t="s">
        <v>36</v>
      </c>
      <c r="W495" s="0" t="s">
        <v>36</v>
      </c>
      <c r="X495" s="0" t="s">
        <v>36</v>
      </c>
      <c r="Y495" s="2" t="s">
        <v>36</v>
      </c>
      <c r="Z495" s="0" t="s">
        <v>42</v>
      </c>
      <c r="AA495" s="0" t="s">
        <v>43</v>
      </c>
      <c r="AB495" s="0" t="s">
        <v>42</v>
      </c>
      <c r="AC495" s="0" t="s">
        <v>42</v>
      </c>
      <c r="AD495" s="0" t="s">
        <v>43</v>
      </c>
      <c r="AE495" s="2"/>
    </row>
    <row r="496">
      <c r="A496" s="6" t="s">
        <v>31</v>
      </c>
      <c r="B496" s="7">
        <v>41740</v>
      </c>
      <c r="C496" s="9">
        <f>HYPERLINK("https://www.epingalert.org/en/Search?viewData= G/SPS/N/RUS/56"," G/SPS/N/RUS/56")</f>
      </c>
      <c r="D496" s="8" t="s">
        <v>2377</v>
      </c>
      <c r="E496" s="8" t="s">
        <v>2378</v>
      </c>
      <c r="F496" s="8" t="s">
        <v>2379</v>
      </c>
      <c r="G496" s="8" t="s">
        <v>2380</v>
      </c>
      <c r="H496" s="8" t="s">
        <v>36</v>
      </c>
      <c r="I496" s="8" t="s">
        <v>475</v>
      </c>
      <c r="J496" s="8" t="s">
        <v>2381</v>
      </c>
      <c r="K496" s="6"/>
      <c r="L496" s="7">
        <v>41800</v>
      </c>
      <c r="M496" s="6" t="s">
        <v>51</v>
      </c>
      <c r="N496" s="8" t="s">
        <v>2382</v>
      </c>
      <c r="O496" s="6">
        <f>HYPERLINK("https://docs.wto.org/imrd/directdoc.asp?DDFDocuments/t/G/SPS/NRUS56.pdf", "https://docs.wto.org/imrd/directdoc.asp?DDFDocuments/t/G/SPS/NRUS56.pdf")</f>
      </c>
      <c r="P496" s="6">
        <f>HYPERLINK("https://docs.wto.org/imrd/directdoc.asp?DDFDocuments/u/G/SPS/NRUS56.pdf", "https://docs.wto.org/imrd/directdoc.asp?DDFDocuments/u/G/SPS/NRUS56.pdf")</f>
      </c>
      <c r="Q496" s="6">
        <f>HYPERLINK("https://docs.wto.org/imrd/directdoc.asp?DDFDocuments/v/G/SPS/NRUS56.pdf", "https://docs.wto.org/imrd/directdoc.asp?DDFDocuments/v/G/SPS/NRUS56.pdf")</f>
      </c>
      <c r="R496" s="0" t="s">
        <v>36</v>
      </c>
      <c r="S496" s="0" t="s">
        <v>36</v>
      </c>
      <c r="T496" s="0" t="s">
        <v>36</v>
      </c>
      <c r="U496" s="0" t="s">
        <v>36</v>
      </c>
      <c r="V496" s="0" t="s">
        <v>36</v>
      </c>
      <c r="W496" s="0" t="s">
        <v>36</v>
      </c>
      <c r="X496" s="0" t="s">
        <v>36</v>
      </c>
      <c r="Y496" s="2" t="s">
        <v>36</v>
      </c>
      <c r="Z496" s="0" t="s">
        <v>42</v>
      </c>
      <c r="AA496" s="0" t="s">
        <v>43</v>
      </c>
      <c r="AB496" s="0" t="s">
        <v>42</v>
      </c>
      <c r="AC496" s="0" t="s">
        <v>42</v>
      </c>
      <c r="AD496" s="0" t="s">
        <v>43</v>
      </c>
      <c r="AE496" s="2"/>
    </row>
    <row r="497">
      <c r="A497" s="6" t="s">
        <v>31</v>
      </c>
      <c r="B497" s="7">
        <v>41733</v>
      </c>
      <c r="C497" s="9">
        <f>HYPERLINK("https://www.epingalert.org/en/Search?viewData= G/SPS/N/RUS/48/Add.2"," G/SPS/N/RUS/48/Add.2")</f>
      </c>
      <c r="D497" s="8" t="s">
        <v>2383</v>
      </c>
      <c r="E497" s="8" t="s">
        <v>2384</v>
      </c>
      <c r="F497" s="8"/>
      <c r="G497" s="8" t="s">
        <v>1673</v>
      </c>
      <c r="H497" s="8" t="s">
        <v>36</v>
      </c>
      <c r="I497" s="8" t="s">
        <v>332</v>
      </c>
      <c r="J497" s="8" t="s">
        <v>2385</v>
      </c>
      <c r="K497" s="6"/>
      <c r="L497" s="7" t="s">
        <v>36</v>
      </c>
      <c r="M497" s="6" t="s">
        <v>179</v>
      </c>
      <c r="N497" s="6"/>
      <c r="O497" s="6">
        <f>HYPERLINK("https://docs.wto.org/imrd/directdoc.asp?DDFDocuments/t/G/SPS/NRUS48A2.pdf", "https://docs.wto.org/imrd/directdoc.asp?DDFDocuments/t/G/SPS/NRUS48A2.pdf")</f>
      </c>
      <c r="P497" s="6">
        <f>HYPERLINK("https://docs.wto.org/imrd/directdoc.asp?DDFDocuments/u/G/SPS/NRUS48A2.pdf", "https://docs.wto.org/imrd/directdoc.asp?DDFDocuments/u/G/SPS/NRUS48A2.pdf")</f>
      </c>
      <c r="Q497" s="6">
        <f>HYPERLINK("https://docs.wto.org/imrd/directdoc.asp?DDFDocuments/v/G/SPS/NRUS48A2.pdf", "https://docs.wto.org/imrd/directdoc.asp?DDFDocuments/v/G/SPS/NRUS48A2.pdf")</f>
      </c>
      <c r="R497" s="0" t="s">
        <v>36</v>
      </c>
      <c r="S497" s="0" t="s">
        <v>36</v>
      </c>
      <c r="T497" s="0" t="s">
        <v>36</v>
      </c>
      <c r="U497" s="0" t="s">
        <v>36</v>
      </c>
      <c r="V497" s="0" t="s">
        <v>36</v>
      </c>
      <c r="W497" s="0" t="s">
        <v>36</v>
      </c>
      <c r="X497" s="0" t="s">
        <v>36</v>
      </c>
      <c r="Y497" s="2" t="s">
        <v>36</v>
      </c>
      <c r="Z497" s="0" t="s">
        <v>36</v>
      </c>
      <c r="AA497" s="0" t="s">
        <v>36</v>
      </c>
      <c r="AB497" s="0" t="s">
        <v>36</v>
      </c>
      <c r="AC497" s="0" t="s">
        <v>36</v>
      </c>
      <c r="AD497" s="0" t="s">
        <v>36</v>
      </c>
      <c r="AE497" s="2" t="s">
        <v>36</v>
      </c>
    </row>
    <row r="498">
      <c r="A498" s="6" t="s">
        <v>31</v>
      </c>
      <c r="B498" s="7">
        <v>41733</v>
      </c>
      <c r="C498" s="9">
        <f>HYPERLINK("https://www.epingalert.org/en/Search?viewData= G/SPS/N/RUS/54"," G/SPS/N/RUS/54")</f>
      </c>
      <c r="D498" s="8" t="s">
        <v>2386</v>
      </c>
      <c r="E498" s="8" t="s">
        <v>2387</v>
      </c>
      <c r="F498" s="8" t="s">
        <v>2388</v>
      </c>
      <c r="G498" s="8" t="s">
        <v>2389</v>
      </c>
      <c r="H498" s="8" t="s">
        <v>36</v>
      </c>
      <c r="I498" s="8" t="s">
        <v>36</v>
      </c>
      <c r="J498" s="8" t="s">
        <v>2390</v>
      </c>
      <c r="K498" s="6" t="s">
        <v>2391</v>
      </c>
      <c r="L498" s="7" t="s">
        <v>36</v>
      </c>
      <c r="M498" s="6" t="s">
        <v>40</v>
      </c>
      <c r="N498" s="6"/>
      <c r="O498" s="6">
        <f>HYPERLINK("https://docs.wto.org/imrd/directdoc.asp?DDFDocuments/t/G/SPS/NRUS54.pdf", "https://docs.wto.org/imrd/directdoc.asp?DDFDocuments/t/G/SPS/NRUS54.pdf")</f>
      </c>
      <c r="P498" s="6">
        <f>HYPERLINK("https://docs.wto.org/imrd/directdoc.asp?DDFDocuments/u/G/SPS/NRUS54.pdf", "https://docs.wto.org/imrd/directdoc.asp?DDFDocuments/u/G/SPS/NRUS54.pdf")</f>
      </c>
      <c r="Q498" s="6">
        <f>HYPERLINK("https://docs.wto.org/imrd/directdoc.asp?DDFDocuments/v/G/SPS/NRUS54.pdf", "https://docs.wto.org/imrd/directdoc.asp?DDFDocuments/v/G/SPS/NRUS54.pdf")</f>
      </c>
      <c r="R498" s="0" t="s">
        <v>36</v>
      </c>
      <c r="S498" s="0" t="s">
        <v>36</v>
      </c>
      <c r="T498" s="0" t="s">
        <v>36</v>
      </c>
      <c r="U498" s="0" t="s">
        <v>36</v>
      </c>
      <c r="V498" s="0" t="s">
        <v>36</v>
      </c>
      <c r="W498" s="0" t="s">
        <v>36</v>
      </c>
      <c r="X498" s="0" t="s">
        <v>36</v>
      </c>
      <c r="Y498" s="2" t="s">
        <v>36</v>
      </c>
      <c r="Z498" s="0" t="s">
        <v>42</v>
      </c>
      <c r="AA498" s="0" t="s">
        <v>42</v>
      </c>
      <c r="AB498" s="0" t="s">
        <v>42</v>
      </c>
      <c r="AC498" s="0" t="s">
        <v>42</v>
      </c>
      <c r="AD498" s="0" t="s">
        <v>42</v>
      </c>
      <c r="AE498" s="2"/>
    </row>
    <row r="499">
      <c r="A499" s="6" t="s">
        <v>31</v>
      </c>
      <c r="B499" s="7">
        <v>41733</v>
      </c>
      <c r="C499" s="9">
        <f>HYPERLINK("https://www.epingalert.org/en/Search?viewData= G/SPS/N/RUS/49/Add.1"," G/SPS/N/RUS/49/Add.1")</f>
      </c>
      <c r="D499" s="8" t="s">
        <v>2392</v>
      </c>
      <c r="E499" s="8" t="s">
        <v>2393</v>
      </c>
      <c r="F499" s="8"/>
      <c r="G499" s="8" t="s">
        <v>2332</v>
      </c>
      <c r="H499" s="8" t="s">
        <v>36</v>
      </c>
      <c r="I499" s="8" t="s">
        <v>332</v>
      </c>
      <c r="J499" s="8" t="s">
        <v>2385</v>
      </c>
      <c r="K499" s="6"/>
      <c r="L499" s="7" t="s">
        <v>36</v>
      </c>
      <c r="M499" s="6" t="s">
        <v>179</v>
      </c>
      <c r="N499" s="6"/>
      <c r="O499" s="6">
        <f>HYPERLINK("https://docs.wto.org/imrd/directdoc.asp?DDFDocuments/t/G/SPS/NRUS49A1.pdf", "https://docs.wto.org/imrd/directdoc.asp?DDFDocuments/t/G/SPS/NRUS49A1.pdf")</f>
      </c>
      <c r="P499" s="6">
        <f>HYPERLINK("https://docs.wto.org/imrd/directdoc.asp?DDFDocuments/u/G/SPS/NRUS49A1.pdf", "https://docs.wto.org/imrd/directdoc.asp?DDFDocuments/u/G/SPS/NRUS49A1.pdf")</f>
      </c>
      <c r="Q499" s="6">
        <f>HYPERLINK("https://docs.wto.org/imrd/directdoc.asp?DDFDocuments/v/G/SPS/NRUS49A1.pdf", "https://docs.wto.org/imrd/directdoc.asp?DDFDocuments/v/G/SPS/NRUS49A1.pdf")</f>
      </c>
      <c r="R499" s="0" t="s">
        <v>36</v>
      </c>
      <c r="S499" s="0" t="s">
        <v>36</v>
      </c>
      <c r="T499" s="0" t="s">
        <v>36</v>
      </c>
      <c r="U499" s="0" t="s">
        <v>36</v>
      </c>
      <c r="V499" s="0" t="s">
        <v>36</v>
      </c>
      <c r="W499" s="0" t="s">
        <v>36</v>
      </c>
      <c r="X499" s="0" t="s">
        <v>36</v>
      </c>
      <c r="Y499" s="2" t="s">
        <v>36</v>
      </c>
      <c r="Z499" s="0" t="s">
        <v>36</v>
      </c>
      <c r="AA499" s="0" t="s">
        <v>36</v>
      </c>
      <c r="AB499" s="0" t="s">
        <v>36</v>
      </c>
      <c r="AC499" s="0" t="s">
        <v>36</v>
      </c>
      <c r="AD499" s="0" t="s">
        <v>36</v>
      </c>
      <c r="AE499" s="2" t="s">
        <v>36</v>
      </c>
    </row>
    <row r="500">
      <c r="A500" s="6" t="s">
        <v>31</v>
      </c>
      <c r="B500" s="7">
        <v>41733</v>
      </c>
      <c r="C500" s="9">
        <f>HYPERLINK("https://www.epingalert.org/en/Search?viewData= G/SPS/N/RUS/53"," G/SPS/N/RUS/53")</f>
      </c>
      <c r="D500" s="8" t="s">
        <v>2394</v>
      </c>
      <c r="E500" s="8" t="s">
        <v>2395</v>
      </c>
      <c r="F500" s="8" t="s">
        <v>2396</v>
      </c>
      <c r="G500" s="8" t="s">
        <v>2397</v>
      </c>
      <c r="H500" s="8" t="s">
        <v>36</v>
      </c>
      <c r="I500" s="8" t="s">
        <v>1328</v>
      </c>
      <c r="J500" s="8" t="s">
        <v>2170</v>
      </c>
      <c r="K500" s="6" t="s">
        <v>494</v>
      </c>
      <c r="L500" s="7" t="s">
        <v>36</v>
      </c>
      <c r="M500" s="6" t="s">
        <v>40</v>
      </c>
      <c r="N500" s="8" t="s">
        <v>2398</v>
      </c>
      <c r="O500" s="6">
        <f>HYPERLINK("https://docs.wto.org/imrd/directdoc.asp?DDFDocuments/t/G/SPS/NRUS53.pdf", "https://docs.wto.org/imrd/directdoc.asp?DDFDocuments/t/G/SPS/NRUS53.pdf")</f>
      </c>
      <c r="P500" s="6">
        <f>HYPERLINK("https://docs.wto.org/imrd/directdoc.asp?DDFDocuments/u/G/SPS/NRUS53.pdf", "https://docs.wto.org/imrd/directdoc.asp?DDFDocuments/u/G/SPS/NRUS53.pdf")</f>
      </c>
      <c r="Q500" s="6">
        <f>HYPERLINK("https://docs.wto.org/imrd/directdoc.asp?DDFDocuments/v/G/SPS/NRUS53.pdf", "https://docs.wto.org/imrd/directdoc.asp?DDFDocuments/v/G/SPS/NRUS53.pdf")</f>
      </c>
      <c r="R500" s="0" t="s">
        <v>36</v>
      </c>
      <c r="S500" s="0" t="s">
        <v>36</v>
      </c>
      <c r="T500" s="0" t="s">
        <v>36</v>
      </c>
      <c r="U500" s="0" t="s">
        <v>36</v>
      </c>
      <c r="V500" s="0" t="s">
        <v>36</v>
      </c>
      <c r="W500" s="0" t="s">
        <v>36</v>
      </c>
      <c r="X500" s="0" t="s">
        <v>36</v>
      </c>
      <c r="Y500" s="2" t="s">
        <v>36</v>
      </c>
      <c r="Z500" s="0" t="s">
        <v>43</v>
      </c>
      <c r="AA500" s="0" t="s">
        <v>42</v>
      </c>
      <c r="AB500" s="0" t="s">
        <v>42</v>
      </c>
      <c r="AC500" s="0" t="s">
        <v>42</v>
      </c>
      <c r="AD500" s="0" t="s">
        <v>43</v>
      </c>
      <c r="AE500" s="2"/>
    </row>
    <row r="501">
      <c r="A501" s="6" t="s">
        <v>31</v>
      </c>
      <c r="B501" s="7">
        <v>41733</v>
      </c>
      <c r="C501" s="9">
        <f>HYPERLINK("https://www.epingalert.org/en/Search?viewData= G/SPS/N/RUS/55"," G/SPS/N/RUS/55")</f>
      </c>
      <c r="D501" s="8" t="s">
        <v>2399</v>
      </c>
      <c r="E501" s="8" t="s">
        <v>2400</v>
      </c>
      <c r="F501" s="8" t="s">
        <v>2401</v>
      </c>
      <c r="G501" s="8" t="s">
        <v>2402</v>
      </c>
      <c r="H501" s="8" t="s">
        <v>36</v>
      </c>
      <c r="I501" s="8" t="s">
        <v>1328</v>
      </c>
      <c r="J501" s="8" t="s">
        <v>2170</v>
      </c>
      <c r="K501" s="6" t="s">
        <v>494</v>
      </c>
      <c r="L501" s="7" t="s">
        <v>36</v>
      </c>
      <c r="M501" s="6" t="s">
        <v>40</v>
      </c>
      <c r="N501" s="8" t="s">
        <v>2403</v>
      </c>
      <c r="O501" s="6">
        <f>HYPERLINK("https://docs.wto.org/imrd/directdoc.asp?DDFDocuments/t/G/SPS/NRUS55.pdf", "https://docs.wto.org/imrd/directdoc.asp?DDFDocuments/t/G/SPS/NRUS55.pdf")</f>
      </c>
      <c r="P501" s="6">
        <f>HYPERLINK("https://docs.wto.org/imrd/directdoc.asp?DDFDocuments/u/G/SPS/NRUS55.pdf", "https://docs.wto.org/imrd/directdoc.asp?DDFDocuments/u/G/SPS/NRUS55.pdf")</f>
      </c>
      <c r="Q501" s="6">
        <f>HYPERLINK("https://docs.wto.org/imrd/directdoc.asp?DDFDocuments/v/G/SPS/NRUS55.pdf", "https://docs.wto.org/imrd/directdoc.asp?DDFDocuments/v/G/SPS/NRUS55.pdf")</f>
      </c>
      <c r="R501" s="0" t="s">
        <v>36</v>
      </c>
      <c r="S501" s="0" t="s">
        <v>36</v>
      </c>
      <c r="T501" s="0" t="s">
        <v>36</v>
      </c>
      <c r="U501" s="0" t="s">
        <v>36</v>
      </c>
      <c r="V501" s="0" t="s">
        <v>36</v>
      </c>
      <c r="W501" s="0" t="s">
        <v>36</v>
      </c>
      <c r="X501" s="0" t="s">
        <v>36</v>
      </c>
      <c r="Y501" s="2" t="s">
        <v>36</v>
      </c>
      <c r="Z501" s="0" t="s">
        <v>43</v>
      </c>
      <c r="AA501" s="0" t="s">
        <v>42</v>
      </c>
      <c r="AB501" s="0" t="s">
        <v>42</v>
      </c>
      <c r="AC501" s="0" t="s">
        <v>42</v>
      </c>
      <c r="AD501" s="0" t="s">
        <v>43</v>
      </c>
      <c r="AE501" s="2"/>
    </row>
    <row r="502">
      <c r="A502" s="6" t="s">
        <v>31</v>
      </c>
      <c r="B502" s="7">
        <v>41732</v>
      </c>
      <c r="C502" s="9">
        <f>HYPERLINK("https://www.epingalert.org/en/Search?viewData= G/SPS/N/RUS/51"," G/SPS/N/RUS/51")</f>
      </c>
      <c r="D502" s="8" t="s">
        <v>2404</v>
      </c>
      <c r="E502" s="8" t="s">
        <v>2405</v>
      </c>
      <c r="F502" s="8" t="s">
        <v>2406</v>
      </c>
      <c r="G502" s="8" t="s">
        <v>2407</v>
      </c>
      <c r="H502" s="8" t="s">
        <v>36</v>
      </c>
      <c r="I502" s="8" t="s">
        <v>37</v>
      </c>
      <c r="J502" s="8" t="s">
        <v>157</v>
      </c>
      <c r="K502" s="6" t="s">
        <v>2408</v>
      </c>
      <c r="L502" s="7" t="s">
        <v>36</v>
      </c>
      <c r="M502" s="6" t="s">
        <v>40</v>
      </c>
      <c r="N502" s="8" t="s">
        <v>2409</v>
      </c>
      <c r="O502" s="6">
        <f>HYPERLINK("https://docs.wto.org/imrd/directdoc.asp?DDFDocuments/t/G/SPS/NRUS51.pdf", "https://docs.wto.org/imrd/directdoc.asp?DDFDocuments/t/G/SPS/NRUS51.pdf")</f>
      </c>
      <c r="P502" s="6">
        <f>HYPERLINK("https://docs.wto.org/imrd/directdoc.asp?DDFDocuments/u/G/SPS/NRUS51.pdf", "https://docs.wto.org/imrd/directdoc.asp?DDFDocuments/u/G/SPS/NRUS51.pdf")</f>
      </c>
      <c r="Q502" s="6">
        <f>HYPERLINK("https://docs.wto.org/imrd/directdoc.asp?DDFDocuments/v/G/SPS/NRUS51.pdf", "https://docs.wto.org/imrd/directdoc.asp?DDFDocuments/v/G/SPS/NRUS51.pdf")</f>
      </c>
      <c r="R502" s="0" t="s">
        <v>36</v>
      </c>
      <c r="S502" s="0" t="s">
        <v>36</v>
      </c>
      <c r="T502" s="0" t="s">
        <v>36</v>
      </c>
      <c r="U502" s="0" t="s">
        <v>36</v>
      </c>
      <c r="V502" s="0" t="s">
        <v>36</v>
      </c>
      <c r="W502" s="0" t="s">
        <v>36</v>
      </c>
      <c r="X502" s="0" t="s">
        <v>36</v>
      </c>
      <c r="Y502" s="2" t="s">
        <v>36</v>
      </c>
      <c r="Z502" s="0" t="s">
        <v>42</v>
      </c>
      <c r="AA502" s="0" t="s">
        <v>43</v>
      </c>
      <c r="AB502" s="0" t="s">
        <v>42</v>
      </c>
      <c r="AC502" s="0" t="s">
        <v>42</v>
      </c>
      <c r="AD502" s="0" t="s">
        <v>43</v>
      </c>
      <c r="AE502" s="2"/>
    </row>
    <row r="503">
      <c r="A503" s="6" t="s">
        <v>31</v>
      </c>
      <c r="B503" s="7">
        <v>41732</v>
      </c>
      <c r="C503" s="9">
        <f>HYPERLINK("https://www.epingalert.org/en/Search?viewData= G/SPS/N/RUS/52"," G/SPS/N/RUS/52")</f>
      </c>
      <c r="D503" s="8" t="s">
        <v>2410</v>
      </c>
      <c r="E503" s="8" t="s">
        <v>2411</v>
      </c>
      <c r="F503" s="8" t="s">
        <v>2412</v>
      </c>
      <c r="G503" s="8" t="s">
        <v>2413</v>
      </c>
      <c r="H503" s="8" t="s">
        <v>36</v>
      </c>
      <c r="I503" s="8" t="s">
        <v>332</v>
      </c>
      <c r="J503" s="8" t="s">
        <v>2414</v>
      </c>
      <c r="K503" s="6" t="s">
        <v>2415</v>
      </c>
      <c r="L503" s="7" t="s">
        <v>36</v>
      </c>
      <c r="M503" s="6" t="s">
        <v>40</v>
      </c>
      <c r="N503" s="8" t="s">
        <v>2416</v>
      </c>
      <c r="O503" s="6">
        <f>HYPERLINK("https://docs.wto.org/imrd/directdoc.asp?DDFDocuments/t/G/SPS/NRUS52.pdf", "https://docs.wto.org/imrd/directdoc.asp?DDFDocuments/t/G/SPS/NRUS52.pdf")</f>
      </c>
      <c r="P503" s="6">
        <f>HYPERLINK("https://docs.wto.org/imrd/directdoc.asp?DDFDocuments/u/G/SPS/NRUS52.pdf", "https://docs.wto.org/imrd/directdoc.asp?DDFDocuments/u/G/SPS/NRUS52.pdf")</f>
      </c>
      <c r="Q503" s="6">
        <f>HYPERLINK("https://docs.wto.org/imrd/directdoc.asp?DDFDocuments/v/G/SPS/NRUS52.pdf", "https://docs.wto.org/imrd/directdoc.asp?DDFDocuments/v/G/SPS/NRUS52.pdf")</f>
      </c>
      <c r="R503" s="0" t="s">
        <v>36</v>
      </c>
      <c r="S503" s="0" t="s">
        <v>36</v>
      </c>
      <c r="T503" s="0" t="s">
        <v>36</v>
      </c>
      <c r="U503" s="0" t="s">
        <v>36</v>
      </c>
      <c r="V503" s="0" t="s">
        <v>36</v>
      </c>
      <c r="W503" s="0" t="s">
        <v>36</v>
      </c>
      <c r="X503" s="0" t="s">
        <v>36</v>
      </c>
      <c r="Y503" s="2" t="s">
        <v>36</v>
      </c>
      <c r="Z503" s="0" t="s">
        <v>42</v>
      </c>
      <c r="AA503" s="0" t="s">
        <v>43</v>
      </c>
      <c r="AB503" s="0" t="s">
        <v>42</v>
      </c>
      <c r="AC503" s="0" t="s">
        <v>42</v>
      </c>
      <c r="AD503" s="0" t="s">
        <v>43</v>
      </c>
      <c r="AE503" s="2"/>
    </row>
    <row r="504">
      <c r="A504" s="6" t="s">
        <v>31</v>
      </c>
      <c r="B504" s="7">
        <v>41731</v>
      </c>
      <c r="C504" s="9">
        <f>HYPERLINK("https://www.epingalert.org/en/Search?viewData= G/SPS/N/RUS/50"," G/SPS/N/RUS/50")</f>
      </c>
      <c r="D504" s="8" t="s">
        <v>2417</v>
      </c>
      <c r="E504" s="8" t="s">
        <v>2418</v>
      </c>
      <c r="F504" s="8" t="s">
        <v>2419</v>
      </c>
      <c r="G504" s="8" t="s">
        <v>2420</v>
      </c>
      <c r="H504" s="8" t="s">
        <v>36</v>
      </c>
      <c r="I504" s="8" t="s">
        <v>97</v>
      </c>
      <c r="J504" s="8" t="s">
        <v>2421</v>
      </c>
      <c r="K504" s="6"/>
      <c r="L504" s="7">
        <v>41791</v>
      </c>
      <c r="M504" s="6" t="s">
        <v>51</v>
      </c>
      <c r="N504" s="8" t="s">
        <v>2422</v>
      </c>
      <c r="O504" s="6">
        <f>HYPERLINK("https://docs.wto.org/imrd/directdoc.asp?DDFDocuments/t/G/SPS/NRUS50.pdf", "https://docs.wto.org/imrd/directdoc.asp?DDFDocuments/t/G/SPS/NRUS50.pdf")</f>
      </c>
      <c r="P504" s="6">
        <f>HYPERLINK("https://docs.wto.org/imrd/directdoc.asp?DDFDocuments/u/G/SPS/NRUS50.pdf", "https://docs.wto.org/imrd/directdoc.asp?DDFDocuments/u/G/SPS/NRUS50.pdf")</f>
      </c>
      <c r="Q504" s="6">
        <f>HYPERLINK("https://docs.wto.org/imrd/directdoc.asp?DDFDocuments/v/G/SPS/NRUS50.pdf", "https://docs.wto.org/imrd/directdoc.asp?DDFDocuments/v/G/SPS/NRUS50.pdf")</f>
      </c>
      <c r="R504" s="0" t="s">
        <v>36</v>
      </c>
      <c r="S504" s="0" t="s">
        <v>36</v>
      </c>
      <c r="T504" s="0" t="s">
        <v>36</v>
      </c>
      <c r="U504" s="0" t="s">
        <v>36</v>
      </c>
      <c r="V504" s="0" t="s">
        <v>36</v>
      </c>
      <c r="W504" s="0" t="s">
        <v>36</v>
      </c>
      <c r="X504" s="0" t="s">
        <v>36</v>
      </c>
      <c r="Y504" s="2" t="s">
        <v>36</v>
      </c>
      <c r="Z504" s="0" t="s">
        <v>43</v>
      </c>
      <c r="AA504" s="0" t="s">
        <v>42</v>
      </c>
      <c r="AB504" s="0" t="s">
        <v>42</v>
      </c>
      <c r="AC504" s="0" t="s">
        <v>42</v>
      </c>
      <c r="AD504" s="0" t="s">
        <v>43</v>
      </c>
      <c r="AE504" s="2"/>
    </row>
    <row r="505">
      <c r="A505" s="6" t="s">
        <v>31</v>
      </c>
      <c r="B505" s="7">
        <v>41731</v>
      </c>
      <c r="C505" s="9">
        <f>HYPERLINK("https://www.epingalert.org/en/Search?viewData= G/SPS/N/RUS/41/Add.1"," G/SPS/N/RUS/41/Add.1")</f>
      </c>
      <c r="D505" s="8" t="s">
        <v>2423</v>
      </c>
      <c r="E505" s="8" t="s">
        <v>2424</v>
      </c>
      <c r="F505" s="8"/>
      <c r="G505" s="8" t="s">
        <v>2425</v>
      </c>
      <c r="H505" s="8" t="s">
        <v>36</v>
      </c>
      <c r="I505" s="8" t="s">
        <v>332</v>
      </c>
      <c r="J505" s="8" t="s">
        <v>1696</v>
      </c>
      <c r="K505" s="6"/>
      <c r="L505" s="7" t="s">
        <v>36</v>
      </c>
      <c r="M505" s="6" t="s">
        <v>179</v>
      </c>
      <c r="N505" s="6"/>
      <c r="O505" s="6">
        <f>HYPERLINK("https://docs.wto.org/imrd/directdoc.asp?DDFDocuments/t/G/SPS/NRUS41A1.pdf", "https://docs.wto.org/imrd/directdoc.asp?DDFDocuments/t/G/SPS/NRUS41A1.pdf")</f>
      </c>
      <c r="P505" s="6">
        <f>HYPERLINK("https://docs.wto.org/imrd/directdoc.asp?DDFDocuments/u/G/SPS/NRUS41A1.pdf", "https://docs.wto.org/imrd/directdoc.asp?DDFDocuments/u/G/SPS/NRUS41A1.pdf")</f>
      </c>
      <c r="Q505" s="6">
        <f>HYPERLINK("https://docs.wto.org/imrd/directdoc.asp?DDFDocuments/v/G/SPS/NRUS41A1.pdf", "https://docs.wto.org/imrd/directdoc.asp?DDFDocuments/v/G/SPS/NRUS41A1.pdf")</f>
      </c>
      <c r="R505" s="0" t="s">
        <v>36</v>
      </c>
      <c r="S505" s="0" t="s">
        <v>36</v>
      </c>
      <c r="T505" s="0" t="s">
        <v>36</v>
      </c>
      <c r="U505" s="0" t="s">
        <v>36</v>
      </c>
      <c r="V505" s="0" t="s">
        <v>36</v>
      </c>
      <c r="W505" s="0" t="s">
        <v>36</v>
      </c>
      <c r="X505" s="0" t="s">
        <v>36</v>
      </c>
      <c r="Y505" s="2" t="s">
        <v>36</v>
      </c>
      <c r="Z505" s="0" t="s">
        <v>36</v>
      </c>
      <c r="AA505" s="0" t="s">
        <v>36</v>
      </c>
      <c r="AB505" s="0" t="s">
        <v>36</v>
      </c>
      <c r="AC505" s="0" t="s">
        <v>36</v>
      </c>
      <c r="AD505" s="0" t="s">
        <v>36</v>
      </c>
      <c r="AE505" s="2" t="s">
        <v>36</v>
      </c>
    </row>
    <row r="506">
      <c r="A506" s="6" t="s">
        <v>31</v>
      </c>
      <c r="B506" s="7">
        <v>41722</v>
      </c>
      <c r="C506" s="9">
        <f>HYPERLINK("https://www.epingalert.org/en/Search?viewData= G/TBT/N/RUS/35"," G/TBT/N/RUS/35")</f>
      </c>
      <c r="D506" s="8" t="s">
        <v>2426</v>
      </c>
      <c r="E506" s="8" t="s">
        <v>2427</v>
      </c>
      <c r="F506" s="8" t="s">
        <v>2428</v>
      </c>
      <c r="G506" s="8" t="s">
        <v>36</v>
      </c>
      <c r="H506" s="8" t="s">
        <v>2429</v>
      </c>
      <c r="I506" s="8" t="s">
        <v>1637</v>
      </c>
      <c r="J506" s="8" t="s">
        <v>36</v>
      </c>
      <c r="K506" s="6"/>
      <c r="L506" s="7">
        <v>41779</v>
      </c>
      <c r="M506" s="6" t="s">
        <v>51</v>
      </c>
      <c r="N506" s="6"/>
      <c r="O506" s="6">
        <f>HYPERLINK("https://docs.wto.org/imrd/directdoc.asp?DDFDocuments/t/G/TBTN14/RUS35.DOC", "https://docs.wto.org/imrd/directdoc.asp?DDFDocuments/t/G/TBTN14/RUS35.DOC")</f>
      </c>
      <c r="P506" s="6">
        <f>HYPERLINK("https://docs.wto.org/imrd/directdoc.asp?DDFDocuments/u/G/TBTN14/RUS35.DOC", "https://docs.wto.org/imrd/directdoc.asp?DDFDocuments/u/G/TBTN14/RUS35.DOC")</f>
      </c>
      <c r="Q506" s="6">
        <f>HYPERLINK("https://docs.wto.org/imrd/directdoc.asp?DDFDocuments/v/G/TBTN14/RUS35.DOC", "https://docs.wto.org/imrd/directdoc.asp?DDFDocuments/v/G/TBTN14/RUS35.DOC")</f>
      </c>
      <c r="R506" s="0" t="s">
        <v>43</v>
      </c>
      <c r="S506" s="0" t="s">
        <v>42</v>
      </c>
      <c r="T506" s="0" t="s">
        <v>43</v>
      </c>
      <c r="U506" s="0" t="s">
        <v>42</v>
      </c>
      <c r="V506" s="0" t="s">
        <v>42</v>
      </c>
      <c r="W506" s="0" t="s">
        <v>42</v>
      </c>
      <c r="X506" s="0" t="s">
        <v>42</v>
      </c>
      <c r="Y506" s="2" t="s">
        <v>2430</v>
      </c>
      <c r="Z506" s="0" t="s">
        <v>36</v>
      </c>
      <c r="AA506" s="0" t="s">
        <v>36</v>
      </c>
      <c r="AB506" s="0" t="s">
        <v>36</v>
      </c>
      <c r="AC506" s="0" t="s">
        <v>36</v>
      </c>
      <c r="AD506" s="0" t="s">
        <v>36</v>
      </c>
      <c r="AE506" s="2" t="s">
        <v>36</v>
      </c>
    </row>
    <row r="507">
      <c r="A507" s="6" t="s">
        <v>31</v>
      </c>
      <c r="B507" s="7">
        <v>41722</v>
      </c>
      <c r="C507" s="9">
        <f>HYPERLINK("https://www.epingalert.org/en/Search?viewData= G/TBT/N/RUS/33"," G/TBT/N/RUS/33")</f>
      </c>
      <c r="D507" s="8" t="s">
        <v>2431</v>
      </c>
      <c r="E507" s="8" t="s">
        <v>2432</v>
      </c>
      <c r="F507" s="8" t="s">
        <v>2433</v>
      </c>
      <c r="G507" s="8" t="s">
        <v>36</v>
      </c>
      <c r="H507" s="8" t="s">
        <v>2434</v>
      </c>
      <c r="I507" s="8" t="s">
        <v>902</v>
      </c>
      <c r="J507" s="8" t="s">
        <v>36</v>
      </c>
      <c r="K507" s="6"/>
      <c r="L507" s="7">
        <v>41779</v>
      </c>
      <c r="M507" s="6" t="s">
        <v>51</v>
      </c>
      <c r="N507" s="6"/>
      <c r="O507" s="6">
        <f>HYPERLINK("https://docs.wto.org/imrd/directdoc.asp?DDFDocuments/t/G/TBTN14/RUS33.DOC", "https://docs.wto.org/imrd/directdoc.asp?DDFDocuments/t/G/TBTN14/RUS33.DOC")</f>
      </c>
      <c r="P507" s="6">
        <f>HYPERLINK("https://docs.wto.org/imrd/directdoc.asp?DDFDocuments/u/G/TBTN14/RUS33.DOC", "https://docs.wto.org/imrd/directdoc.asp?DDFDocuments/u/G/TBTN14/RUS33.DOC")</f>
      </c>
      <c r="Q507" s="6">
        <f>HYPERLINK("https://docs.wto.org/imrd/directdoc.asp?DDFDocuments/v/G/TBTN14/RUS33.DOC", "https://docs.wto.org/imrd/directdoc.asp?DDFDocuments/v/G/TBTN14/RUS33.DOC")</f>
      </c>
      <c r="R507" s="0" t="s">
        <v>43</v>
      </c>
      <c r="S507" s="0" t="s">
        <v>42</v>
      </c>
      <c r="T507" s="0" t="s">
        <v>43</v>
      </c>
      <c r="U507" s="0" t="s">
        <v>42</v>
      </c>
      <c r="V507" s="0" t="s">
        <v>42</v>
      </c>
      <c r="W507" s="0" t="s">
        <v>42</v>
      </c>
      <c r="X507" s="0" t="s">
        <v>42</v>
      </c>
      <c r="Y507" s="2" t="s">
        <v>2435</v>
      </c>
      <c r="Z507" s="0" t="s">
        <v>36</v>
      </c>
      <c r="AA507" s="0" t="s">
        <v>36</v>
      </c>
      <c r="AB507" s="0" t="s">
        <v>36</v>
      </c>
      <c r="AC507" s="0" t="s">
        <v>36</v>
      </c>
      <c r="AD507" s="0" t="s">
        <v>36</v>
      </c>
      <c r="AE507" s="2" t="s">
        <v>36</v>
      </c>
    </row>
    <row r="508">
      <c r="A508" s="6" t="s">
        <v>31</v>
      </c>
      <c r="B508" s="7">
        <v>41722</v>
      </c>
      <c r="C508" s="9">
        <f>HYPERLINK("https://www.epingalert.org/en/Search?viewData= G/TBT/N/RUS/34"," G/TBT/N/RUS/34")</f>
      </c>
      <c r="D508" s="8" t="s">
        <v>2436</v>
      </c>
      <c r="E508" s="8" t="s">
        <v>2437</v>
      </c>
      <c r="F508" s="8" t="s">
        <v>2438</v>
      </c>
      <c r="G508" s="8" t="s">
        <v>36</v>
      </c>
      <c r="H508" s="8" t="s">
        <v>2439</v>
      </c>
      <c r="I508" s="8" t="s">
        <v>902</v>
      </c>
      <c r="J508" s="8" t="s">
        <v>36</v>
      </c>
      <c r="K508" s="6"/>
      <c r="L508" s="7">
        <v>41779</v>
      </c>
      <c r="M508" s="6" t="s">
        <v>51</v>
      </c>
      <c r="N508" s="6"/>
      <c r="O508" s="6">
        <f>HYPERLINK("https://docs.wto.org/imrd/directdoc.asp?DDFDocuments/t/G/TBTN14/RUS34.DOC", "https://docs.wto.org/imrd/directdoc.asp?DDFDocuments/t/G/TBTN14/RUS34.DOC")</f>
      </c>
      <c r="P508" s="6">
        <f>HYPERLINK("https://docs.wto.org/imrd/directdoc.asp?DDFDocuments/u/G/TBTN14/RUS34.DOC", "https://docs.wto.org/imrd/directdoc.asp?DDFDocuments/u/G/TBTN14/RUS34.DOC")</f>
      </c>
      <c r="Q508" s="6">
        <f>HYPERLINK("https://docs.wto.org/imrd/directdoc.asp?DDFDocuments/v/G/TBTN14/RUS34.DOC", "https://docs.wto.org/imrd/directdoc.asp?DDFDocuments/v/G/TBTN14/RUS34.DOC")</f>
      </c>
      <c r="R508" s="0" t="s">
        <v>43</v>
      </c>
      <c r="S508" s="0" t="s">
        <v>42</v>
      </c>
      <c r="T508" s="0" t="s">
        <v>43</v>
      </c>
      <c r="U508" s="0" t="s">
        <v>42</v>
      </c>
      <c r="V508" s="0" t="s">
        <v>42</v>
      </c>
      <c r="W508" s="0" t="s">
        <v>42</v>
      </c>
      <c r="X508" s="0" t="s">
        <v>42</v>
      </c>
      <c r="Y508" s="2" t="s">
        <v>2440</v>
      </c>
      <c r="Z508" s="0" t="s">
        <v>36</v>
      </c>
      <c r="AA508" s="0" t="s">
        <v>36</v>
      </c>
      <c r="AB508" s="0" t="s">
        <v>36</v>
      </c>
      <c r="AC508" s="0" t="s">
        <v>36</v>
      </c>
      <c r="AD508" s="0" t="s">
        <v>36</v>
      </c>
      <c r="AE508" s="2" t="s">
        <v>36</v>
      </c>
    </row>
    <row r="509">
      <c r="A509" s="6" t="s">
        <v>31</v>
      </c>
      <c r="B509" s="7">
        <v>41717</v>
      </c>
      <c r="C509" s="9">
        <f>HYPERLINK("https://www.epingalert.org/en/Search?viewData= G/SPS/N/RUS/9/Add.1"," G/SPS/N/RUS/9/Add.1")</f>
      </c>
      <c r="D509" s="8" t="s">
        <v>2441</v>
      </c>
      <c r="E509" s="8" t="s">
        <v>2442</v>
      </c>
      <c r="F509" s="8"/>
      <c r="G509" s="8" t="s">
        <v>1302</v>
      </c>
      <c r="H509" s="8" t="s">
        <v>36</v>
      </c>
      <c r="I509" s="8" t="s">
        <v>505</v>
      </c>
      <c r="J509" s="8" t="s">
        <v>2443</v>
      </c>
      <c r="K509" s="6"/>
      <c r="L509" s="7" t="s">
        <v>36</v>
      </c>
      <c r="M509" s="6" t="s">
        <v>179</v>
      </c>
      <c r="N509" s="6"/>
      <c r="O509" s="6">
        <f>HYPERLINK("https://docs.wto.org/imrd/directdoc.asp?DDFDocuments/t/G/SPS/NRUS9A1.pdf", "https://docs.wto.org/imrd/directdoc.asp?DDFDocuments/t/G/SPS/NRUS9A1.pdf")</f>
      </c>
      <c r="P509" s="6">
        <f>HYPERLINK("https://docs.wto.org/imrd/directdoc.asp?DDFDocuments/u/G/SPS/NRUS9A1.pdf", "https://docs.wto.org/imrd/directdoc.asp?DDFDocuments/u/G/SPS/NRUS9A1.pdf")</f>
      </c>
      <c r="Q509" s="6">
        <f>HYPERLINK("https://docs.wto.org/imrd/directdoc.asp?DDFDocuments/v/G/SPS/NRUS9A1.pdf", "https://docs.wto.org/imrd/directdoc.asp?DDFDocuments/v/G/SPS/NRUS9A1.pdf")</f>
      </c>
      <c r="R509" s="0" t="s">
        <v>36</v>
      </c>
      <c r="S509" s="0" t="s">
        <v>36</v>
      </c>
      <c r="T509" s="0" t="s">
        <v>36</v>
      </c>
      <c r="U509" s="0" t="s">
        <v>36</v>
      </c>
      <c r="V509" s="0" t="s">
        <v>36</v>
      </c>
      <c r="W509" s="0" t="s">
        <v>36</v>
      </c>
      <c r="X509" s="0" t="s">
        <v>36</v>
      </c>
      <c r="Y509" s="2" t="s">
        <v>36</v>
      </c>
      <c r="Z509" s="0" t="s">
        <v>36</v>
      </c>
      <c r="AA509" s="0" t="s">
        <v>36</v>
      </c>
      <c r="AB509" s="0" t="s">
        <v>36</v>
      </c>
      <c r="AC509" s="0" t="s">
        <v>36</v>
      </c>
      <c r="AD509" s="0" t="s">
        <v>36</v>
      </c>
      <c r="AE509" s="2" t="s">
        <v>36</v>
      </c>
    </row>
    <row r="510">
      <c r="A510" s="6" t="s">
        <v>31</v>
      </c>
      <c r="B510" s="7">
        <v>41717</v>
      </c>
      <c r="C510" s="9">
        <f>HYPERLINK("https://www.epingalert.org/en/Search?viewData= G/SPS/N/RUS/34/Add.1"," G/SPS/N/RUS/34/Add.1")</f>
      </c>
      <c r="D510" s="8" t="s">
        <v>2444</v>
      </c>
      <c r="E510" s="8" t="s">
        <v>2445</v>
      </c>
      <c r="F510" s="8"/>
      <c r="G510" s="8" t="s">
        <v>2446</v>
      </c>
      <c r="H510" s="8" t="s">
        <v>36</v>
      </c>
      <c r="I510" s="8" t="s">
        <v>36</v>
      </c>
      <c r="J510" s="8" t="s">
        <v>2447</v>
      </c>
      <c r="K510" s="6"/>
      <c r="L510" s="7" t="s">
        <v>36</v>
      </c>
      <c r="M510" s="6" t="s">
        <v>179</v>
      </c>
      <c r="N510" s="6"/>
      <c r="O510" s="6">
        <f>HYPERLINK("https://docs.wto.org/imrd/directdoc.asp?DDFDocuments/t/G/SPS/NRUS34A1.pdf", "https://docs.wto.org/imrd/directdoc.asp?DDFDocuments/t/G/SPS/NRUS34A1.pdf")</f>
      </c>
      <c r="P510" s="6">
        <f>HYPERLINK("https://docs.wto.org/imrd/directdoc.asp?DDFDocuments/u/G/SPS/NRUS34A1.pdf", "https://docs.wto.org/imrd/directdoc.asp?DDFDocuments/u/G/SPS/NRUS34A1.pdf")</f>
      </c>
      <c r="Q510" s="6">
        <f>HYPERLINK("https://docs.wto.org/imrd/directdoc.asp?DDFDocuments/v/G/SPS/NRUS34A1.pdf", "https://docs.wto.org/imrd/directdoc.asp?DDFDocuments/v/G/SPS/NRUS34A1.pdf")</f>
      </c>
      <c r="R510" s="0" t="s">
        <v>36</v>
      </c>
      <c r="S510" s="0" t="s">
        <v>36</v>
      </c>
      <c r="T510" s="0" t="s">
        <v>36</v>
      </c>
      <c r="U510" s="0" t="s">
        <v>36</v>
      </c>
      <c r="V510" s="0" t="s">
        <v>36</v>
      </c>
      <c r="W510" s="0" t="s">
        <v>36</v>
      </c>
      <c r="X510" s="0" t="s">
        <v>36</v>
      </c>
      <c r="Y510" s="2" t="s">
        <v>36</v>
      </c>
      <c r="Z510" s="0" t="s">
        <v>36</v>
      </c>
      <c r="AA510" s="0" t="s">
        <v>36</v>
      </c>
      <c r="AB510" s="0" t="s">
        <v>36</v>
      </c>
      <c r="AC510" s="0" t="s">
        <v>36</v>
      </c>
      <c r="AD510" s="0" t="s">
        <v>36</v>
      </c>
      <c r="AE510" s="2" t="s">
        <v>36</v>
      </c>
    </row>
    <row r="511">
      <c r="A511" s="6" t="s">
        <v>31</v>
      </c>
      <c r="B511" s="7">
        <v>41702</v>
      </c>
      <c r="C511" s="9">
        <f>HYPERLINK("https://www.epingalert.org/en/Search?viewData= G/SPS/N/RUS/49"," G/SPS/N/RUS/49")</f>
      </c>
      <c r="D511" s="8" t="s">
        <v>2392</v>
      </c>
      <c r="E511" s="8" t="s">
        <v>2448</v>
      </c>
      <c r="F511" s="8" t="s">
        <v>2449</v>
      </c>
      <c r="G511" s="8" t="s">
        <v>1673</v>
      </c>
      <c r="H511" s="8" t="s">
        <v>36</v>
      </c>
      <c r="I511" s="8" t="s">
        <v>332</v>
      </c>
      <c r="J511" s="8" t="s">
        <v>2450</v>
      </c>
      <c r="K511" s="6" t="s">
        <v>632</v>
      </c>
      <c r="L511" s="7" t="s">
        <v>36</v>
      </c>
      <c r="M511" s="6" t="s">
        <v>40</v>
      </c>
      <c r="N511" s="8" t="s">
        <v>2451</v>
      </c>
      <c r="O511" s="6">
        <f>HYPERLINK("https://docs.wto.org/imrd/directdoc.asp?DDFDocuments/t/G/SPS/NRUS49.pdf", "https://docs.wto.org/imrd/directdoc.asp?DDFDocuments/t/G/SPS/NRUS49.pdf")</f>
      </c>
      <c r="P511" s="6">
        <f>HYPERLINK("https://docs.wto.org/imrd/directdoc.asp?DDFDocuments/u/G/SPS/NRUS49.pdf", "https://docs.wto.org/imrd/directdoc.asp?DDFDocuments/u/G/SPS/NRUS49.pdf")</f>
      </c>
      <c r="Q511" s="6">
        <f>HYPERLINK("https://docs.wto.org/imrd/directdoc.asp?DDFDocuments/v/G/SPS/NRUS49.pdf", "https://docs.wto.org/imrd/directdoc.asp?DDFDocuments/v/G/SPS/NRUS49.pdf")</f>
      </c>
      <c r="R511" s="0" t="s">
        <v>36</v>
      </c>
      <c r="S511" s="0" t="s">
        <v>36</v>
      </c>
      <c r="T511" s="0" t="s">
        <v>36</v>
      </c>
      <c r="U511" s="0" t="s">
        <v>36</v>
      </c>
      <c r="V511" s="0" t="s">
        <v>36</v>
      </c>
      <c r="W511" s="0" t="s">
        <v>36</v>
      </c>
      <c r="X511" s="0" t="s">
        <v>36</v>
      </c>
      <c r="Y511" s="2" t="s">
        <v>36</v>
      </c>
      <c r="Z511" s="0" t="s">
        <v>42</v>
      </c>
      <c r="AA511" s="0" t="s">
        <v>43</v>
      </c>
      <c r="AB511" s="0" t="s">
        <v>42</v>
      </c>
      <c r="AC511" s="0" t="s">
        <v>42</v>
      </c>
      <c r="AD511" s="0" t="s">
        <v>43</v>
      </c>
      <c r="AE511" s="2" t="s">
        <v>36</v>
      </c>
    </row>
    <row r="512">
      <c r="A512" s="6" t="s">
        <v>31</v>
      </c>
      <c r="B512" s="7">
        <v>41690</v>
      </c>
      <c r="C512" s="9">
        <f>HYPERLINK("https://www.epingalert.org/en/Search?viewData= G/SPS/N/RUS/48/Add.1"," G/SPS/N/RUS/48/Add.1")</f>
      </c>
      <c r="D512" s="8" t="s">
        <v>2383</v>
      </c>
      <c r="E512" s="8" t="s">
        <v>2452</v>
      </c>
      <c r="F512" s="8"/>
      <c r="G512" s="8" t="s">
        <v>1673</v>
      </c>
      <c r="H512" s="8" t="s">
        <v>36</v>
      </c>
      <c r="I512" s="8" t="s">
        <v>332</v>
      </c>
      <c r="J512" s="8" t="s">
        <v>2453</v>
      </c>
      <c r="K512" s="6"/>
      <c r="L512" s="7" t="s">
        <v>36</v>
      </c>
      <c r="M512" s="6" t="s">
        <v>179</v>
      </c>
      <c r="N512" s="6"/>
      <c r="O512" s="6">
        <f>HYPERLINK("https://docs.wto.org/imrd/directdoc.asp?DDFDocuments/t/G/SPS/NRUS48A1.pdf", "https://docs.wto.org/imrd/directdoc.asp?DDFDocuments/t/G/SPS/NRUS48A1.pdf")</f>
      </c>
      <c r="P512" s="6">
        <f>HYPERLINK("https://docs.wto.org/imrd/directdoc.asp?DDFDocuments/u/G/SPS/NRUS48A1.pdf", "https://docs.wto.org/imrd/directdoc.asp?DDFDocuments/u/G/SPS/NRUS48A1.pdf")</f>
      </c>
      <c r="Q512" s="6">
        <f>HYPERLINK("https://docs.wto.org/imrd/directdoc.asp?DDFDocuments/v/G/SPS/NRUS48A1.pdf", "https://docs.wto.org/imrd/directdoc.asp?DDFDocuments/v/G/SPS/NRUS48A1.pdf")</f>
      </c>
      <c r="R512" s="0" t="s">
        <v>36</v>
      </c>
      <c r="S512" s="0" t="s">
        <v>36</v>
      </c>
      <c r="T512" s="0" t="s">
        <v>36</v>
      </c>
      <c r="U512" s="0" t="s">
        <v>36</v>
      </c>
      <c r="V512" s="0" t="s">
        <v>36</v>
      </c>
      <c r="W512" s="0" t="s">
        <v>36</v>
      </c>
      <c r="X512" s="0" t="s">
        <v>36</v>
      </c>
      <c r="Y512" s="2" t="s">
        <v>36</v>
      </c>
      <c r="Z512" s="0" t="s">
        <v>36</v>
      </c>
      <c r="AA512" s="0" t="s">
        <v>36</v>
      </c>
      <c r="AB512" s="0" t="s">
        <v>36</v>
      </c>
      <c r="AC512" s="0" t="s">
        <v>36</v>
      </c>
      <c r="AD512" s="0" t="s">
        <v>36</v>
      </c>
      <c r="AE512" s="2" t="s">
        <v>36</v>
      </c>
    </row>
    <row r="513">
      <c r="A513" s="6" t="s">
        <v>31</v>
      </c>
      <c r="B513" s="7">
        <v>41688</v>
      </c>
      <c r="C513" s="9">
        <f>HYPERLINK("https://www.epingalert.org/en/Search?viewData= G/SPS/N/RUS/20/Add.1"," G/SPS/N/RUS/20/Add.1")</f>
      </c>
      <c r="D513" s="8" t="s">
        <v>2454</v>
      </c>
      <c r="E513" s="8" t="s">
        <v>2455</v>
      </c>
      <c r="F513" s="8"/>
      <c r="G513" s="8" t="s">
        <v>484</v>
      </c>
      <c r="H513" s="8" t="s">
        <v>36</v>
      </c>
      <c r="I513" s="8" t="s">
        <v>1323</v>
      </c>
      <c r="J513" s="8" t="s">
        <v>2456</v>
      </c>
      <c r="K513" s="6"/>
      <c r="L513" s="7" t="s">
        <v>36</v>
      </c>
      <c r="M513" s="6" t="s">
        <v>1211</v>
      </c>
      <c r="N513" s="6"/>
      <c r="O513" s="6">
        <f>HYPERLINK("https://docs.wto.org/imrd/directdoc.asp?DDFDocuments/t/G/SPS/NRUS20A1.pdf", "https://docs.wto.org/imrd/directdoc.asp?DDFDocuments/t/G/SPS/NRUS20A1.pdf")</f>
      </c>
      <c r="P513" s="6">
        <f>HYPERLINK("https://docs.wto.org/imrd/directdoc.asp?DDFDocuments/u/G/SPS/NRUS20A1.pdf", "https://docs.wto.org/imrd/directdoc.asp?DDFDocuments/u/G/SPS/NRUS20A1.pdf")</f>
      </c>
      <c r="Q513" s="6">
        <f>HYPERLINK("https://docs.wto.org/imrd/directdoc.asp?DDFDocuments/v/G/SPS/NRUS20A1.pdf", "https://docs.wto.org/imrd/directdoc.asp?DDFDocuments/v/G/SPS/NRUS20A1.pdf")</f>
      </c>
      <c r="R513" s="0" t="s">
        <v>36</v>
      </c>
      <c r="S513" s="0" t="s">
        <v>36</v>
      </c>
      <c r="T513" s="0" t="s">
        <v>36</v>
      </c>
      <c r="U513" s="0" t="s">
        <v>36</v>
      </c>
      <c r="V513" s="0" t="s">
        <v>36</v>
      </c>
      <c r="W513" s="0" t="s">
        <v>36</v>
      </c>
      <c r="X513" s="0" t="s">
        <v>36</v>
      </c>
      <c r="Y513" s="2" t="s">
        <v>36</v>
      </c>
      <c r="Z513" s="0" t="s">
        <v>36</v>
      </c>
      <c r="AA513" s="0" t="s">
        <v>36</v>
      </c>
      <c r="AB513" s="0" t="s">
        <v>36</v>
      </c>
      <c r="AC513" s="0" t="s">
        <v>36</v>
      </c>
      <c r="AD513" s="0" t="s">
        <v>36</v>
      </c>
      <c r="AE513" s="2" t="s">
        <v>36</v>
      </c>
    </row>
    <row r="514">
      <c r="A514" s="6" t="s">
        <v>31</v>
      </c>
      <c r="B514" s="7">
        <v>41688</v>
      </c>
      <c r="C514" s="9">
        <f>HYPERLINK("https://www.epingalert.org/en/Search?viewData= G/SPS/N/RUS/25/Add.2"," G/SPS/N/RUS/25/Add.2")</f>
      </c>
      <c r="D514" s="8" t="s">
        <v>2457</v>
      </c>
      <c r="E514" s="8" t="s">
        <v>2458</v>
      </c>
      <c r="F514" s="8"/>
      <c r="G514" s="8" t="s">
        <v>36</v>
      </c>
      <c r="H514" s="8" t="s">
        <v>36</v>
      </c>
      <c r="I514" s="8" t="s">
        <v>1328</v>
      </c>
      <c r="J514" s="8" t="s">
        <v>2456</v>
      </c>
      <c r="K514" s="6"/>
      <c r="L514" s="7" t="s">
        <v>36</v>
      </c>
      <c r="M514" s="6" t="s">
        <v>1211</v>
      </c>
      <c r="N514" s="6"/>
      <c r="O514" s="6">
        <f>HYPERLINK("https://docs.wto.org/imrd/directdoc.asp?DDFDocuments/t/G/SPS/NRUS25A2.pdf", "https://docs.wto.org/imrd/directdoc.asp?DDFDocuments/t/G/SPS/NRUS25A2.pdf")</f>
      </c>
      <c r="P514" s="6">
        <f>HYPERLINK("https://docs.wto.org/imrd/directdoc.asp?DDFDocuments/u/G/SPS/NRUS25A2.pdf", "https://docs.wto.org/imrd/directdoc.asp?DDFDocuments/u/G/SPS/NRUS25A2.pdf")</f>
      </c>
      <c r="Q514" s="6">
        <f>HYPERLINK("https://docs.wto.org/imrd/directdoc.asp?DDFDocuments/v/G/SPS/NRUS25A2.pdf", "https://docs.wto.org/imrd/directdoc.asp?DDFDocuments/v/G/SPS/NRUS25A2.pdf")</f>
      </c>
      <c r="R514" s="0" t="s">
        <v>36</v>
      </c>
      <c r="S514" s="0" t="s">
        <v>36</v>
      </c>
      <c r="T514" s="0" t="s">
        <v>36</v>
      </c>
      <c r="U514" s="0" t="s">
        <v>36</v>
      </c>
      <c r="V514" s="0" t="s">
        <v>36</v>
      </c>
      <c r="W514" s="0" t="s">
        <v>36</v>
      </c>
      <c r="X514" s="0" t="s">
        <v>36</v>
      </c>
      <c r="Y514" s="2" t="s">
        <v>36</v>
      </c>
      <c r="Z514" s="0" t="s">
        <v>36</v>
      </c>
      <c r="AA514" s="0" t="s">
        <v>36</v>
      </c>
      <c r="AB514" s="0" t="s">
        <v>36</v>
      </c>
      <c r="AC514" s="0" t="s">
        <v>36</v>
      </c>
      <c r="AD514" s="0" t="s">
        <v>36</v>
      </c>
      <c r="AE514" s="2" t="s">
        <v>36</v>
      </c>
    </row>
    <row r="515">
      <c r="A515" s="6" t="s">
        <v>31</v>
      </c>
      <c r="B515" s="7">
        <v>41688</v>
      </c>
      <c r="C515" s="9">
        <f>HYPERLINK("https://www.epingalert.org/en/Search?viewData= G/SPS/N/RUS/21/Add.1"," G/SPS/N/RUS/21/Add.1")</f>
      </c>
      <c r="D515" s="8" t="s">
        <v>2459</v>
      </c>
      <c r="E515" s="8" t="s">
        <v>2460</v>
      </c>
      <c r="F515" s="8"/>
      <c r="G515" s="8" t="s">
        <v>569</v>
      </c>
      <c r="H515" s="8" t="s">
        <v>36</v>
      </c>
      <c r="I515" s="8" t="s">
        <v>1328</v>
      </c>
      <c r="J515" s="8" t="s">
        <v>2456</v>
      </c>
      <c r="K515" s="6"/>
      <c r="L515" s="7" t="s">
        <v>36</v>
      </c>
      <c r="M515" s="6" t="s">
        <v>1211</v>
      </c>
      <c r="N515" s="6"/>
      <c r="O515" s="6">
        <f>HYPERLINK("https://docs.wto.org/imrd/directdoc.asp?DDFDocuments/t/G/SPS/NRUS21A1.pdf", "https://docs.wto.org/imrd/directdoc.asp?DDFDocuments/t/G/SPS/NRUS21A1.pdf")</f>
      </c>
      <c r="P515" s="6">
        <f>HYPERLINK("https://docs.wto.org/imrd/directdoc.asp?DDFDocuments/u/G/SPS/NRUS21A1.pdf", "https://docs.wto.org/imrd/directdoc.asp?DDFDocuments/u/G/SPS/NRUS21A1.pdf")</f>
      </c>
      <c r="Q515" s="6">
        <f>HYPERLINK("https://docs.wto.org/imrd/directdoc.asp?DDFDocuments/v/G/SPS/NRUS21A1.pdf", "https://docs.wto.org/imrd/directdoc.asp?DDFDocuments/v/G/SPS/NRUS21A1.pdf")</f>
      </c>
      <c r="R515" s="0" t="s">
        <v>36</v>
      </c>
      <c r="S515" s="0" t="s">
        <v>36</v>
      </c>
      <c r="T515" s="0" t="s">
        <v>36</v>
      </c>
      <c r="U515" s="0" t="s">
        <v>36</v>
      </c>
      <c r="V515" s="0" t="s">
        <v>36</v>
      </c>
      <c r="W515" s="0" t="s">
        <v>36</v>
      </c>
      <c r="X515" s="0" t="s">
        <v>36</v>
      </c>
      <c r="Y515" s="2" t="s">
        <v>36</v>
      </c>
      <c r="Z515" s="0" t="s">
        <v>36</v>
      </c>
      <c r="AA515" s="0" t="s">
        <v>36</v>
      </c>
      <c r="AB515" s="0" t="s">
        <v>36</v>
      </c>
      <c r="AC515" s="0" t="s">
        <v>36</v>
      </c>
      <c r="AD515" s="0" t="s">
        <v>36</v>
      </c>
      <c r="AE515" s="2" t="s">
        <v>36</v>
      </c>
    </row>
    <row r="516">
      <c r="A516" s="6" t="s">
        <v>31</v>
      </c>
      <c r="B516" s="7">
        <v>41688</v>
      </c>
      <c r="C516" s="9">
        <f>HYPERLINK("https://www.epingalert.org/en/Search?viewData= G/SPS/N/RUS/38/Add.1"," G/SPS/N/RUS/38/Add.1")</f>
      </c>
      <c r="D516" s="8" t="s">
        <v>2461</v>
      </c>
      <c r="E516" s="8" t="s">
        <v>2462</v>
      </c>
      <c r="F516" s="8"/>
      <c r="G516" s="8" t="s">
        <v>2463</v>
      </c>
      <c r="H516" s="8" t="s">
        <v>36</v>
      </c>
      <c r="I516" s="8" t="s">
        <v>37</v>
      </c>
      <c r="J516" s="8" t="s">
        <v>1652</v>
      </c>
      <c r="K516" s="6"/>
      <c r="L516" s="7" t="s">
        <v>36</v>
      </c>
      <c r="M516" s="6" t="s">
        <v>1211</v>
      </c>
      <c r="N516" s="8" t="s">
        <v>2464</v>
      </c>
      <c r="O516" s="6">
        <f>HYPERLINK("https://docs.wto.org/imrd/directdoc.asp?DDFDocuments/t/G/SPS/NRUS38A1.pdf", "https://docs.wto.org/imrd/directdoc.asp?DDFDocuments/t/G/SPS/NRUS38A1.pdf")</f>
      </c>
      <c r="P516" s="6">
        <f>HYPERLINK("https://docs.wto.org/imrd/directdoc.asp?DDFDocuments/u/G/SPS/NRUS38A1.pdf", "https://docs.wto.org/imrd/directdoc.asp?DDFDocuments/u/G/SPS/NRUS38A1.pdf")</f>
      </c>
      <c r="Q516" s="6">
        <f>HYPERLINK("https://docs.wto.org/imrd/directdoc.asp?DDFDocuments/v/G/SPS/NRUS38A1.pdf", "https://docs.wto.org/imrd/directdoc.asp?DDFDocuments/v/G/SPS/NRUS38A1.pdf")</f>
      </c>
      <c r="R516" s="0" t="s">
        <v>36</v>
      </c>
      <c r="S516" s="0" t="s">
        <v>36</v>
      </c>
      <c r="T516" s="0" t="s">
        <v>36</v>
      </c>
      <c r="U516" s="0" t="s">
        <v>36</v>
      </c>
      <c r="V516" s="0" t="s">
        <v>36</v>
      </c>
      <c r="W516" s="0" t="s">
        <v>36</v>
      </c>
      <c r="X516" s="0" t="s">
        <v>36</v>
      </c>
      <c r="Y516" s="2" t="s">
        <v>36</v>
      </c>
      <c r="Z516" s="0" t="s">
        <v>36</v>
      </c>
      <c r="AA516" s="0" t="s">
        <v>36</v>
      </c>
      <c r="AB516" s="0" t="s">
        <v>36</v>
      </c>
      <c r="AC516" s="0" t="s">
        <v>36</v>
      </c>
      <c r="AD516" s="0" t="s">
        <v>36</v>
      </c>
      <c r="AE516" s="2" t="s">
        <v>36</v>
      </c>
    </row>
    <row r="517">
      <c r="A517" s="6" t="s">
        <v>31</v>
      </c>
      <c r="B517" s="7">
        <v>41688</v>
      </c>
      <c r="C517" s="9">
        <f>HYPERLINK("https://www.epingalert.org/en/Search?viewData= G/SPS/N/RUS/36/Add.1"," G/SPS/N/RUS/36/Add.1")</f>
      </c>
      <c r="D517" s="8" t="s">
        <v>2465</v>
      </c>
      <c r="E517" s="8" t="s">
        <v>2466</v>
      </c>
      <c r="F517" s="8"/>
      <c r="G517" s="8" t="s">
        <v>484</v>
      </c>
      <c r="H517" s="8" t="s">
        <v>36</v>
      </c>
      <c r="I517" s="8" t="s">
        <v>37</v>
      </c>
      <c r="J517" s="8" t="s">
        <v>1652</v>
      </c>
      <c r="K517" s="6"/>
      <c r="L517" s="7" t="s">
        <v>36</v>
      </c>
      <c r="M517" s="6" t="s">
        <v>1211</v>
      </c>
      <c r="N517" s="8" t="s">
        <v>2467</v>
      </c>
      <c r="O517" s="6">
        <f>HYPERLINK("https://docs.wto.org/imrd/directdoc.asp?DDFDocuments/t/G/SPS/NRUS36A1.pdf", "https://docs.wto.org/imrd/directdoc.asp?DDFDocuments/t/G/SPS/NRUS36A1.pdf")</f>
      </c>
      <c r="P517" s="6">
        <f>HYPERLINK("https://docs.wto.org/imrd/directdoc.asp?DDFDocuments/u/G/SPS/NRUS36A1.pdf", "https://docs.wto.org/imrd/directdoc.asp?DDFDocuments/u/G/SPS/NRUS36A1.pdf")</f>
      </c>
      <c r="Q517" s="6">
        <f>HYPERLINK("https://docs.wto.org/imrd/directdoc.asp?DDFDocuments/v/G/SPS/NRUS36A1.pdf", "https://docs.wto.org/imrd/directdoc.asp?DDFDocuments/v/G/SPS/NRUS36A1.pdf")</f>
      </c>
      <c r="R517" s="0" t="s">
        <v>36</v>
      </c>
      <c r="S517" s="0" t="s">
        <v>36</v>
      </c>
      <c r="T517" s="0" t="s">
        <v>36</v>
      </c>
      <c r="U517" s="0" t="s">
        <v>36</v>
      </c>
      <c r="V517" s="0" t="s">
        <v>36</v>
      </c>
      <c r="W517" s="0" t="s">
        <v>36</v>
      </c>
      <c r="X517" s="0" t="s">
        <v>36</v>
      </c>
      <c r="Y517" s="2" t="s">
        <v>36</v>
      </c>
      <c r="Z517" s="0" t="s">
        <v>36</v>
      </c>
      <c r="AA517" s="0" t="s">
        <v>36</v>
      </c>
      <c r="AB517" s="0" t="s">
        <v>36</v>
      </c>
      <c r="AC517" s="0" t="s">
        <v>36</v>
      </c>
      <c r="AD517" s="0" t="s">
        <v>36</v>
      </c>
      <c r="AE517" s="2" t="s">
        <v>36</v>
      </c>
    </row>
    <row r="518">
      <c r="A518" s="6" t="s">
        <v>31</v>
      </c>
      <c r="B518" s="7">
        <v>41688</v>
      </c>
      <c r="C518" s="9">
        <f>HYPERLINK("https://www.epingalert.org/en/Search?viewData= G/SPS/N/RUS/26/Add.2"," G/SPS/N/RUS/26/Add.2")</f>
      </c>
      <c r="D518" s="8" t="s">
        <v>2468</v>
      </c>
      <c r="E518" s="8" t="s">
        <v>2469</v>
      </c>
      <c r="F518" s="8"/>
      <c r="G518" s="8" t="s">
        <v>2470</v>
      </c>
      <c r="H518" s="8" t="s">
        <v>36</v>
      </c>
      <c r="I518" s="8" t="s">
        <v>1328</v>
      </c>
      <c r="J518" s="8" t="s">
        <v>2456</v>
      </c>
      <c r="K518" s="6"/>
      <c r="L518" s="7" t="s">
        <v>36</v>
      </c>
      <c r="M518" s="6" t="s">
        <v>1211</v>
      </c>
      <c r="N518" s="6"/>
      <c r="O518" s="6">
        <f>HYPERLINK("https://docs.wto.org/imrd/directdoc.asp?DDFDocuments/t/G/SPS/NRUS26A2.pdf", "https://docs.wto.org/imrd/directdoc.asp?DDFDocuments/t/G/SPS/NRUS26A2.pdf")</f>
      </c>
      <c r="P518" s="6">
        <f>HYPERLINK("https://docs.wto.org/imrd/directdoc.asp?DDFDocuments/u/G/SPS/NRUS26A2.pdf", "https://docs.wto.org/imrd/directdoc.asp?DDFDocuments/u/G/SPS/NRUS26A2.pdf")</f>
      </c>
      <c r="Q518" s="6">
        <f>HYPERLINK("https://docs.wto.org/imrd/directdoc.asp?DDFDocuments/v/G/SPS/NRUS26A2.pdf", "https://docs.wto.org/imrd/directdoc.asp?DDFDocuments/v/G/SPS/NRUS26A2.pdf")</f>
      </c>
      <c r="R518" s="0" t="s">
        <v>36</v>
      </c>
      <c r="S518" s="0" t="s">
        <v>36</v>
      </c>
      <c r="T518" s="0" t="s">
        <v>36</v>
      </c>
      <c r="U518" s="0" t="s">
        <v>36</v>
      </c>
      <c r="V518" s="0" t="s">
        <v>36</v>
      </c>
      <c r="W518" s="0" t="s">
        <v>36</v>
      </c>
      <c r="X518" s="0" t="s">
        <v>36</v>
      </c>
      <c r="Y518" s="2" t="s">
        <v>36</v>
      </c>
      <c r="Z518" s="0" t="s">
        <v>36</v>
      </c>
      <c r="AA518" s="0" t="s">
        <v>36</v>
      </c>
      <c r="AB518" s="0" t="s">
        <v>36</v>
      </c>
      <c r="AC518" s="0" t="s">
        <v>36</v>
      </c>
      <c r="AD518" s="0" t="s">
        <v>36</v>
      </c>
      <c r="AE518" s="2" t="s">
        <v>36</v>
      </c>
    </row>
    <row r="519">
      <c r="A519" s="6" t="s">
        <v>31</v>
      </c>
      <c r="B519" s="7">
        <v>41680</v>
      </c>
      <c r="C519" s="9">
        <f>HYPERLINK("https://www.epingalert.org/en/Search?viewData= G/SPS/N/RUS/48"," G/SPS/N/RUS/48")</f>
      </c>
      <c r="D519" s="8" t="s">
        <v>2383</v>
      </c>
      <c r="E519" s="8" t="s">
        <v>2471</v>
      </c>
      <c r="F519" s="8" t="s">
        <v>2449</v>
      </c>
      <c r="G519" s="8" t="s">
        <v>1673</v>
      </c>
      <c r="H519" s="8" t="s">
        <v>36</v>
      </c>
      <c r="I519" s="8" t="s">
        <v>332</v>
      </c>
      <c r="J519" s="8" t="s">
        <v>2472</v>
      </c>
      <c r="K519" s="6" t="s">
        <v>978</v>
      </c>
      <c r="L519" s="7" t="s">
        <v>36</v>
      </c>
      <c r="M519" s="6" t="s">
        <v>40</v>
      </c>
      <c r="N519" s="8" t="s">
        <v>2473</v>
      </c>
      <c r="O519" s="6">
        <f>HYPERLINK("https://docs.wto.org/imrd/directdoc.asp?DDFDocuments/t/G/SPS/NRUS48.pdf", "https://docs.wto.org/imrd/directdoc.asp?DDFDocuments/t/G/SPS/NRUS48.pdf")</f>
      </c>
      <c r="P519" s="6">
        <f>HYPERLINK("https://docs.wto.org/imrd/directdoc.asp?DDFDocuments/u/G/SPS/NRUS48.pdf", "https://docs.wto.org/imrd/directdoc.asp?DDFDocuments/u/G/SPS/NRUS48.pdf")</f>
      </c>
      <c r="Q519" s="6">
        <f>HYPERLINK("https://docs.wto.org/imrd/directdoc.asp?DDFDocuments/v/G/SPS/NRUS48.pdf", "https://docs.wto.org/imrd/directdoc.asp?DDFDocuments/v/G/SPS/NRUS48.pdf")</f>
      </c>
      <c r="R519" s="0" t="s">
        <v>36</v>
      </c>
      <c r="S519" s="0" t="s">
        <v>36</v>
      </c>
      <c r="T519" s="0" t="s">
        <v>36</v>
      </c>
      <c r="U519" s="0" t="s">
        <v>36</v>
      </c>
      <c r="V519" s="0" t="s">
        <v>36</v>
      </c>
      <c r="W519" s="0" t="s">
        <v>36</v>
      </c>
      <c r="X519" s="0" t="s">
        <v>36</v>
      </c>
      <c r="Y519" s="2" t="s">
        <v>36</v>
      </c>
      <c r="Z519" s="0" t="s">
        <v>42</v>
      </c>
      <c r="AA519" s="0" t="s">
        <v>43</v>
      </c>
      <c r="AB519" s="0" t="s">
        <v>42</v>
      </c>
      <c r="AC519" s="0" t="s">
        <v>42</v>
      </c>
      <c r="AD519" s="0" t="s">
        <v>43</v>
      </c>
      <c r="AE519" s="2" t="s">
        <v>36</v>
      </c>
    </row>
    <row r="520">
      <c r="A520" s="6" t="s">
        <v>31</v>
      </c>
      <c r="B520" s="7">
        <v>41680</v>
      </c>
      <c r="C520" s="9">
        <f>HYPERLINK("https://www.epingalert.org/en/Search?viewData= G/SPS/N/RUS/45/Add.1"," G/SPS/N/RUS/45/Add.1")</f>
      </c>
      <c r="D520" s="8" t="s">
        <v>2474</v>
      </c>
      <c r="E520" s="8" t="s">
        <v>2475</v>
      </c>
      <c r="F520" s="8"/>
      <c r="G520" s="8" t="s">
        <v>2476</v>
      </c>
      <c r="H520" s="8" t="s">
        <v>36</v>
      </c>
      <c r="I520" s="8" t="s">
        <v>332</v>
      </c>
      <c r="J520" s="8" t="s">
        <v>1696</v>
      </c>
      <c r="K520" s="6"/>
      <c r="L520" s="7" t="s">
        <v>36</v>
      </c>
      <c r="M520" s="6" t="s">
        <v>179</v>
      </c>
      <c r="N520" s="6"/>
      <c r="O520" s="6">
        <f>HYPERLINK("https://docs.wto.org/imrd/directdoc.asp?DDFDocuments/t/G/SPS/NRUS45A1.pdf", "https://docs.wto.org/imrd/directdoc.asp?DDFDocuments/t/G/SPS/NRUS45A1.pdf")</f>
      </c>
      <c r="P520" s="6">
        <f>HYPERLINK("https://docs.wto.org/imrd/directdoc.asp?DDFDocuments/u/G/SPS/NRUS45A1.pdf", "https://docs.wto.org/imrd/directdoc.asp?DDFDocuments/u/G/SPS/NRUS45A1.pdf")</f>
      </c>
      <c r="Q520" s="6">
        <f>HYPERLINK("https://docs.wto.org/imrd/directdoc.asp?DDFDocuments/v/G/SPS/NRUS45A1.pdf", "https://docs.wto.org/imrd/directdoc.asp?DDFDocuments/v/G/SPS/NRUS45A1.pdf")</f>
      </c>
      <c r="R520" s="0" t="s">
        <v>36</v>
      </c>
      <c r="S520" s="0" t="s">
        <v>36</v>
      </c>
      <c r="T520" s="0" t="s">
        <v>36</v>
      </c>
      <c r="U520" s="0" t="s">
        <v>36</v>
      </c>
      <c r="V520" s="0" t="s">
        <v>36</v>
      </c>
      <c r="W520" s="0" t="s">
        <v>36</v>
      </c>
      <c r="X520" s="0" t="s">
        <v>36</v>
      </c>
      <c r="Y520" s="2" t="s">
        <v>36</v>
      </c>
      <c r="Z520" s="0" t="s">
        <v>36</v>
      </c>
      <c r="AA520" s="0" t="s">
        <v>36</v>
      </c>
      <c r="AB520" s="0" t="s">
        <v>36</v>
      </c>
      <c r="AC520" s="0" t="s">
        <v>36</v>
      </c>
      <c r="AD520" s="0" t="s">
        <v>36</v>
      </c>
      <c r="AE520" s="2" t="s">
        <v>36</v>
      </c>
    </row>
    <row r="521">
      <c r="A521" s="6" t="s">
        <v>31</v>
      </c>
      <c r="B521" s="7">
        <v>41680</v>
      </c>
      <c r="C521" s="9">
        <f>HYPERLINK("https://www.epingalert.org/en/Search?viewData= G/SPS/N/RUS/35/Add.4"," G/SPS/N/RUS/35/Add.4")</f>
      </c>
      <c r="D521" s="8" t="s">
        <v>2477</v>
      </c>
      <c r="E521" s="8" t="s">
        <v>2478</v>
      </c>
      <c r="F521" s="8"/>
      <c r="G521" s="8" t="s">
        <v>2479</v>
      </c>
      <c r="H521" s="8" t="s">
        <v>36</v>
      </c>
      <c r="I521" s="8" t="s">
        <v>1328</v>
      </c>
      <c r="J521" s="8" t="s">
        <v>1696</v>
      </c>
      <c r="K521" s="6"/>
      <c r="L521" s="7" t="s">
        <v>36</v>
      </c>
      <c r="M521" s="6" t="s">
        <v>179</v>
      </c>
      <c r="N521" s="6"/>
      <c r="O521" s="6">
        <f>HYPERLINK("https://docs.wto.org/imrd/directdoc.asp?DDFDocuments/t/G/SPS/NRUS35A4.pdf", "https://docs.wto.org/imrd/directdoc.asp?DDFDocuments/t/G/SPS/NRUS35A4.pdf")</f>
      </c>
      <c r="P521" s="6">
        <f>HYPERLINK("https://docs.wto.org/imrd/directdoc.asp?DDFDocuments/u/G/SPS/NRUS35A4.pdf", "https://docs.wto.org/imrd/directdoc.asp?DDFDocuments/u/G/SPS/NRUS35A4.pdf")</f>
      </c>
      <c r="Q521" s="6">
        <f>HYPERLINK("https://docs.wto.org/imrd/directdoc.asp?DDFDocuments/v/G/SPS/NRUS35A4.pdf", "https://docs.wto.org/imrd/directdoc.asp?DDFDocuments/v/G/SPS/NRUS35A4.pdf")</f>
      </c>
      <c r="R521" s="0" t="s">
        <v>36</v>
      </c>
      <c r="S521" s="0" t="s">
        <v>36</v>
      </c>
      <c r="T521" s="0" t="s">
        <v>36</v>
      </c>
      <c r="U521" s="0" t="s">
        <v>36</v>
      </c>
      <c r="V521" s="0" t="s">
        <v>36</v>
      </c>
      <c r="W521" s="0" t="s">
        <v>36</v>
      </c>
      <c r="X521" s="0" t="s">
        <v>36</v>
      </c>
      <c r="Y521" s="2" t="s">
        <v>36</v>
      </c>
      <c r="Z521" s="0" t="s">
        <v>36</v>
      </c>
      <c r="AA521" s="0" t="s">
        <v>36</v>
      </c>
      <c r="AB521" s="0" t="s">
        <v>36</v>
      </c>
      <c r="AC521" s="0" t="s">
        <v>36</v>
      </c>
      <c r="AD521" s="0" t="s">
        <v>36</v>
      </c>
      <c r="AE521" s="2" t="s">
        <v>36</v>
      </c>
    </row>
    <row r="522">
      <c r="A522" s="6" t="s">
        <v>31</v>
      </c>
      <c r="B522" s="7">
        <v>41677</v>
      </c>
      <c r="C522" s="9">
        <f>HYPERLINK("https://www.epingalert.org/en/Search?viewData= G/SPS/N/RUS/35/Add.3"," G/SPS/N/RUS/35/Add.3")</f>
      </c>
      <c r="D522" s="8" t="s">
        <v>2477</v>
      </c>
      <c r="E522" s="8" t="s">
        <v>2480</v>
      </c>
      <c r="F522" s="8"/>
      <c r="G522" s="8" t="s">
        <v>2479</v>
      </c>
      <c r="H522" s="8" t="s">
        <v>36</v>
      </c>
      <c r="I522" s="8" t="s">
        <v>1328</v>
      </c>
      <c r="J522" s="8" t="s">
        <v>1696</v>
      </c>
      <c r="K522" s="6"/>
      <c r="L522" s="7" t="s">
        <v>36</v>
      </c>
      <c r="M522" s="6" t="s">
        <v>179</v>
      </c>
      <c r="N522" s="6"/>
      <c r="O522" s="6">
        <f>HYPERLINK("https://docs.wto.org/imrd/directdoc.asp?DDFDocuments/t/G/SPS/NRUS35A3.pdf", "https://docs.wto.org/imrd/directdoc.asp?DDFDocuments/t/G/SPS/NRUS35A3.pdf")</f>
      </c>
      <c r="P522" s="6">
        <f>HYPERLINK("https://docs.wto.org/imrd/directdoc.asp?DDFDocuments/u/G/SPS/NRUS35A3.pdf", "https://docs.wto.org/imrd/directdoc.asp?DDFDocuments/u/G/SPS/NRUS35A3.pdf")</f>
      </c>
      <c r="Q522" s="6">
        <f>HYPERLINK("https://docs.wto.org/imrd/directdoc.asp?DDFDocuments/v/G/SPS/NRUS35A3.pdf", "https://docs.wto.org/imrd/directdoc.asp?DDFDocuments/v/G/SPS/NRUS35A3.pdf")</f>
      </c>
      <c r="R522" s="0" t="s">
        <v>36</v>
      </c>
      <c r="S522" s="0" t="s">
        <v>36</v>
      </c>
      <c r="T522" s="0" t="s">
        <v>36</v>
      </c>
      <c r="U522" s="0" t="s">
        <v>36</v>
      </c>
      <c r="V522" s="0" t="s">
        <v>36</v>
      </c>
      <c r="W522" s="0" t="s">
        <v>36</v>
      </c>
      <c r="X522" s="0" t="s">
        <v>36</v>
      </c>
      <c r="Y522" s="2" t="s">
        <v>36</v>
      </c>
      <c r="Z522" s="0" t="s">
        <v>36</v>
      </c>
      <c r="AA522" s="0" t="s">
        <v>36</v>
      </c>
      <c r="AB522" s="0" t="s">
        <v>36</v>
      </c>
      <c r="AC522" s="0" t="s">
        <v>36</v>
      </c>
      <c r="AD522" s="0" t="s">
        <v>36</v>
      </c>
      <c r="AE522" s="2" t="s">
        <v>36</v>
      </c>
    </row>
    <row r="523">
      <c r="A523" s="6" t="s">
        <v>31</v>
      </c>
      <c r="B523" s="7">
        <v>41666</v>
      </c>
      <c r="C523" s="9">
        <f>HYPERLINK("https://www.epingalert.org/en/Search?viewData= G/SPS/N/RUS/35/Add.2"," G/SPS/N/RUS/35/Add.2")</f>
      </c>
      <c r="D523" s="8" t="s">
        <v>2477</v>
      </c>
      <c r="E523" s="8" t="s">
        <v>2481</v>
      </c>
      <c r="F523" s="8"/>
      <c r="G523" s="8" t="s">
        <v>2482</v>
      </c>
      <c r="H523" s="8" t="s">
        <v>36</v>
      </c>
      <c r="I523" s="8" t="s">
        <v>1328</v>
      </c>
      <c r="J523" s="8" t="s">
        <v>1696</v>
      </c>
      <c r="K523" s="6"/>
      <c r="L523" s="7" t="s">
        <v>36</v>
      </c>
      <c r="M523" s="6" t="s">
        <v>179</v>
      </c>
      <c r="N523" s="6"/>
      <c r="O523" s="6">
        <f>HYPERLINK("https://docs.wto.org/imrd/directdoc.asp?DDFDocuments/t/G/SPS/NRUS35A2.pdf", "https://docs.wto.org/imrd/directdoc.asp?DDFDocuments/t/G/SPS/NRUS35A2.pdf")</f>
      </c>
      <c r="P523" s="6">
        <f>HYPERLINK("https://docs.wto.org/imrd/directdoc.asp?DDFDocuments/u/G/SPS/NRUS35A2.pdf", "https://docs.wto.org/imrd/directdoc.asp?DDFDocuments/u/G/SPS/NRUS35A2.pdf")</f>
      </c>
      <c r="Q523" s="6">
        <f>HYPERLINK("https://docs.wto.org/imrd/directdoc.asp?DDFDocuments/v/G/SPS/NRUS35A2.pdf", "https://docs.wto.org/imrd/directdoc.asp?DDFDocuments/v/G/SPS/NRUS35A2.pdf")</f>
      </c>
      <c r="R523" s="0" t="s">
        <v>36</v>
      </c>
      <c r="S523" s="0" t="s">
        <v>36</v>
      </c>
      <c r="T523" s="0" t="s">
        <v>36</v>
      </c>
      <c r="U523" s="0" t="s">
        <v>36</v>
      </c>
      <c r="V523" s="0" t="s">
        <v>36</v>
      </c>
      <c r="W523" s="0" t="s">
        <v>36</v>
      </c>
      <c r="X523" s="0" t="s">
        <v>36</v>
      </c>
      <c r="Y523" s="2" t="s">
        <v>36</v>
      </c>
      <c r="Z523" s="0" t="s">
        <v>36</v>
      </c>
      <c r="AA523" s="0" t="s">
        <v>36</v>
      </c>
      <c r="AB523" s="0" t="s">
        <v>36</v>
      </c>
      <c r="AC523" s="0" t="s">
        <v>36</v>
      </c>
      <c r="AD523" s="0" t="s">
        <v>36</v>
      </c>
      <c r="AE523" s="2" t="s">
        <v>36</v>
      </c>
    </row>
    <row r="524">
      <c r="A524" s="6" t="s">
        <v>31</v>
      </c>
      <c r="B524" s="7">
        <v>41660</v>
      </c>
      <c r="C524" s="9">
        <f>HYPERLINK("https://www.epingalert.org/en/Search?viewData= G/SPS/N/RUS/46"," G/SPS/N/RUS/46")</f>
      </c>
      <c r="D524" s="8" t="s">
        <v>2483</v>
      </c>
      <c r="E524" s="8" t="s">
        <v>2484</v>
      </c>
      <c r="F524" s="8" t="s">
        <v>2449</v>
      </c>
      <c r="G524" s="8" t="s">
        <v>2332</v>
      </c>
      <c r="H524" s="8" t="s">
        <v>36</v>
      </c>
      <c r="I524" s="8" t="s">
        <v>332</v>
      </c>
      <c r="J524" s="8" t="s">
        <v>2453</v>
      </c>
      <c r="K524" s="6" t="s">
        <v>2485</v>
      </c>
      <c r="L524" s="7" t="s">
        <v>36</v>
      </c>
      <c r="M524" s="6" t="s">
        <v>40</v>
      </c>
      <c r="N524" s="8" t="s">
        <v>2486</v>
      </c>
      <c r="O524" s="6">
        <f>HYPERLINK("https://docs.wto.org/imrd/directdoc.asp?DDFDocuments/t/G/SPS/NRUS46.pdf", "https://docs.wto.org/imrd/directdoc.asp?DDFDocuments/t/G/SPS/NRUS46.pdf")</f>
      </c>
      <c r="P524" s="6">
        <f>HYPERLINK("https://docs.wto.org/imrd/directdoc.asp?DDFDocuments/u/G/SPS/NRUS46.pdf", "https://docs.wto.org/imrd/directdoc.asp?DDFDocuments/u/G/SPS/NRUS46.pdf")</f>
      </c>
      <c r="Q524" s="6">
        <f>HYPERLINK("https://docs.wto.org/imrd/directdoc.asp?DDFDocuments/v/G/SPS/NRUS46.pdf", "https://docs.wto.org/imrd/directdoc.asp?DDFDocuments/v/G/SPS/NRUS46.pdf")</f>
      </c>
      <c r="R524" s="0" t="s">
        <v>36</v>
      </c>
      <c r="S524" s="0" t="s">
        <v>36</v>
      </c>
      <c r="T524" s="0" t="s">
        <v>36</v>
      </c>
      <c r="U524" s="0" t="s">
        <v>36</v>
      </c>
      <c r="V524" s="0" t="s">
        <v>36</v>
      </c>
      <c r="W524" s="0" t="s">
        <v>36</v>
      </c>
      <c r="X524" s="0" t="s">
        <v>36</v>
      </c>
      <c r="Y524" s="2" t="s">
        <v>36</v>
      </c>
      <c r="Z524" s="0" t="s">
        <v>42</v>
      </c>
      <c r="AA524" s="0" t="s">
        <v>43</v>
      </c>
      <c r="AB524" s="0" t="s">
        <v>42</v>
      </c>
      <c r="AC524" s="0" t="s">
        <v>42</v>
      </c>
      <c r="AD524" s="0" t="s">
        <v>43</v>
      </c>
      <c r="AE524" s="2" t="s">
        <v>36</v>
      </c>
    </row>
    <row r="525">
      <c r="A525" s="6" t="s">
        <v>31</v>
      </c>
      <c r="B525" s="7">
        <v>41660</v>
      </c>
      <c r="C525" s="9">
        <f>HYPERLINK("https://www.epingalert.org/en/Search?viewData= G/SPS/N/RUS/47"," G/SPS/N/RUS/47")</f>
      </c>
      <c r="D525" s="8" t="s">
        <v>2487</v>
      </c>
      <c r="E525" s="8" t="s">
        <v>2488</v>
      </c>
      <c r="F525" s="8" t="s">
        <v>2489</v>
      </c>
      <c r="G525" s="8" t="s">
        <v>36</v>
      </c>
      <c r="H525" s="8" t="s">
        <v>36</v>
      </c>
      <c r="I525" s="8" t="s">
        <v>1328</v>
      </c>
      <c r="J525" s="8" t="s">
        <v>1562</v>
      </c>
      <c r="K525" s="6" t="s">
        <v>494</v>
      </c>
      <c r="L525" s="7" t="s">
        <v>36</v>
      </c>
      <c r="M525" s="6" t="s">
        <v>40</v>
      </c>
      <c r="N525" s="8" t="s">
        <v>2490</v>
      </c>
      <c r="O525" s="6">
        <f>HYPERLINK("https://docs.wto.org/imrd/directdoc.asp?DDFDocuments/t/G/SPS/NRUS47.pdf", "https://docs.wto.org/imrd/directdoc.asp?DDFDocuments/t/G/SPS/NRUS47.pdf")</f>
      </c>
      <c r="P525" s="6">
        <f>HYPERLINK("https://docs.wto.org/imrd/directdoc.asp?DDFDocuments/u/G/SPS/NRUS47.pdf", "https://docs.wto.org/imrd/directdoc.asp?DDFDocuments/u/G/SPS/NRUS47.pdf")</f>
      </c>
      <c r="Q525" s="6">
        <f>HYPERLINK("https://docs.wto.org/imrd/directdoc.asp?DDFDocuments/v/G/SPS/NRUS47.pdf", "https://docs.wto.org/imrd/directdoc.asp?DDFDocuments/v/G/SPS/NRUS47.pdf")</f>
      </c>
      <c r="R525" s="0" t="s">
        <v>36</v>
      </c>
      <c r="S525" s="0" t="s">
        <v>36</v>
      </c>
      <c r="T525" s="0" t="s">
        <v>36</v>
      </c>
      <c r="U525" s="0" t="s">
        <v>36</v>
      </c>
      <c r="V525" s="0" t="s">
        <v>36</v>
      </c>
      <c r="W525" s="0" t="s">
        <v>36</v>
      </c>
      <c r="X525" s="0" t="s">
        <v>36</v>
      </c>
      <c r="Y525" s="2" t="s">
        <v>36</v>
      </c>
      <c r="Z525" s="0" t="s">
        <v>43</v>
      </c>
      <c r="AA525" s="0" t="s">
        <v>42</v>
      </c>
      <c r="AB525" s="0" t="s">
        <v>42</v>
      </c>
      <c r="AC525" s="0" t="s">
        <v>42</v>
      </c>
      <c r="AD525" s="0" t="s">
        <v>43</v>
      </c>
      <c r="AE525" s="2"/>
    </row>
    <row r="526">
      <c r="A526" s="6" t="s">
        <v>31</v>
      </c>
      <c r="B526" s="7">
        <v>41655</v>
      </c>
      <c r="C526" s="9">
        <f>HYPERLINK("https://www.epingalert.org/en/Search?viewData= G/SPS/N/RUS/45"," G/SPS/N/RUS/45")</f>
      </c>
      <c r="D526" s="8" t="s">
        <v>2474</v>
      </c>
      <c r="E526" s="8" t="s">
        <v>2491</v>
      </c>
      <c r="F526" s="8" t="s">
        <v>2388</v>
      </c>
      <c r="G526" s="8" t="s">
        <v>2492</v>
      </c>
      <c r="H526" s="8" t="s">
        <v>36</v>
      </c>
      <c r="I526" s="8" t="s">
        <v>332</v>
      </c>
      <c r="J526" s="8" t="s">
        <v>2390</v>
      </c>
      <c r="K526" s="6" t="s">
        <v>2493</v>
      </c>
      <c r="L526" s="7" t="s">
        <v>36</v>
      </c>
      <c r="M526" s="6" t="s">
        <v>40</v>
      </c>
      <c r="N526" s="8" t="s">
        <v>2494</v>
      </c>
      <c r="O526" s="6">
        <f>HYPERLINK("https://docs.wto.org/imrd/directdoc.asp?DDFDocuments/t/G/SPS/NRUS45.pdf", "https://docs.wto.org/imrd/directdoc.asp?DDFDocuments/t/G/SPS/NRUS45.pdf")</f>
      </c>
      <c r="P526" s="6">
        <f>HYPERLINK("https://docs.wto.org/imrd/directdoc.asp?DDFDocuments/u/G/SPS/NRUS45.pdf", "https://docs.wto.org/imrd/directdoc.asp?DDFDocuments/u/G/SPS/NRUS45.pdf")</f>
      </c>
      <c r="Q526" s="6">
        <f>HYPERLINK("https://docs.wto.org/imrd/directdoc.asp?DDFDocuments/v/G/SPS/NRUS45.pdf", "https://docs.wto.org/imrd/directdoc.asp?DDFDocuments/v/G/SPS/NRUS45.pdf")</f>
      </c>
      <c r="R526" s="0" t="s">
        <v>36</v>
      </c>
      <c r="S526" s="0" t="s">
        <v>36</v>
      </c>
      <c r="T526" s="0" t="s">
        <v>36</v>
      </c>
      <c r="U526" s="0" t="s">
        <v>36</v>
      </c>
      <c r="V526" s="0" t="s">
        <v>36</v>
      </c>
      <c r="W526" s="0" t="s">
        <v>36</v>
      </c>
      <c r="X526" s="0" t="s">
        <v>36</v>
      </c>
      <c r="Y526" s="2" t="s">
        <v>36</v>
      </c>
      <c r="Z526" s="0" t="s">
        <v>42</v>
      </c>
      <c r="AA526" s="0" t="s">
        <v>43</v>
      </c>
      <c r="AB526" s="0" t="s">
        <v>42</v>
      </c>
      <c r="AC526" s="0" t="s">
        <v>42</v>
      </c>
      <c r="AD526" s="0" t="s">
        <v>43</v>
      </c>
      <c r="AE526" s="2"/>
    </row>
    <row r="527">
      <c r="A527" s="6" t="s">
        <v>31</v>
      </c>
      <c r="B527" s="7">
        <v>41655</v>
      </c>
      <c r="C527" s="9">
        <f>HYPERLINK("https://www.epingalert.org/en/Search?viewData= G/SPS/N/RUS/35/Add.1"," G/SPS/N/RUS/35/Add.1")</f>
      </c>
      <c r="D527" s="8" t="s">
        <v>2477</v>
      </c>
      <c r="E527" s="8" t="s">
        <v>2495</v>
      </c>
      <c r="F527" s="8"/>
      <c r="G527" s="8" t="s">
        <v>2479</v>
      </c>
      <c r="H527" s="8" t="s">
        <v>36</v>
      </c>
      <c r="I527" s="8" t="s">
        <v>1328</v>
      </c>
      <c r="J527" s="8" t="s">
        <v>1696</v>
      </c>
      <c r="K527" s="6"/>
      <c r="L527" s="7" t="s">
        <v>36</v>
      </c>
      <c r="M527" s="6" t="s">
        <v>179</v>
      </c>
      <c r="N527" s="6"/>
      <c r="O527" s="6">
        <f>HYPERLINK("https://docs.wto.org/imrd/directdoc.asp?DDFDocuments/t/G/SPS/NRUS35A1.pdf", "https://docs.wto.org/imrd/directdoc.asp?DDFDocuments/t/G/SPS/NRUS35A1.pdf")</f>
      </c>
      <c r="P527" s="6">
        <f>HYPERLINK("https://docs.wto.org/imrd/directdoc.asp?DDFDocuments/u/G/SPS/NRUS35A1.pdf", "https://docs.wto.org/imrd/directdoc.asp?DDFDocuments/u/G/SPS/NRUS35A1.pdf")</f>
      </c>
      <c r="Q527" s="6">
        <f>HYPERLINK("https://docs.wto.org/imrd/directdoc.asp?DDFDocuments/v/G/SPS/NRUS35A1.pdf", "https://docs.wto.org/imrd/directdoc.asp?DDFDocuments/v/G/SPS/NRUS35A1.pdf")</f>
      </c>
      <c r="R527" s="0" t="s">
        <v>36</v>
      </c>
      <c r="S527" s="0" t="s">
        <v>36</v>
      </c>
      <c r="T527" s="0" t="s">
        <v>36</v>
      </c>
      <c r="U527" s="0" t="s">
        <v>36</v>
      </c>
      <c r="V527" s="0" t="s">
        <v>36</v>
      </c>
      <c r="W527" s="0" t="s">
        <v>36</v>
      </c>
      <c r="X527" s="0" t="s">
        <v>36</v>
      </c>
      <c r="Y527" s="2" t="s">
        <v>36</v>
      </c>
      <c r="Z527" s="0" t="s">
        <v>36</v>
      </c>
      <c r="AA527" s="0" t="s">
        <v>36</v>
      </c>
      <c r="AB527" s="0" t="s">
        <v>36</v>
      </c>
      <c r="AC527" s="0" t="s">
        <v>36</v>
      </c>
      <c r="AD527" s="0" t="s">
        <v>36</v>
      </c>
      <c r="AE527" s="2" t="s">
        <v>36</v>
      </c>
    </row>
    <row r="528">
      <c r="A528" s="6" t="s">
        <v>31</v>
      </c>
      <c r="B528" s="7">
        <v>41653</v>
      </c>
      <c r="C528" s="9">
        <f>HYPERLINK("https://www.epingalert.org/en/Search?viewData= G/SPS/N/RUS/44"," G/SPS/N/RUS/44")</f>
      </c>
      <c r="D528" s="8" t="s">
        <v>2496</v>
      </c>
      <c r="E528" s="8" t="s">
        <v>2497</v>
      </c>
      <c r="F528" s="8" t="s">
        <v>568</v>
      </c>
      <c r="G528" s="8" t="s">
        <v>569</v>
      </c>
      <c r="H528" s="8" t="s">
        <v>36</v>
      </c>
      <c r="I528" s="8" t="s">
        <v>1328</v>
      </c>
      <c r="J528" s="8" t="s">
        <v>271</v>
      </c>
      <c r="K528" s="6" t="s">
        <v>430</v>
      </c>
      <c r="L528" s="7" t="s">
        <v>36</v>
      </c>
      <c r="M528" s="6" t="s">
        <v>40</v>
      </c>
      <c r="N528" s="8" t="s">
        <v>2498</v>
      </c>
      <c r="O528" s="6">
        <f>HYPERLINK("https://docs.wto.org/imrd/directdoc.asp?DDFDocuments/t/G/SPS/NRUS44.pdf", "https://docs.wto.org/imrd/directdoc.asp?DDFDocuments/t/G/SPS/NRUS44.pdf")</f>
      </c>
      <c r="P528" s="6">
        <f>HYPERLINK("https://docs.wto.org/imrd/directdoc.asp?DDFDocuments/u/G/SPS/NRUS44.pdf", "https://docs.wto.org/imrd/directdoc.asp?DDFDocuments/u/G/SPS/NRUS44.pdf")</f>
      </c>
      <c r="Q528" s="6">
        <f>HYPERLINK("https://docs.wto.org/imrd/directdoc.asp?DDFDocuments/v/G/SPS/NRUS44.pdf", "https://docs.wto.org/imrd/directdoc.asp?DDFDocuments/v/G/SPS/NRUS44.pdf")</f>
      </c>
      <c r="R528" s="0" t="s">
        <v>36</v>
      </c>
      <c r="S528" s="0" t="s">
        <v>36</v>
      </c>
      <c r="T528" s="0" t="s">
        <v>36</v>
      </c>
      <c r="U528" s="0" t="s">
        <v>36</v>
      </c>
      <c r="V528" s="0" t="s">
        <v>36</v>
      </c>
      <c r="W528" s="0" t="s">
        <v>36</v>
      </c>
      <c r="X528" s="0" t="s">
        <v>36</v>
      </c>
      <c r="Y528" s="2" t="s">
        <v>36</v>
      </c>
      <c r="Z528" s="0" t="s">
        <v>43</v>
      </c>
      <c r="AA528" s="0" t="s">
        <v>42</v>
      </c>
      <c r="AB528" s="0" t="s">
        <v>42</v>
      </c>
      <c r="AC528" s="0" t="s">
        <v>42</v>
      </c>
      <c r="AD528" s="0" t="s">
        <v>43</v>
      </c>
      <c r="AE528" s="2"/>
    </row>
    <row r="529">
      <c r="A529" s="6" t="s">
        <v>31</v>
      </c>
      <c r="B529" s="7">
        <v>41653</v>
      </c>
      <c r="C529" s="9">
        <f>HYPERLINK("https://www.epingalert.org/en/Search?viewData= G/SPS/N/RUS/43"," G/SPS/N/RUS/43")</f>
      </c>
      <c r="D529" s="8" t="s">
        <v>2218</v>
      </c>
      <c r="E529" s="8" t="s">
        <v>2499</v>
      </c>
      <c r="F529" s="8" t="s">
        <v>2500</v>
      </c>
      <c r="G529" s="8" t="s">
        <v>2501</v>
      </c>
      <c r="H529" s="8" t="s">
        <v>36</v>
      </c>
      <c r="I529" s="8" t="s">
        <v>332</v>
      </c>
      <c r="J529" s="8" t="s">
        <v>2502</v>
      </c>
      <c r="K529" s="6"/>
      <c r="L529" s="7">
        <v>41713</v>
      </c>
      <c r="M529" s="6" t="s">
        <v>51</v>
      </c>
      <c r="N529" s="8" t="s">
        <v>2503</v>
      </c>
      <c r="O529" s="6">
        <f>HYPERLINK("https://docs.wto.org/imrd/directdoc.asp?DDFDocuments/t/G/SPS/NRUS43.pdf", "https://docs.wto.org/imrd/directdoc.asp?DDFDocuments/t/G/SPS/NRUS43.pdf")</f>
      </c>
      <c r="P529" s="6">
        <f>HYPERLINK("https://docs.wto.org/imrd/directdoc.asp?DDFDocuments/u/G/SPS/NRUS43.pdf", "https://docs.wto.org/imrd/directdoc.asp?DDFDocuments/u/G/SPS/NRUS43.pdf")</f>
      </c>
      <c r="Q529" s="6">
        <f>HYPERLINK("https://docs.wto.org/imrd/directdoc.asp?DDFDocuments/v/G/SPS/NRUS43.pdf", "https://docs.wto.org/imrd/directdoc.asp?DDFDocuments/v/G/SPS/NRUS43.pdf")</f>
      </c>
      <c r="R529" s="0" t="s">
        <v>36</v>
      </c>
      <c r="S529" s="0" t="s">
        <v>36</v>
      </c>
      <c r="T529" s="0" t="s">
        <v>36</v>
      </c>
      <c r="U529" s="0" t="s">
        <v>36</v>
      </c>
      <c r="V529" s="0" t="s">
        <v>36</v>
      </c>
      <c r="W529" s="0" t="s">
        <v>36</v>
      </c>
      <c r="X529" s="0" t="s">
        <v>36</v>
      </c>
      <c r="Y529" s="2" t="s">
        <v>36</v>
      </c>
      <c r="Z529" s="0" t="s">
        <v>42</v>
      </c>
      <c r="AA529" s="0" t="s">
        <v>43</v>
      </c>
      <c r="AB529" s="0" t="s">
        <v>42</v>
      </c>
      <c r="AC529" s="0" t="s">
        <v>42</v>
      </c>
      <c r="AD529" s="0" t="s">
        <v>43</v>
      </c>
      <c r="AE529" s="2"/>
    </row>
    <row r="530">
      <c r="A530" s="6" t="s">
        <v>31</v>
      </c>
      <c r="B530" s="7">
        <v>41653</v>
      </c>
      <c r="C530" s="9">
        <f>HYPERLINK("https://www.epingalert.org/en/Search?viewData= G/SPS/N/RUS/3/Add.1"," G/SPS/N/RUS/3/Add.1")</f>
      </c>
      <c r="D530" s="8" t="s">
        <v>2504</v>
      </c>
      <c r="E530" s="8" t="s">
        <v>2505</v>
      </c>
      <c r="F530" s="8"/>
      <c r="G530" s="8" t="s">
        <v>2506</v>
      </c>
      <c r="H530" s="8" t="s">
        <v>36</v>
      </c>
      <c r="I530" s="8" t="s">
        <v>332</v>
      </c>
      <c r="J530" s="8" t="s">
        <v>1810</v>
      </c>
      <c r="K530" s="6"/>
      <c r="L530" s="7" t="s">
        <v>36</v>
      </c>
      <c r="M530" s="6" t="s">
        <v>179</v>
      </c>
      <c r="N530" s="6"/>
      <c r="O530" s="6">
        <f>HYPERLINK("https://docs.wto.org/imrd/directdoc.asp?DDFDocuments/t/G/SPS/NRUS3A1.pdf", "https://docs.wto.org/imrd/directdoc.asp?DDFDocuments/t/G/SPS/NRUS3A1.pdf")</f>
      </c>
      <c r="P530" s="6">
        <f>HYPERLINK("https://docs.wto.org/imrd/directdoc.asp?DDFDocuments/u/G/SPS/NRUS3A1.pdf", "https://docs.wto.org/imrd/directdoc.asp?DDFDocuments/u/G/SPS/NRUS3A1.pdf")</f>
      </c>
      <c r="Q530" s="6">
        <f>HYPERLINK("https://docs.wto.org/imrd/directdoc.asp?DDFDocuments/v/G/SPS/NRUS3A1.pdf", "https://docs.wto.org/imrd/directdoc.asp?DDFDocuments/v/G/SPS/NRUS3A1.pdf")</f>
      </c>
      <c r="R530" s="0" t="s">
        <v>36</v>
      </c>
      <c r="S530" s="0" t="s">
        <v>36</v>
      </c>
      <c r="T530" s="0" t="s">
        <v>36</v>
      </c>
      <c r="U530" s="0" t="s">
        <v>36</v>
      </c>
      <c r="V530" s="0" t="s">
        <v>36</v>
      </c>
      <c r="W530" s="0" t="s">
        <v>36</v>
      </c>
      <c r="X530" s="0" t="s">
        <v>36</v>
      </c>
      <c r="Y530" s="2" t="s">
        <v>36</v>
      </c>
      <c r="Z530" s="0" t="s">
        <v>36</v>
      </c>
      <c r="AA530" s="0" t="s">
        <v>36</v>
      </c>
      <c r="AB530" s="0" t="s">
        <v>36</v>
      </c>
      <c r="AC530" s="0" t="s">
        <v>36</v>
      </c>
      <c r="AD530" s="0" t="s">
        <v>36</v>
      </c>
      <c r="AE530" s="2" t="s">
        <v>36</v>
      </c>
    </row>
    <row r="531">
      <c r="A531" s="6" t="s">
        <v>31</v>
      </c>
      <c r="B531" s="7">
        <v>41653</v>
      </c>
      <c r="C531" s="9">
        <f>HYPERLINK("https://www.epingalert.org/en/Search?viewData= G/SPS/N/RUS/42"," G/SPS/N/RUS/42")</f>
      </c>
      <c r="D531" s="8" t="s">
        <v>2507</v>
      </c>
      <c r="E531" s="8" t="s">
        <v>2508</v>
      </c>
      <c r="F531" s="8" t="s">
        <v>2509</v>
      </c>
      <c r="G531" s="8" t="s">
        <v>2510</v>
      </c>
      <c r="H531" s="8" t="s">
        <v>36</v>
      </c>
      <c r="I531" s="8" t="s">
        <v>97</v>
      </c>
      <c r="J531" s="8" t="s">
        <v>105</v>
      </c>
      <c r="K531" s="6"/>
      <c r="L531" s="7">
        <v>41713</v>
      </c>
      <c r="M531" s="6" t="s">
        <v>51</v>
      </c>
      <c r="N531" s="8" t="s">
        <v>2511</v>
      </c>
      <c r="O531" s="6">
        <f>HYPERLINK("https://docs.wto.org/imrd/directdoc.asp?DDFDocuments/t/G/SPS/NRUS42.pdf", "https://docs.wto.org/imrd/directdoc.asp?DDFDocuments/t/G/SPS/NRUS42.pdf")</f>
      </c>
      <c r="P531" s="6">
        <f>HYPERLINK("https://docs.wto.org/imrd/directdoc.asp?DDFDocuments/u/G/SPS/NRUS42.pdf", "https://docs.wto.org/imrd/directdoc.asp?DDFDocuments/u/G/SPS/NRUS42.pdf")</f>
      </c>
      <c r="Q531" s="6">
        <f>HYPERLINK("https://docs.wto.org/imrd/directdoc.asp?DDFDocuments/v/G/SPS/NRUS42.pdf", "https://docs.wto.org/imrd/directdoc.asp?DDFDocuments/v/G/SPS/NRUS42.pdf")</f>
      </c>
      <c r="R531" s="0" t="s">
        <v>36</v>
      </c>
      <c r="S531" s="0" t="s">
        <v>36</v>
      </c>
      <c r="T531" s="0" t="s">
        <v>36</v>
      </c>
      <c r="U531" s="0" t="s">
        <v>36</v>
      </c>
      <c r="V531" s="0" t="s">
        <v>36</v>
      </c>
      <c r="W531" s="0" t="s">
        <v>36</v>
      </c>
      <c r="X531" s="0" t="s">
        <v>36</v>
      </c>
      <c r="Y531" s="2" t="s">
        <v>36</v>
      </c>
      <c r="Z531" s="0" t="s">
        <v>43</v>
      </c>
      <c r="AA531" s="0" t="s">
        <v>42</v>
      </c>
      <c r="AB531" s="0" t="s">
        <v>42</v>
      </c>
      <c r="AC531" s="0" t="s">
        <v>42</v>
      </c>
      <c r="AD531" s="0" t="s">
        <v>43</v>
      </c>
      <c r="AE531" s="2"/>
    </row>
    <row r="532">
      <c r="A532" s="6" t="s">
        <v>31</v>
      </c>
      <c r="B532" s="7">
        <v>41647</v>
      </c>
      <c r="C532" s="9">
        <f>HYPERLINK("https://www.epingalert.org/en/Search?viewData= G/TBT/N/RUS/29"," G/TBT/N/RUS/29")</f>
      </c>
      <c r="D532" s="8" t="s">
        <v>2512</v>
      </c>
      <c r="E532" s="8" t="s">
        <v>2513</v>
      </c>
      <c r="F532" s="8" t="s">
        <v>1580</v>
      </c>
      <c r="G532" s="8" t="s">
        <v>36</v>
      </c>
      <c r="H532" s="8" t="s">
        <v>2514</v>
      </c>
      <c r="I532" s="8" t="s">
        <v>796</v>
      </c>
      <c r="J532" s="8" t="s">
        <v>36</v>
      </c>
      <c r="K532" s="6"/>
      <c r="L532" s="7">
        <v>41699</v>
      </c>
      <c r="M532" s="6" t="s">
        <v>51</v>
      </c>
      <c r="N532" s="6"/>
      <c r="O532" s="6">
        <f>HYPERLINK("https://docs.wto.org/imrd/directdoc.asp?DDFDocuments/t/G/TBTN14/RUS29.DOC", "https://docs.wto.org/imrd/directdoc.asp?DDFDocuments/t/G/TBTN14/RUS29.DOC")</f>
      </c>
      <c r="P532" s="6">
        <f>HYPERLINK("https://docs.wto.org/imrd/directdoc.asp?DDFDocuments/u/G/TBTN14/RUS29.DOC", "https://docs.wto.org/imrd/directdoc.asp?DDFDocuments/u/G/TBTN14/RUS29.DOC")</f>
      </c>
      <c r="Q532" s="6">
        <f>HYPERLINK("https://docs.wto.org/imrd/directdoc.asp?DDFDocuments/v/G/TBTN14/RUS29.DOC", "https://docs.wto.org/imrd/directdoc.asp?DDFDocuments/v/G/TBTN14/RUS29.DOC")</f>
      </c>
      <c r="R532" s="0" t="s">
        <v>43</v>
      </c>
      <c r="S532" s="0" t="s">
        <v>42</v>
      </c>
      <c r="T532" s="0" t="s">
        <v>43</v>
      </c>
      <c r="U532" s="0" t="s">
        <v>42</v>
      </c>
      <c r="V532" s="0" t="s">
        <v>42</v>
      </c>
      <c r="W532" s="0" t="s">
        <v>42</v>
      </c>
      <c r="X532" s="0" t="s">
        <v>42</v>
      </c>
      <c r="Y532" s="2" t="s">
        <v>2515</v>
      </c>
      <c r="Z532" s="0" t="s">
        <v>36</v>
      </c>
      <c r="AA532" s="0" t="s">
        <v>36</v>
      </c>
      <c r="AB532" s="0" t="s">
        <v>36</v>
      </c>
      <c r="AC532" s="0" t="s">
        <v>36</v>
      </c>
      <c r="AD532" s="0" t="s">
        <v>36</v>
      </c>
      <c r="AE532" s="2" t="s">
        <v>36</v>
      </c>
    </row>
    <row r="533">
      <c r="A533" s="6" t="s">
        <v>31</v>
      </c>
      <c r="B533" s="7">
        <v>41647</v>
      </c>
      <c r="C533" s="9">
        <f>HYPERLINK("https://www.epingalert.org/en/Search?viewData= G/TBT/N/RUS/32"," G/TBT/N/RUS/32")</f>
      </c>
      <c r="D533" s="8" t="s">
        <v>2516</v>
      </c>
      <c r="E533" s="8" t="s">
        <v>2517</v>
      </c>
      <c r="F533" s="8" t="s">
        <v>2518</v>
      </c>
      <c r="G533" s="8" t="s">
        <v>36</v>
      </c>
      <c r="H533" s="8" t="s">
        <v>2519</v>
      </c>
      <c r="I533" s="8" t="s">
        <v>796</v>
      </c>
      <c r="J533" s="8" t="s">
        <v>120</v>
      </c>
      <c r="K533" s="6"/>
      <c r="L533" s="7">
        <v>41697</v>
      </c>
      <c r="M533" s="6" t="s">
        <v>51</v>
      </c>
      <c r="N533" s="6"/>
      <c r="O533" s="6">
        <f>HYPERLINK("https://docs.wto.org/imrd/directdoc.asp?DDFDocuments/t/G/TBTN14/RUS32.DOC", "https://docs.wto.org/imrd/directdoc.asp?DDFDocuments/t/G/TBTN14/RUS32.DOC")</f>
      </c>
      <c r="P533" s="6">
        <f>HYPERLINK("https://docs.wto.org/imrd/directdoc.asp?DDFDocuments/u/G/TBTN14/RUS32.DOC", "https://docs.wto.org/imrd/directdoc.asp?DDFDocuments/u/G/TBTN14/RUS32.DOC")</f>
      </c>
      <c r="Q533" s="6">
        <f>HYPERLINK("https://docs.wto.org/imrd/directdoc.asp?DDFDocuments/v/G/TBTN14/RUS32.DOC", "https://docs.wto.org/imrd/directdoc.asp?DDFDocuments/v/G/TBTN14/RUS32.DOC")</f>
      </c>
      <c r="R533" s="0" t="s">
        <v>43</v>
      </c>
      <c r="S533" s="0" t="s">
        <v>42</v>
      </c>
      <c r="T533" s="0" t="s">
        <v>42</v>
      </c>
      <c r="U533" s="0" t="s">
        <v>42</v>
      </c>
      <c r="V533" s="0" t="s">
        <v>42</v>
      </c>
      <c r="W533" s="0" t="s">
        <v>42</v>
      </c>
      <c r="X533" s="0" t="s">
        <v>42</v>
      </c>
      <c r="Y533" s="2" t="s">
        <v>2520</v>
      </c>
      <c r="Z533" s="0" t="s">
        <v>36</v>
      </c>
      <c r="AA533" s="0" t="s">
        <v>36</v>
      </c>
      <c r="AB533" s="0" t="s">
        <v>36</v>
      </c>
      <c r="AC533" s="0" t="s">
        <v>36</v>
      </c>
      <c r="AD533" s="0" t="s">
        <v>36</v>
      </c>
      <c r="AE533" s="2" t="s">
        <v>36</v>
      </c>
    </row>
    <row r="534">
      <c r="A534" s="6" t="s">
        <v>31</v>
      </c>
      <c r="B534" s="7">
        <v>41647</v>
      </c>
      <c r="C534" s="9">
        <f>HYPERLINK("https://www.epingalert.org/en/Search?viewData= G/TBT/N/RUS/31"," G/TBT/N/RUS/31")</f>
      </c>
      <c r="D534" s="8" t="s">
        <v>2521</v>
      </c>
      <c r="E534" s="8" t="s">
        <v>2522</v>
      </c>
      <c r="F534" s="8" t="s">
        <v>1240</v>
      </c>
      <c r="G534" s="8" t="s">
        <v>36</v>
      </c>
      <c r="H534" s="8" t="s">
        <v>36</v>
      </c>
      <c r="I534" s="8" t="s">
        <v>796</v>
      </c>
      <c r="J534" s="8" t="s">
        <v>36</v>
      </c>
      <c r="K534" s="6"/>
      <c r="L534" s="7">
        <v>41699</v>
      </c>
      <c r="M534" s="6" t="s">
        <v>51</v>
      </c>
      <c r="N534" s="6"/>
      <c r="O534" s="6">
        <f>HYPERLINK("https://docs.wto.org/imrd/directdoc.asp?DDFDocuments/t/G/TBTN14/RUS31.DOC", "https://docs.wto.org/imrd/directdoc.asp?DDFDocuments/t/G/TBTN14/RUS31.DOC")</f>
      </c>
      <c r="P534" s="6">
        <f>HYPERLINK("https://docs.wto.org/imrd/directdoc.asp?DDFDocuments/u/G/TBTN14/RUS31.DOC", "https://docs.wto.org/imrd/directdoc.asp?DDFDocuments/u/G/TBTN14/RUS31.DOC")</f>
      </c>
      <c r="Q534" s="6">
        <f>HYPERLINK("https://docs.wto.org/imrd/directdoc.asp?DDFDocuments/v/G/TBTN14/RUS31.DOC", "https://docs.wto.org/imrd/directdoc.asp?DDFDocuments/v/G/TBTN14/RUS31.DOC")</f>
      </c>
      <c r="R534" s="0" t="s">
        <v>43</v>
      </c>
      <c r="S534" s="0" t="s">
        <v>42</v>
      </c>
      <c r="T534" s="0" t="s">
        <v>43</v>
      </c>
      <c r="U534" s="0" t="s">
        <v>42</v>
      </c>
      <c r="V534" s="0" t="s">
        <v>42</v>
      </c>
      <c r="W534" s="0" t="s">
        <v>42</v>
      </c>
      <c r="X534" s="0" t="s">
        <v>42</v>
      </c>
      <c r="Y534" s="2" t="s">
        <v>2523</v>
      </c>
      <c r="Z534" s="0" t="s">
        <v>36</v>
      </c>
      <c r="AA534" s="0" t="s">
        <v>36</v>
      </c>
      <c r="AB534" s="0" t="s">
        <v>36</v>
      </c>
      <c r="AC534" s="0" t="s">
        <v>36</v>
      </c>
      <c r="AD534" s="0" t="s">
        <v>36</v>
      </c>
      <c r="AE534" s="2" t="s">
        <v>36</v>
      </c>
    </row>
    <row r="535">
      <c r="A535" s="6" t="s">
        <v>31</v>
      </c>
      <c r="B535" s="7">
        <v>41647</v>
      </c>
      <c r="C535" s="9">
        <f>HYPERLINK("https://www.epingalert.org/en/Search?viewData= G/TBT/N/RUS/30"," G/TBT/N/RUS/30")</f>
      </c>
      <c r="D535" s="8" t="s">
        <v>2524</v>
      </c>
      <c r="E535" s="8" t="s">
        <v>2525</v>
      </c>
      <c r="F535" s="8" t="s">
        <v>2509</v>
      </c>
      <c r="G535" s="8" t="s">
        <v>36</v>
      </c>
      <c r="H535" s="8" t="s">
        <v>2526</v>
      </c>
      <c r="I535" s="8" t="s">
        <v>796</v>
      </c>
      <c r="J535" s="8" t="s">
        <v>120</v>
      </c>
      <c r="K535" s="6"/>
      <c r="L535" s="7">
        <v>41697</v>
      </c>
      <c r="M535" s="6" t="s">
        <v>51</v>
      </c>
      <c r="N535" s="6"/>
      <c r="O535" s="6">
        <f>HYPERLINK("https://docs.wto.org/imrd/directdoc.asp?DDFDocuments/t/G/TBTN14/RUS30.DOC", "https://docs.wto.org/imrd/directdoc.asp?DDFDocuments/t/G/TBTN14/RUS30.DOC")</f>
      </c>
      <c r="P535" s="6">
        <f>HYPERLINK("https://docs.wto.org/imrd/directdoc.asp?DDFDocuments/u/G/TBTN14/RUS30.DOC", "https://docs.wto.org/imrd/directdoc.asp?DDFDocuments/u/G/TBTN14/RUS30.DOC")</f>
      </c>
      <c r="Q535" s="6">
        <f>HYPERLINK("https://docs.wto.org/imrd/directdoc.asp?DDFDocuments/v/G/TBTN14/RUS30.DOC", "https://docs.wto.org/imrd/directdoc.asp?DDFDocuments/v/G/TBTN14/RUS30.DOC")</f>
      </c>
      <c r="R535" s="0" t="s">
        <v>43</v>
      </c>
      <c r="S535" s="0" t="s">
        <v>42</v>
      </c>
      <c r="T535" s="0" t="s">
        <v>42</v>
      </c>
      <c r="U535" s="0" t="s">
        <v>42</v>
      </c>
      <c r="V535" s="0" t="s">
        <v>42</v>
      </c>
      <c r="W535" s="0" t="s">
        <v>42</v>
      </c>
      <c r="X535" s="0" t="s">
        <v>42</v>
      </c>
      <c r="Y535" s="2" t="s">
        <v>2527</v>
      </c>
      <c r="Z535" s="0" t="s">
        <v>36</v>
      </c>
      <c r="AA535" s="0" t="s">
        <v>36</v>
      </c>
      <c r="AB535" s="0" t="s">
        <v>36</v>
      </c>
      <c r="AC535" s="0" t="s">
        <v>36</v>
      </c>
      <c r="AD535" s="0" t="s">
        <v>36</v>
      </c>
      <c r="AE535" s="2" t="s">
        <v>36</v>
      </c>
    </row>
    <row r="536">
      <c r="A536" s="6" t="s">
        <v>31</v>
      </c>
      <c r="B536" s="7">
        <v>41645</v>
      </c>
      <c r="C536" s="9">
        <f>HYPERLINK("https://www.epingalert.org/en/Search?viewData= G/SPS/N/RUS/31/Add.1"," G/SPS/N/RUS/31/Add.1")</f>
      </c>
      <c r="D536" s="8" t="s">
        <v>2528</v>
      </c>
      <c r="E536" s="8" t="s">
        <v>2529</v>
      </c>
      <c r="F536" s="8"/>
      <c r="G536" s="8" t="s">
        <v>2530</v>
      </c>
      <c r="H536" s="8" t="s">
        <v>36</v>
      </c>
      <c r="I536" s="8" t="s">
        <v>808</v>
      </c>
      <c r="J536" s="8" t="s">
        <v>1810</v>
      </c>
      <c r="K536" s="6"/>
      <c r="L536" s="7" t="s">
        <v>36</v>
      </c>
      <c r="M536" s="6" t="s">
        <v>1211</v>
      </c>
      <c r="N536" s="6"/>
      <c r="O536" s="6">
        <f>HYPERLINK("https://docs.wto.org/imrd/directdoc.asp?DDFDocuments/t/G/SPS/NRUS31A1.pdf", "https://docs.wto.org/imrd/directdoc.asp?DDFDocuments/t/G/SPS/NRUS31A1.pdf")</f>
      </c>
      <c r="P536" s="6">
        <f>HYPERLINK("https://docs.wto.org/imrd/directdoc.asp?DDFDocuments/u/G/SPS/NRUS31A1.pdf", "https://docs.wto.org/imrd/directdoc.asp?DDFDocuments/u/G/SPS/NRUS31A1.pdf")</f>
      </c>
      <c r="Q536" s="6">
        <f>HYPERLINK("https://docs.wto.org/imrd/directdoc.asp?DDFDocuments/v/G/SPS/NRUS31A1.pdf", "https://docs.wto.org/imrd/directdoc.asp?DDFDocuments/v/G/SPS/NRUS31A1.pdf")</f>
      </c>
      <c r="R536" s="0" t="s">
        <v>36</v>
      </c>
      <c r="S536" s="0" t="s">
        <v>36</v>
      </c>
      <c r="T536" s="0" t="s">
        <v>36</v>
      </c>
      <c r="U536" s="0" t="s">
        <v>36</v>
      </c>
      <c r="V536" s="0" t="s">
        <v>36</v>
      </c>
      <c r="W536" s="0" t="s">
        <v>36</v>
      </c>
      <c r="X536" s="0" t="s">
        <v>36</v>
      </c>
      <c r="Y536" s="2" t="s">
        <v>36</v>
      </c>
      <c r="Z536" s="0" t="s">
        <v>36</v>
      </c>
      <c r="AA536" s="0" t="s">
        <v>36</v>
      </c>
      <c r="AB536" s="0" t="s">
        <v>36</v>
      </c>
      <c r="AC536" s="0" t="s">
        <v>36</v>
      </c>
      <c r="AD536" s="0" t="s">
        <v>36</v>
      </c>
      <c r="AE536" s="2" t="s">
        <v>36</v>
      </c>
    </row>
    <row r="537">
      <c r="A537" s="6" t="s">
        <v>31</v>
      </c>
      <c r="B537" s="7">
        <v>41627</v>
      </c>
      <c r="C537" s="9">
        <f>HYPERLINK("https://www.epingalert.org/en/Search?viewData= G/SPS/N/RUS/41"," G/SPS/N/RUS/41")</f>
      </c>
      <c r="D537" s="8" t="s">
        <v>2423</v>
      </c>
      <c r="E537" s="8" t="s">
        <v>2531</v>
      </c>
      <c r="F537" s="8" t="s">
        <v>2532</v>
      </c>
      <c r="G537" s="8" t="s">
        <v>2413</v>
      </c>
      <c r="H537" s="8" t="s">
        <v>36</v>
      </c>
      <c r="I537" s="8" t="s">
        <v>332</v>
      </c>
      <c r="J537" s="8" t="s">
        <v>2533</v>
      </c>
      <c r="K537" s="6" t="s">
        <v>2534</v>
      </c>
      <c r="L537" s="7" t="s">
        <v>36</v>
      </c>
      <c r="M537" s="6" t="s">
        <v>40</v>
      </c>
      <c r="N537" s="8" t="s">
        <v>2535</v>
      </c>
      <c r="O537" s="6">
        <f>HYPERLINK("https://docs.wto.org/imrd/directdoc.asp?DDFDocuments/t/G/SPS/NRUS41.pdf", "https://docs.wto.org/imrd/directdoc.asp?DDFDocuments/t/G/SPS/NRUS41.pdf")</f>
      </c>
      <c r="P537" s="6">
        <f>HYPERLINK("https://docs.wto.org/imrd/directdoc.asp?DDFDocuments/u/G/SPS/NRUS41.pdf", "https://docs.wto.org/imrd/directdoc.asp?DDFDocuments/u/G/SPS/NRUS41.pdf")</f>
      </c>
      <c r="Q537" s="6">
        <f>HYPERLINK("https://docs.wto.org/imrd/directdoc.asp?DDFDocuments/v/G/SPS/NRUS41.pdf", "https://docs.wto.org/imrd/directdoc.asp?DDFDocuments/v/G/SPS/NRUS41.pdf")</f>
      </c>
      <c r="R537" s="0" t="s">
        <v>36</v>
      </c>
      <c r="S537" s="0" t="s">
        <v>36</v>
      </c>
      <c r="T537" s="0" t="s">
        <v>36</v>
      </c>
      <c r="U537" s="0" t="s">
        <v>36</v>
      </c>
      <c r="V537" s="0" t="s">
        <v>36</v>
      </c>
      <c r="W537" s="0" t="s">
        <v>36</v>
      </c>
      <c r="X537" s="0" t="s">
        <v>36</v>
      </c>
      <c r="Y537" s="2" t="s">
        <v>36</v>
      </c>
      <c r="Z537" s="0" t="s">
        <v>42</v>
      </c>
      <c r="AA537" s="0" t="s">
        <v>43</v>
      </c>
      <c r="AB537" s="0" t="s">
        <v>42</v>
      </c>
      <c r="AC537" s="0" t="s">
        <v>42</v>
      </c>
      <c r="AD537" s="0" t="s">
        <v>43</v>
      </c>
      <c r="AE537" s="2"/>
    </row>
    <row r="538">
      <c r="A538" s="6" t="s">
        <v>31</v>
      </c>
      <c r="B538" s="7">
        <v>41627</v>
      </c>
      <c r="C538" s="9">
        <f>HYPERLINK("https://www.epingalert.org/en/Search?viewData= G/SPS/N/RUS/40"," G/SPS/N/RUS/40")</f>
      </c>
      <c r="D538" s="8" t="s">
        <v>2536</v>
      </c>
      <c r="E538" s="8" t="s">
        <v>2537</v>
      </c>
      <c r="F538" s="8" t="s">
        <v>2538</v>
      </c>
      <c r="G538" s="8" t="s">
        <v>2479</v>
      </c>
      <c r="H538" s="8" t="s">
        <v>36</v>
      </c>
      <c r="I538" s="8" t="s">
        <v>1328</v>
      </c>
      <c r="J538" s="8" t="s">
        <v>1562</v>
      </c>
      <c r="K538" s="6" t="s">
        <v>210</v>
      </c>
      <c r="L538" s="7" t="s">
        <v>36</v>
      </c>
      <c r="M538" s="6" t="s">
        <v>40</v>
      </c>
      <c r="N538" s="8" t="s">
        <v>2539</v>
      </c>
      <c r="O538" s="6">
        <f>HYPERLINK("https://docs.wto.org/imrd/directdoc.asp?DDFDocuments/t/G/SPS/NRUS40.pdf", "https://docs.wto.org/imrd/directdoc.asp?DDFDocuments/t/G/SPS/NRUS40.pdf")</f>
      </c>
      <c r="P538" s="6">
        <f>HYPERLINK("https://docs.wto.org/imrd/directdoc.asp?DDFDocuments/u/G/SPS/NRUS40.pdf", "https://docs.wto.org/imrd/directdoc.asp?DDFDocuments/u/G/SPS/NRUS40.pdf")</f>
      </c>
      <c r="Q538" s="6">
        <f>HYPERLINK("https://docs.wto.org/imrd/directdoc.asp?DDFDocuments/v/G/SPS/NRUS40.pdf", "https://docs.wto.org/imrd/directdoc.asp?DDFDocuments/v/G/SPS/NRUS40.pdf")</f>
      </c>
      <c r="R538" s="0" t="s">
        <v>36</v>
      </c>
      <c r="S538" s="0" t="s">
        <v>36</v>
      </c>
      <c r="T538" s="0" t="s">
        <v>36</v>
      </c>
      <c r="U538" s="0" t="s">
        <v>36</v>
      </c>
      <c r="V538" s="0" t="s">
        <v>36</v>
      </c>
      <c r="W538" s="0" t="s">
        <v>36</v>
      </c>
      <c r="X538" s="0" t="s">
        <v>36</v>
      </c>
      <c r="Y538" s="2" t="s">
        <v>36</v>
      </c>
      <c r="Z538" s="0" t="s">
        <v>43</v>
      </c>
      <c r="AA538" s="0" t="s">
        <v>42</v>
      </c>
      <c r="AB538" s="0" t="s">
        <v>42</v>
      </c>
      <c r="AC538" s="0" t="s">
        <v>42</v>
      </c>
      <c r="AD538" s="0" t="s">
        <v>43</v>
      </c>
      <c r="AE538" s="2"/>
    </row>
    <row r="539">
      <c r="A539" s="6" t="s">
        <v>31</v>
      </c>
      <c r="B539" s="7">
        <v>41625</v>
      </c>
      <c r="C539" s="9">
        <f>HYPERLINK("https://www.epingalert.org/en/Search?viewData= G/SPS/N/RUS/33/Add.1"," G/SPS/N/RUS/33/Add.1")</f>
      </c>
      <c r="D539" s="8" t="s">
        <v>2465</v>
      </c>
      <c r="E539" s="8" t="s">
        <v>2540</v>
      </c>
      <c r="F539" s="8"/>
      <c r="G539" s="8" t="s">
        <v>36</v>
      </c>
      <c r="H539" s="8" t="s">
        <v>36</v>
      </c>
      <c r="I539" s="8" t="s">
        <v>332</v>
      </c>
      <c r="J539" s="8" t="s">
        <v>1652</v>
      </c>
      <c r="K539" s="6"/>
      <c r="L539" s="7" t="s">
        <v>36</v>
      </c>
      <c r="M539" s="6" t="s">
        <v>1211</v>
      </c>
      <c r="N539" s="8" t="s">
        <v>2541</v>
      </c>
      <c r="O539" s="6">
        <f>HYPERLINK("https://docs.wto.org/imrd/directdoc.asp?DDFDocuments/t/G/SPS/NRUS33A1.pdf", "https://docs.wto.org/imrd/directdoc.asp?DDFDocuments/t/G/SPS/NRUS33A1.pdf")</f>
      </c>
      <c r="P539" s="6">
        <f>HYPERLINK("https://docs.wto.org/imrd/directdoc.asp?DDFDocuments/u/G/SPS/NRUS33A1.pdf", "https://docs.wto.org/imrd/directdoc.asp?DDFDocuments/u/G/SPS/NRUS33A1.pdf")</f>
      </c>
      <c r="Q539" s="6">
        <f>HYPERLINK("https://docs.wto.org/imrd/directdoc.asp?DDFDocuments/v/G/SPS/NRUS33A1.pdf", "https://docs.wto.org/imrd/directdoc.asp?DDFDocuments/v/G/SPS/NRUS33A1.pdf")</f>
      </c>
      <c r="R539" s="0" t="s">
        <v>36</v>
      </c>
      <c r="S539" s="0" t="s">
        <v>36</v>
      </c>
      <c r="T539" s="0" t="s">
        <v>36</v>
      </c>
      <c r="U539" s="0" t="s">
        <v>36</v>
      </c>
      <c r="V539" s="0" t="s">
        <v>36</v>
      </c>
      <c r="W539" s="0" t="s">
        <v>36</v>
      </c>
      <c r="X539" s="0" t="s">
        <v>36</v>
      </c>
      <c r="Y539" s="2" t="s">
        <v>36</v>
      </c>
      <c r="Z539" s="0" t="s">
        <v>36</v>
      </c>
      <c r="AA539" s="0" t="s">
        <v>36</v>
      </c>
      <c r="AB539" s="0" t="s">
        <v>36</v>
      </c>
      <c r="AC539" s="0" t="s">
        <v>36</v>
      </c>
      <c r="AD539" s="0" t="s">
        <v>36</v>
      </c>
      <c r="AE539" s="2" t="s">
        <v>36</v>
      </c>
    </row>
    <row r="540">
      <c r="A540" s="6" t="s">
        <v>31</v>
      </c>
      <c r="B540" s="7">
        <v>41621</v>
      </c>
      <c r="C540" s="9">
        <f>HYPERLINK("https://www.epingalert.org/en/Search?viewData= G/SPS/N/RUS/2/Add.1"," G/SPS/N/RUS/2/Add.1")</f>
      </c>
      <c r="D540" s="8" t="s">
        <v>2542</v>
      </c>
      <c r="E540" s="8" t="s">
        <v>2543</v>
      </c>
      <c r="F540" s="8"/>
      <c r="G540" s="8" t="s">
        <v>2544</v>
      </c>
      <c r="H540" s="8" t="s">
        <v>36</v>
      </c>
      <c r="I540" s="8" t="s">
        <v>37</v>
      </c>
      <c r="J540" s="8" t="s">
        <v>1810</v>
      </c>
      <c r="K540" s="6"/>
      <c r="L540" s="7" t="s">
        <v>36</v>
      </c>
      <c r="M540" s="6" t="s">
        <v>179</v>
      </c>
      <c r="N540" s="8" t="s">
        <v>2545</v>
      </c>
      <c r="O540" s="6">
        <f>HYPERLINK("https://docs.wto.org/imrd/directdoc.asp?DDFDocuments/t/G/SPS/NRUS2A1.pdf", "https://docs.wto.org/imrd/directdoc.asp?DDFDocuments/t/G/SPS/NRUS2A1.pdf")</f>
      </c>
      <c r="P540" s="6">
        <f>HYPERLINK("https://docs.wto.org/imrd/directdoc.asp?DDFDocuments/u/G/SPS/NRUS2A1.pdf", "https://docs.wto.org/imrd/directdoc.asp?DDFDocuments/u/G/SPS/NRUS2A1.pdf")</f>
      </c>
      <c r="Q540" s="6">
        <f>HYPERLINK("https://docs.wto.org/imrd/directdoc.asp?DDFDocuments/v/G/SPS/NRUS2A1.pdf", "https://docs.wto.org/imrd/directdoc.asp?DDFDocuments/v/G/SPS/NRUS2A1.pdf")</f>
      </c>
      <c r="R540" s="0" t="s">
        <v>36</v>
      </c>
      <c r="S540" s="0" t="s">
        <v>36</v>
      </c>
      <c r="T540" s="0" t="s">
        <v>36</v>
      </c>
      <c r="U540" s="0" t="s">
        <v>36</v>
      </c>
      <c r="V540" s="0" t="s">
        <v>36</v>
      </c>
      <c r="W540" s="0" t="s">
        <v>36</v>
      </c>
      <c r="X540" s="0" t="s">
        <v>36</v>
      </c>
      <c r="Y540" s="2" t="s">
        <v>36</v>
      </c>
      <c r="Z540" s="0" t="s">
        <v>36</v>
      </c>
      <c r="AA540" s="0" t="s">
        <v>36</v>
      </c>
      <c r="AB540" s="0" t="s">
        <v>36</v>
      </c>
      <c r="AC540" s="0" t="s">
        <v>36</v>
      </c>
      <c r="AD540" s="0" t="s">
        <v>36</v>
      </c>
      <c r="AE540" s="2" t="s">
        <v>36</v>
      </c>
    </row>
    <row r="541">
      <c r="A541" s="6" t="s">
        <v>31</v>
      </c>
      <c r="B541" s="7">
        <v>41620</v>
      </c>
      <c r="C541" s="9">
        <f>HYPERLINK("https://www.epingalert.org/en/Search?viewData= G/SPS/N/RUS/1/Add.1"," G/SPS/N/RUS/1/Add.1")</f>
      </c>
      <c r="D541" s="8" t="s">
        <v>2546</v>
      </c>
      <c r="E541" s="8" t="s">
        <v>2547</v>
      </c>
      <c r="F541" s="8"/>
      <c r="G541" s="8" t="s">
        <v>2548</v>
      </c>
      <c r="H541" s="8" t="s">
        <v>36</v>
      </c>
      <c r="I541" s="8" t="s">
        <v>37</v>
      </c>
      <c r="J541" s="8" t="s">
        <v>1810</v>
      </c>
      <c r="K541" s="6"/>
      <c r="L541" s="7" t="s">
        <v>36</v>
      </c>
      <c r="M541" s="6" t="s">
        <v>179</v>
      </c>
      <c r="N541" s="8" t="s">
        <v>2545</v>
      </c>
      <c r="O541" s="6">
        <f>HYPERLINK("https://docs.wto.org/imrd/directdoc.asp?DDFDocuments/t/G/SPS/NRUS1A1.pdf", "https://docs.wto.org/imrd/directdoc.asp?DDFDocuments/t/G/SPS/NRUS1A1.pdf")</f>
      </c>
      <c r="P541" s="6">
        <f>HYPERLINK("https://docs.wto.org/imrd/directdoc.asp?DDFDocuments/u/G/SPS/NRUS1A1.pdf", "https://docs.wto.org/imrd/directdoc.asp?DDFDocuments/u/G/SPS/NRUS1A1.pdf")</f>
      </c>
      <c r="Q541" s="6">
        <f>HYPERLINK("https://docs.wto.org/imrd/directdoc.asp?DDFDocuments/v/G/SPS/NRUS1A1.pdf", "https://docs.wto.org/imrd/directdoc.asp?DDFDocuments/v/G/SPS/NRUS1A1.pdf")</f>
      </c>
      <c r="R541" s="0" t="s">
        <v>36</v>
      </c>
      <c r="S541" s="0" t="s">
        <v>36</v>
      </c>
      <c r="T541" s="0" t="s">
        <v>36</v>
      </c>
      <c r="U541" s="0" t="s">
        <v>36</v>
      </c>
      <c r="V541" s="0" t="s">
        <v>36</v>
      </c>
      <c r="W541" s="0" t="s">
        <v>36</v>
      </c>
      <c r="X541" s="0" t="s">
        <v>36</v>
      </c>
      <c r="Y541" s="2" t="s">
        <v>36</v>
      </c>
      <c r="Z541" s="0" t="s">
        <v>36</v>
      </c>
      <c r="AA541" s="0" t="s">
        <v>36</v>
      </c>
      <c r="AB541" s="0" t="s">
        <v>36</v>
      </c>
      <c r="AC541" s="0" t="s">
        <v>36</v>
      </c>
      <c r="AD541" s="0" t="s">
        <v>36</v>
      </c>
      <c r="AE541" s="2" t="s">
        <v>36</v>
      </c>
    </row>
    <row r="542">
      <c r="A542" s="6" t="s">
        <v>31</v>
      </c>
      <c r="B542" s="7">
        <v>41620</v>
      </c>
      <c r="C542" s="9">
        <f>HYPERLINK("https://www.epingalert.org/en/Search?viewData= G/SPS/N/RUS/39"," G/SPS/N/RUS/39")</f>
      </c>
      <c r="D542" s="8" t="s">
        <v>2549</v>
      </c>
      <c r="E542" s="8" t="s">
        <v>2550</v>
      </c>
      <c r="F542" s="8" t="s">
        <v>2551</v>
      </c>
      <c r="G542" s="8" t="s">
        <v>36</v>
      </c>
      <c r="H542" s="8" t="s">
        <v>36</v>
      </c>
      <c r="I542" s="8" t="s">
        <v>65</v>
      </c>
      <c r="J542" s="8" t="s">
        <v>72</v>
      </c>
      <c r="K542" s="6"/>
      <c r="L542" s="7">
        <v>41680</v>
      </c>
      <c r="M542" s="6" t="s">
        <v>51</v>
      </c>
      <c r="N542" s="8" t="s">
        <v>2422</v>
      </c>
      <c r="O542" s="6">
        <f>HYPERLINK("https://docs.wto.org/imrd/directdoc.asp?DDFDocuments/t/G/SPS/NRUS39.pdf", "https://docs.wto.org/imrd/directdoc.asp?DDFDocuments/t/G/SPS/NRUS39.pdf")</f>
      </c>
      <c r="P542" s="6">
        <f>HYPERLINK("https://docs.wto.org/imrd/directdoc.asp?DDFDocuments/u/G/SPS/NRUS39.pdf", "https://docs.wto.org/imrd/directdoc.asp?DDFDocuments/u/G/SPS/NRUS39.pdf")</f>
      </c>
      <c r="Q542" s="6">
        <f>HYPERLINK("https://docs.wto.org/imrd/directdoc.asp?DDFDocuments/v/G/SPS/NRUS39.pdf", "https://docs.wto.org/imrd/directdoc.asp?DDFDocuments/v/G/SPS/NRUS39.pdf")</f>
      </c>
      <c r="R542" s="0" t="s">
        <v>36</v>
      </c>
      <c r="S542" s="0" t="s">
        <v>36</v>
      </c>
      <c r="T542" s="0" t="s">
        <v>36</v>
      </c>
      <c r="U542" s="0" t="s">
        <v>36</v>
      </c>
      <c r="V542" s="0" t="s">
        <v>36</v>
      </c>
      <c r="W542" s="0" t="s">
        <v>36</v>
      </c>
      <c r="X542" s="0" t="s">
        <v>36</v>
      </c>
      <c r="Y542" s="2" t="s">
        <v>36</v>
      </c>
      <c r="Z542" s="0" t="s">
        <v>42</v>
      </c>
      <c r="AA542" s="0" t="s">
        <v>42</v>
      </c>
      <c r="AB542" s="0" t="s">
        <v>43</v>
      </c>
      <c r="AC542" s="0" t="s">
        <v>42</v>
      </c>
      <c r="AD542" s="0" t="s">
        <v>43</v>
      </c>
      <c r="AE542" s="2"/>
    </row>
    <row r="543">
      <c r="A543" s="6" t="s">
        <v>31</v>
      </c>
      <c r="B543" s="7">
        <v>41620</v>
      </c>
      <c r="C543" s="9">
        <f>HYPERLINK("https://www.epingalert.org/en/Search?viewData= G/SPS/N/RUS/7/Add.1"," G/SPS/N/RUS/7/Add.1")</f>
      </c>
      <c r="D543" s="8" t="s">
        <v>2552</v>
      </c>
      <c r="E543" s="8" t="s">
        <v>2553</v>
      </c>
      <c r="F543" s="8"/>
      <c r="G543" s="8" t="s">
        <v>2544</v>
      </c>
      <c r="H543" s="8" t="s">
        <v>36</v>
      </c>
      <c r="I543" s="8" t="s">
        <v>37</v>
      </c>
      <c r="J543" s="8" t="s">
        <v>1810</v>
      </c>
      <c r="K543" s="6"/>
      <c r="L543" s="7" t="s">
        <v>36</v>
      </c>
      <c r="M543" s="6" t="s">
        <v>179</v>
      </c>
      <c r="N543" s="8" t="s">
        <v>2545</v>
      </c>
      <c r="O543" s="6">
        <f>HYPERLINK("https://docs.wto.org/imrd/directdoc.asp?DDFDocuments/t/G/SPS/NRUS7A1.pdf", "https://docs.wto.org/imrd/directdoc.asp?DDFDocuments/t/G/SPS/NRUS7A1.pdf")</f>
      </c>
      <c r="P543" s="6">
        <f>HYPERLINK("https://docs.wto.org/imrd/directdoc.asp?DDFDocuments/u/G/SPS/NRUS7A1.pdf", "https://docs.wto.org/imrd/directdoc.asp?DDFDocuments/u/G/SPS/NRUS7A1.pdf")</f>
      </c>
      <c r="Q543" s="6">
        <f>HYPERLINK("https://docs.wto.org/imrd/directdoc.asp?DDFDocuments/v/G/SPS/NRUS7A1.pdf", "https://docs.wto.org/imrd/directdoc.asp?DDFDocuments/v/G/SPS/NRUS7A1.pdf")</f>
      </c>
      <c r="R543" s="0" t="s">
        <v>36</v>
      </c>
      <c r="S543" s="0" t="s">
        <v>36</v>
      </c>
      <c r="T543" s="0" t="s">
        <v>36</v>
      </c>
      <c r="U543" s="0" t="s">
        <v>36</v>
      </c>
      <c r="V543" s="0" t="s">
        <v>36</v>
      </c>
      <c r="W543" s="0" t="s">
        <v>36</v>
      </c>
      <c r="X543" s="0" t="s">
        <v>36</v>
      </c>
      <c r="Y543" s="2" t="s">
        <v>36</v>
      </c>
      <c r="Z543" s="0" t="s">
        <v>36</v>
      </c>
      <c r="AA543" s="0" t="s">
        <v>36</v>
      </c>
      <c r="AB543" s="0" t="s">
        <v>36</v>
      </c>
      <c r="AC543" s="0" t="s">
        <v>36</v>
      </c>
      <c r="AD543" s="0" t="s">
        <v>36</v>
      </c>
      <c r="AE543" s="2" t="s">
        <v>36</v>
      </c>
    </row>
    <row r="544">
      <c r="A544" s="6" t="s">
        <v>31</v>
      </c>
      <c r="B544" s="7">
        <v>41613</v>
      </c>
      <c r="C544" s="9">
        <f>HYPERLINK("https://www.epingalert.org/en/Search?viewData= G/SPS/N/RUS/16/Add.1"," G/SPS/N/RUS/16/Add.1")</f>
      </c>
      <c r="D544" s="8" t="s">
        <v>2554</v>
      </c>
      <c r="E544" s="8" t="s">
        <v>2555</v>
      </c>
      <c r="F544" s="8"/>
      <c r="G544" s="8" t="s">
        <v>2556</v>
      </c>
      <c r="H544" s="8" t="s">
        <v>36</v>
      </c>
      <c r="I544" s="8" t="s">
        <v>332</v>
      </c>
      <c r="J544" s="8" t="s">
        <v>1810</v>
      </c>
      <c r="K544" s="6"/>
      <c r="L544" s="7" t="s">
        <v>36</v>
      </c>
      <c r="M544" s="6" t="s">
        <v>179</v>
      </c>
      <c r="N544" s="6"/>
      <c r="O544" s="6">
        <f>HYPERLINK("https://docs.wto.org/imrd/directdoc.asp?DDFDocuments/t/G/SPS/NRUS16A1.pdf", "https://docs.wto.org/imrd/directdoc.asp?DDFDocuments/t/G/SPS/NRUS16A1.pdf")</f>
      </c>
      <c r="P544" s="6">
        <f>HYPERLINK("https://docs.wto.org/imrd/directdoc.asp?DDFDocuments/u/G/SPS/NRUS16A1.pdf", "https://docs.wto.org/imrd/directdoc.asp?DDFDocuments/u/G/SPS/NRUS16A1.pdf")</f>
      </c>
      <c r="Q544" s="6">
        <f>HYPERLINK("https://docs.wto.org/imrd/directdoc.asp?DDFDocuments/v/G/SPS/NRUS16A1.pdf", "https://docs.wto.org/imrd/directdoc.asp?DDFDocuments/v/G/SPS/NRUS16A1.pdf")</f>
      </c>
      <c r="R544" s="0" t="s">
        <v>36</v>
      </c>
      <c r="S544" s="0" t="s">
        <v>36</v>
      </c>
      <c r="T544" s="0" t="s">
        <v>36</v>
      </c>
      <c r="U544" s="0" t="s">
        <v>36</v>
      </c>
      <c r="V544" s="0" t="s">
        <v>36</v>
      </c>
      <c r="W544" s="0" t="s">
        <v>36</v>
      </c>
      <c r="X544" s="0" t="s">
        <v>36</v>
      </c>
      <c r="Y544" s="2" t="s">
        <v>36</v>
      </c>
      <c r="Z544" s="0" t="s">
        <v>36</v>
      </c>
      <c r="AA544" s="0" t="s">
        <v>36</v>
      </c>
      <c r="AB544" s="0" t="s">
        <v>36</v>
      </c>
      <c r="AC544" s="0" t="s">
        <v>36</v>
      </c>
      <c r="AD544" s="0" t="s">
        <v>36</v>
      </c>
      <c r="AE544" s="2" t="s">
        <v>36</v>
      </c>
    </row>
    <row r="545">
      <c r="A545" s="6" t="s">
        <v>31</v>
      </c>
      <c r="B545" s="7">
        <v>41610</v>
      </c>
      <c r="C545" s="9">
        <f>HYPERLINK("https://www.epingalert.org/en/Search?viewData= G/SPS/N/RUS/28/Add.1"," G/SPS/N/RUS/28/Add.1")</f>
      </c>
      <c r="D545" s="8" t="s">
        <v>2557</v>
      </c>
      <c r="E545" s="8" t="s">
        <v>2558</v>
      </c>
      <c r="F545" s="8"/>
      <c r="G545" s="8" t="s">
        <v>2559</v>
      </c>
      <c r="H545" s="8" t="s">
        <v>36</v>
      </c>
      <c r="I545" s="8" t="s">
        <v>1328</v>
      </c>
      <c r="J545" s="8" t="s">
        <v>1652</v>
      </c>
      <c r="K545" s="6"/>
      <c r="L545" s="7" t="s">
        <v>36</v>
      </c>
      <c r="M545" s="6" t="s">
        <v>1211</v>
      </c>
      <c r="N545" s="8" t="s">
        <v>2560</v>
      </c>
      <c r="O545" s="6">
        <f>HYPERLINK("https://docs.wto.org/imrd/directdoc.asp?DDFDocuments/t/G/SPS/NRUS28A1.pdf", "https://docs.wto.org/imrd/directdoc.asp?DDFDocuments/t/G/SPS/NRUS28A1.pdf")</f>
      </c>
      <c r="P545" s="6">
        <f>HYPERLINK("https://docs.wto.org/imrd/directdoc.asp?DDFDocuments/u/G/SPS/NRUS28A1.pdf", "https://docs.wto.org/imrd/directdoc.asp?DDFDocuments/u/G/SPS/NRUS28A1.pdf")</f>
      </c>
      <c r="Q545" s="6">
        <f>HYPERLINK("https://docs.wto.org/imrd/directdoc.asp?DDFDocuments/v/G/SPS/NRUS28A1.pdf", "https://docs.wto.org/imrd/directdoc.asp?DDFDocuments/v/G/SPS/NRUS28A1.pdf")</f>
      </c>
      <c r="R545" s="0" t="s">
        <v>36</v>
      </c>
      <c r="S545" s="0" t="s">
        <v>36</v>
      </c>
      <c r="T545" s="0" t="s">
        <v>36</v>
      </c>
      <c r="U545" s="0" t="s">
        <v>36</v>
      </c>
      <c r="V545" s="0" t="s">
        <v>36</v>
      </c>
      <c r="W545" s="0" t="s">
        <v>36</v>
      </c>
      <c r="X545" s="0" t="s">
        <v>36</v>
      </c>
      <c r="Y545" s="2" t="s">
        <v>36</v>
      </c>
      <c r="Z545" s="0" t="s">
        <v>36</v>
      </c>
      <c r="AA545" s="0" t="s">
        <v>36</v>
      </c>
      <c r="AB545" s="0" t="s">
        <v>36</v>
      </c>
      <c r="AC545" s="0" t="s">
        <v>36</v>
      </c>
      <c r="AD545" s="0" t="s">
        <v>36</v>
      </c>
      <c r="AE545" s="2" t="s">
        <v>36</v>
      </c>
    </row>
    <row r="546">
      <c r="A546" s="6" t="s">
        <v>31</v>
      </c>
      <c r="B546" s="7">
        <v>41599</v>
      </c>
      <c r="C546" s="9">
        <f>HYPERLINK("https://www.epingalert.org/en/Search?viewData= G/SPS/N/RUS/29/Add.1"," G/SPS/N/RUS/29/Add.1")</f>
      </c>
      <c r="D546" s="8" t="s">
        <v>2561</v>
      </c>
      <c r="E546" s="8" t="s">
        <v>2562</v>
      </c>
      <c r="F546" s="8"/>
      <c r="G546" s="8" t="s">
        <v>2530</v>
      </c>
      <c r="H546" s="8" t="s">
        <v>36</v>
      </c>
      <c r="I546" s="8" t="s">
        <v>332</v>
      </c>
      <c r="J546" s="8" t="s">
        <v>1652</v>
      </c>
      <c r="K546" s="6"/>
      <c r="L546" s="7" t="s">
        <v>36</v>
      </c>
      <c r="M546" s="6" t="s">
        <v>1211</v>
      </c>
      <c r="N546" s="8" t="s">
        <v>2563</v>
      </c>
      <c r="O546" s="6">
        <f>HYPERLINK("https://docs.wto.org/imrd/directdoc.asp?DDFDocuments/t/G/SPS/NRUS29A1.pdf", "https://docs.wto.org/imrd/directdoc.asp?DDFDocuments/t/G/SPS/NRUS29A1.pdf")</f>
      </c>
      <c r="P546" s="6">
        <f>HYPERLINK("https://docs.wto.org/imrd/directdoc.asp?DDFDocuments/u/G/SPS/NRUS29A1.pdf", "https://docs.wto.org/imrd/directdoc.asp?DDFDocuments/u/G/SPS/NRUS29A1.pdf")</f>
      </c>
      <c r="Q546" s="6">
        <f>HYPERLINK("https://docs.wto.org/imrd/directdoc.asp?DDFDocuments/v/G/SPS/NRUS29A1.pdf", "https://docs.wto.org/imrd/directdoc.asp?DDFDocuments/v/G/SPS/NRUS29A1.pdf")</f>
      </c>
      <c r="R546" s="0" t="s">
        <v>36</v>
      </c>
      <c r="S546" s="0" t="s">
        <v>36</v>
      </c>
      <c r="T546" s="0" t="s">
        <v>36</v>
      </c>
      <c r="U546" s="0" t="s">
        <v>36</v>
      </c>
      <c r="V546" s="0" t="s">
        <v>36</v>
      </c>
      <c r="W546" s="0" t="s">
        <v>36</v>
      </c>
      <c r="X546" s="0" t="s">
        <v>36</v>
      </c>
      <c r="Y546" s="2" t="s">
        <v>36</v>
      </c>
      <c r="Z546" s="0" t="s">
        <v>36</v>
      </c>
      <c r="AA546" s="0" t="s">
        <v>36</v>
      </c>
      <c r="AB546" s="0" t="s">
        <v>36</v>
      </c>
      <c r="AC546" s="0" t="s">
        <v>36</v>
      </c>
      <c r="AD546" s="0" t="s">
        <v>36</v>
      </c>
      <c r="AE546" s="2" t="s">
        <v>36</v>
      </c>
    </row>
    <row r="547">
      <c r="A547" s="6" t="s">
        <v>31</v>
      </c>
      <c r="B547" s="7">
        <v>41593</v>
      </c>
      <c r="C547" s="9">
        <f>HYPERLINK("https://www.epingalert.org/en/Search?viewData= G/SPS/N/RUS/27/Add.1"," G/SPS/N/RUS/27/Add.1")</f>
      </c>
      <c r="D547" s="8" t="s">
        <v>2564</v>
      </c>
      <c r="E547" s="8" t="s">
        <v>2565</v>
      </c>
      <c r="F547" s="8"/>
      <c r="G547" s="8" t="s">
        <v>2566</v>
      </c>
      <c r="H547" s="8" t="s">
        <v>36</v>
      </c>
      <c r="I547" s="8" t="s">
        <v>1328</v>
      </c>
      <c r="J547" s="8" t="s">
        <v>1652</v>
      </c>
      <c r="K547" s="6"/>
      <c r="L547" s="7" t="s">
        <v>36</v>
      </c>
      <c r="M547" s="6" t="s">
        <v>1211</v>
      </c>
      <c r="N547" s="8" t="s">
        <v>2567</v>
      </c>
      <c r="O547" s="6">
        <f>HYPERLINK("https://docs.wto.org/imrd/directdoc.asp?DDFDocuments/t/G/SPS/NRUS27A1.pdf", "https://docs.wto.org/imrd/directdoc.asp?DDFDocuments/t/G/SPS/NRUS27A1.pdf")</f>
      </c>
      <c r="P547" s="6">
        <f>HYPERLINK("https://docs.wto.org/imrd/directdoc.asp?DDFDocuments/u/G/SPS/NRUS27A1.pdf", "https://docs.wto.org/imrd/directdoc.asp?DDFDocuments/u/G/SPS/NRUS27A1.pdf")</f>
      </c>
      <c r="Q547" s="6">
        <f>HYPERLINK("https://docs.wto.org/imrd/directdoc.asp?DDFDocuments/v/G/SPS/NRUS27A1.pdf", "https://docs.wto.org/imrd/directdoc.asp?DDFDocuments/v/G/SPS/NRUS27A1.pdf")</f>
      </c>
      <c r="R547" s="0" t="s">
        <v>36</v>
      </c>
      <c r="S547" s="0" t="s">
        <v>36</v>
      </c>
      <c r="T547" s="0" t="s">
        <v>36</v>
      </c>
      <c r="U547" s="0" t="s">
        <v>36</v>
      </c>
      <c r="V547" s="0" t="s">
        <v>36</v>
      </c>
      <c r="W547" s="0" t="s">
        <v>36</v>
      </c>
      <c r="X547" s="0" t="s">
        <v>36</v>
      </c>
      <c r="Y547" s="2" t="s">
        <v>36</v>
      </c>
      <c r="Z547" s="0" t="s">
        <v>36</v>
      </c>
      <c r="AA547" s="0" t="s">
        <v>36</v>
      </c>
      <c r="AB547" s="0" t="s">
        <v>36</v>
      </c>
      <c r="AC547" s="0" t="s">
        <v>36</v>
      </c>
      <c r="AD547" s="0" t="s">
        <v>36</v>
      </c>
      <c r="AE547" s="2" t="s">
        <v>36</v>
      </c>
    </row>
    <row r="548">
      <c r="A548" s="6" t="s">
        <v>31</v>
      </c>
      <c r="B548" s="7">
        <v>41576</v>
      </c>
      <c r="C548" s="9">
        <f>HYPERLINK("https://www.epingalert.org/en/Search?viewData= G/SPS/N/RUS/38"," G/SPS/N/RUS/38")</f>
      </c>
      <c r="D548" s="8" t="s">
        <v>2568</v>
      </c>
      <c r="E548" s="8" t="s">
        <v>2569</v>
      </c>
      <c r="F548" s="8" t="s">
        <v>2500</v>
      </c>
      <c r="G548" s="8" t="s">
        <v>2570</v>
      </c>
      <c r="H548" s="8" t="s">
        <v>36</v>
      </c>
      <c r="I548" s="8" t="s">
        <v>37</v>
      </c>
      <c r="J548" s="8" t="s">
        <v>2571</v>
      </c>
      <c r="K548" s="6"/>
      <c r="L548" s="7">
        <v>41636</v>
      </c>
      <c r="M548" s="6" t="s">
        <v>51</v>
      </c>
      <c r="N548" s="8" t="s">
        <v>2422</v>
      </c>
      <c r="O548" s="6">
        <f>HYPERLINK("https://docs.wto.org/imrd/directdoc.asp?DDFDocuments/t/G/SPS/NRUS38.pdf", "https://docs.wto.org/imrd/directdoc.asp?DDFDocuments/t/G/SPS/NRUS38.pdf")</f>
      </c>
      <c r="P548" s="6">
        <f>HYPERLINK("https://docs.wto.org/imrd/directdoc.asp?DDFDocuments/u/G/SPS/NRUS38.pdf", "https://docs.wto.org/imrd/directdoc.asp?DDFDocuments/u/G/SPS/NRUS38.pdf")</f>
      </c>
      <c r="Q548" s="6">
        <f>HYPERLINK("https://docs.wto.org/imrd/directdoc.asp?DDFDocuments/v/G/SPS/NRUS38.pdf", "https://docs.wto.org/imrd/directdoc.asp?DDFDocuments/v/G/SPS/NRUS38.pdf")</f>
      </c>
      <c r="R548" s="0" t="s">
        <v>36</v>
      </c>
      <c r="S548" s="0" t="s">
        <v>36</v>
      </c>
      <c r="T548" s="0" t="s">
        <v>36</v>
      </c>
      <c r="U548" s="0" t="s">
        <v>36</v>
      </c>
      <c r="V548" s="0" t="s">
        <v>36</v>
      </c>
      <c r="W548" s="0" t="s">
        <v>36</v>
      </c>
      <c r="X548" s="0" t="s">
        <v>36</v>
      </c>
      <c r="Y548" s="2" t="s">
        <v>36</v>
      </c>
      <c r="Z548" s="0" t="s">
        <v>42</v>
      </c>
      <c r="AA548" s="0" t="s">
        <v>43</v>
      </c>
      <c r="AB548" s="0" t="s">
        <v>42</v>
      </c>
      <c r="AC548" s="0" t="s">
        <v>42</v>
      </c>
      <c r="AD548" s="0" t="s">
        <v>43</v>
      </c>
      <c r="AE548" s="2"/>
    </row>
    <row r="549">
      <c r="A549" s="6" t="s">
        <v>31</v>
      </c>
      <c r="B549" s="7">
        <v>41575</v>
      </c>
      <c r="C549" s="9">
        <f>HYPERLINK("https://www.epingalert.org/en/Search?viewData= G/SPS/N/RUS/19/Add.1"," G/SPS/N/RUS/19/Add.1")</f>
      </c>
      <c r="D549" s="8" t="s">
        <v>2572</v>
      </c>
      <c r="E549" s="8" t="s">
        <v>2573</v>
      </c>
      <c r="F549" s="8"/>
      <c r="G549" s="8" t="s">
        <v>2482</v>
      </c>
      <c r="H549" s="8" t="s">
        <v>36</v>
      </c>
      <c r="I549" s="8" t="s">
        <v>1328</v>
      </c>
      <c r="J549" s="8" t="s">
        <v>1652</v>
      </c>
      <c r="K549" s="6"/>
      <c r="L549" s="7" t="s">
        <v>36</v>
      </c>
      <c r="M549" s="6" t="s">
        <v>1211</v>
      </c>
      <c r="N549" s="8" t="s">
        <v>2574</v>
      </c>
      <c r="O549" s="6">
        <f>HYPERLINK("https://docs.wto.org/imrd/directdoc.asp?DDFDocuments/t/G/SPS/NRUS19A1.pdf", "https://docs.wto.org/imrd/directdoc.asp?DDFDocuments/t/G/SPS/NRUS19A1.pdf")</f>
      </c>
      <c r="P549" s="6">
        <f>HYPERLINK("https://docs.wto.org/imrd/directdoc.asp?DDFDocuments/u/G/SPS/NRUS19A1.pdf", "https://docs.wto.org/imrd/directdoc.asp?DDFDocuments/u/G/SPS/NRUS19A1.pdf")</f>
      </c>
      <c r="Q549" s="6">
        <f>HYPERLINK("https://docs.wto.org/imrd/directdoc.asp?DDFDocuments/v/G/SPS/NRUS19A1.pdf", "https://docs.wto.org/imrd/directdoc.asp?DDFDocuments/v/G/SPS/NRUS19A1.pdf")</f>
      </c>
      <c r="R549" s="0" t="s">
        <v>36</v>
      </c>
      <c r="S549" s="0" t="s">
        <v>36</v>
      </c>
      <c r="T549" s="0" t="s">
        <v>36</v>
      </c>
      <c r="U549" s="0" t="s">
        <v>36</v>
      </c>
      <c r="V549" s="0" t="s">
        <v>36</v>
      </c>
      <c r="W549" s="0" t="s">
        <v>36</v>
      </c>
      <c r="X549" s="0" t="s">
        <v>36</v>
      </c>
      <c r="Y549" s="2" t="s">
        <v>36</v>
      </c>
      <c r="Z549" s="0" t="s">
        <v>36</v>
      </c>
      <c r="AA549" s="0" t="s">
        <v>36</v>
      </c>
      <c r="AB549" s="0" t="s">
        <v>36</v>
      </c>
      <c r="AC549" s="0" t="s">
        <v>36</v>
      </c>
      <c r="AD549" s="0" t="s">
        <v>36</v>
      </c>
      <c r="AE549" s="2" t="s">
        <v>36</v>
      </c>
    </row>
    <row r="550">
      <c r="A550" s="6" t="s">
        <v>31</v>
      </c>
      <c r="B550" s="7">
        <v>41575</v>
      </c>
      <c r="C550" s="9">
        <f>HYPERLINK("https://www.epingalert.org/en/Search?viewData= G/SPS/N/RUS/18/Add.1"," G/SPS/N/RUS/18/Add.1")</f>
      </c>
      <c r="D550" s="8" t="s">
        <v>2575</v>
      </c>
      <c r="E550" s="8" t="s">
        <v>2576</v>
      </c>
      <c r="F550" s="8"/>
      <c r="G550" s="8" t="s">
        <v>1036</v>
      </c>
      <c r="H550" s="8" t="s">
        <v>36</v>
      </c>
      <c r="I550" s="8" t="s">
        <v>1328</v>
      </c>
      <c r="J550" s="8" t="s">
        <v>1652</v>
      </c>
      <c r="K550" s="6"/>
      <c r="L550" s="7" t="s">
        <v>36</v>
      </c>
      <c r="M550" s="6" t="s">
        <v>1211</v>
      </c>
      <c r="N550" s="8" t="s">
        <v>2577</v>
      </c>
      <c r="O550" s="6">
        <f>HYPERLINK("https://docs.wto.org/imrd/directdoc.asp?DDFDocuments/t/G/SPS/NRUS18A1.pdf", "https://docs.wto.org/imrd/directdoc.asp?DDFDocuments/t/G/SPS/NRUS18A1.pdf")</f>
      </c>
      <c r="P550" s="6">
        <f>HYPERLINK("https://docs.wto.org/imrd/directdoc.asp?DDFDocuments/u/G/SPS/NRUS18A1.pdf", "https://docs.wto.org/imrd/directdoc.asp?DDFDocuments/u/G/SPS/NRUS18A1.pdf")</f>
      </c>
      <c r="Q550" s="6">
        <f>HYPERLINK("https://docs.wto.org/imrd/directdoc.asp?DDFDocuments/v/G/SPS/NRUS18A1.pdf", "https://docs.wto.org/imrd/directdoc.asp?DDFDocuments/v/G/SPS/NRUS18A1.pdf")</f>
      </c>
      <c r="R550" s="0" t="s">
        <v>36</v>
      </c>
      <c r="S550" s="0" t="s">
        <v>36</v>
      </c>
      <c r="T550" s="0" t="s">
        <v>36</v>
      </c>
      <c r="U550" s="0" t="s">
        <v>36</v>
      </c>
      <c r="V550" s="0" t="s">
        <v>36</v>
      </c>
      <c r="W550" s="0" t="s">
        <v>36</v>
      </c>
      <c r="X550" s="0" t="s">
        <v>36</v>
      </c>
      <c r="Y550" s="2" t="s">
        <v>36</v>
      </c>
      <c r="Z550" s="0" t="s">
        <v>36</v>
      </c>
      <c r="AA550" s="0" t="s">
        <v>36</v>
      </c>
      <c r="AB550" s="0" t="s">
        <v>36</v>
      </c>
      <c r="AC550" s="0" t="s">
        <v>36</v>
      </c>
      <c r="AD550" s="0" t="s">
        <v>36</v>
      </c>
      <c r="AE550" s="2" t="s">
        <v>36</v>
      </c>
    </row>
    <row r="551">
      <c r="A551" s="6" t="s">
        <v>31</v>
      </c>
      <c r="B551" s="7">
        <v>41569</v>
      </c>
      <c r="C551" s="9">
        <f>HYPERLINK("https://www.epingalert.org/en/Search?viewData= G/SPS/N/RUS/37"," G/SPS/N/RUS/37")</f>
      </c>
      <c r="D551" s="8" t="s">
        <v>2578</v>
      </c>
      <c r="E551" s="8" t="s">
        <v>2579</v>
      </c>
      <c r="F551" s="8" t="s">
        <v>2500</v>
      </c>
      <c r="G551" s="8" t="s">
        <v>1967</v>
      </c>
      <c r="H551" s="8" t="s">
        <v>36</v>
      </c>
      <c r="I551" s="8" t="s">
        <v>97</v>
      </c>
      <c r="J551" s="8" t="s">
        <v>105</v>
      </c>
      <c r="K551" s="6"/>
      <c r="L551" s="7">
        <v>41629</v>
      </c>
      <c r="M551" s="6" t="s">
        <v>51</v>
      </c>
      <c r="N551" s="8" t="s">
        <v>2422</v>
      </c>
      <c r="O551" s="6">
        <f>HYPERLINK("https://docs.wto.org/imrd/directdoc.asp?DDFDocuments/t/G/SPS/NRUS37.pdf", "https://docs.wto.org/imrd/directdoc.asp?DDFDocuments/t/G/SPS/NRUS37.pdf")</f>
      </c>
      <c r="P551" s="6">
        <f>HYPERLINK("https://docs.wto.org/imrd/directdoc.asp?DDFDocuments/u/G/SPS/NRUS37.pdf", "https://docs.wto.org/imrd/directdoc.asp?DDFDocuments/u/G/SPS/NRUS37.pdf")</f>
      </c>
      <c r="Q551" s="6">
        <f>HYPERLINK("https://docs.wto.org/imrd/directdoc.asp?DDFDocuments/v/G/SPS/NRUS37.pdf", "https://docs.wto.org/imrd/directdoc.asp?DDFDocuments/v/G/SPS/NRUS37.pdf")</f>
      </c>
      <c r="R551" s="0" t="s">
        <v>36</v>
      </c>
      <c r="S551" s="0" t="s">
        <v>36</v>
      </c>
      <c r="T551" s="0" t="s">
        <v>36</v>
      </c>
      <c r="U551" s="0" t="s">
        <v>36</v>
      </c>
      <c r="V551" s="0" t="s">
        <v>36</v>
      </c>
      <c r="W551" s="0" t="s">
        <v>36</v>
      </c>
      <c r="X551" s="0" t="s">
        <v>36</v>
      </c>
      <c r="Y551" s="2" t="s">
        <v>36</v>
      </c>
      <c r="Z551" s="0" t="s">
        <v>42</v>
      </c>
      <c r="AA551" s="0" t="s">
        <v>43</v>
      </c>
      <c r="AB551" s="0" t="s">
        <v>42</v>
      </c>
      <c r="AC551" s="0" t="s">
        <v>42</v>
      </c>
      <c r="AD551" s="0" t="s">
        <v>43</v>
      </c>
      <c r="AE551" s="2"/>
    </row>
    <row r="552">
      <c r="A552" s="6" t="s">
        <v>31</v>
      </c>
      <c r="B552" s="7">
        <v>41568</v>
      </c>
      <c r="C552" s="9">
        <f>HYPERLINK("https://www.epingalert.org/en/Search?viewData= G/SPS/N/RUS/35/Corr.1"," G/SPS/N/RUS/35/Corr.1")</f>
      </c>
      <c r="D552" s="8" t="s">
        <v>2580</v>
      </c>
      <c r="E552" s="8" t="s">
        <v>2581</v>
      </c>
      <c r="F552" s="8"/>
      <c r="G552" s="8" t="s">
        <v>2479</v>
      </c>
      <c r="H552" s="8" t="s">
        <v>36</v>
      </c>
      <c r="I552" s="8" t="s">
        <v>1328</v>
      </c>
      <c r="J552" s="8" t="s">
        <v>2582</v>
      </c>
      <c r="K552" s="6"/>
      <c r="L552" s="7" t="s">
        <v>36</v>
      </c>
      <c r="M552" s="6" t="s">
        <v>690</v>
      </c>
      <c r="N552" s="6"/>
      <c r="O552" s="6">
        <f>HYPERLINK("https://docs.wto.org/imrd/directdoc.asp?DDFDocuments/t/G/SPS/NRUS35C1.pdf", "https://docs.wto.org/imrd/directdoc.asp?DDFDocuments/t/G/SPS/NRUS35C1.pdf")</f>
      </c>
      <c r="P552" s="6">
        <f>HYPERLINK("https://docs.wto.org/imrd/directdoc.asp?DDFDocuments/u/G/SPS/NRUS35C1.pdf", "https://docs.wto.org/imrd/directdoc.asp?DDFDocuments/u/G/SPS/NRUS35C1.pdf")</f>
      </c>
      <c r="Q552" s="6">
        <f>HYPERLINK("https://docs.wto.org/imrd/directdoc.asp?DDFDocuments/v/G/SPS/NRUS35C1.pdf", "https://docs.wto.org/imrd/directdoc.asp?DDFDocuments/v/G/SPS/NRUS35C1.pdf")</f>
      </c>
      <c r="R552" s="0" t="s">
        <v>36</v>
      </c>
      <c r="S552" s="0" t="s">
        <v>36</v>
      </c>
      <c r="T552" s="0" t="s">
        <v>36</v>
      </c>
      <c r="U552" s="0" t="s">
        <v>36</v>
      </c>
      <c r="V552" s="0" t="s">
        <v>36</v>
      </c>
      <c r="W552" s="0" t="s">
        <v>36</v>
      </c>
      <c r="X552" s="0" t="s">
        <v>36</v>
      </c>
      <c r="Y552" s="2" t="s">
        <v>36</v>
      </c>
      <c r="Z552" s="0" t="s">
        <v>36</v>
      </c>
      <c r="AA552" s="0" t="s">
        <v>36</v>
      </c>
      <c r="AB552" s="0" t="s">
        <v>36</v>
      </c>
      <c r="AC552" s="0" t="s">
        <v>36</v>
      </c>
      <c r="AD552" s="0" t="s">
        <v>36</v>
      </c>
      <c r="AE552" s="2" t="s">
        <v>36</v>
      </c>
    </row>
    <row r="553">
      <c r="A553" s="6" t="s">
        <v>31</v>
      </c>
      <c r="B553" s="7">
        <v>41564</v>
      </c>
      <c r="C553" s="9">
        <f>HYPERLINK("https://www.epingalert.org/en/Search?viewData= G/SPS/N/RUS/36"," G/SPS/N/RUS/36")</f>
      </c>
      <c r="D553" s="8" t="s">
        <v>2465</v>
      </c>
      <c r="E553" s="8" t="s">
        <v>2583</v>
      </c>
      <c r="F553" s="8" t="s">
        <v>2584</v>
      </c>
      <c r="G553" s="8" t="s">
        <v>484</v>
      </c>
      <c r="H553" s="8" t="s">
        <v>36</v>
      </c>
      <c r="I553" s="8" t="s">
        <v>37</v>
      </c>
      <c r="J553" s="8" t="s">
        <v>2585</v>
      </c>
      <c r="K553" s="6"/>
      <c r="L553" s="7">
        <v>41624</v>
      </c>
      <c r="M553" s="6" t="s">
        <v>51</v>
      </c>
      <c r="N553" s="8" t="s">
        <v>2422</v>
      </c>
      <c r="O553" s="6">
        <f>HYPERLINK("https://docs.wto.org/imrd/directdoc.asp?DDFDocuments/t/G/SPS/NRUS36.pdf", "https://docs.wto.org/imrd/directdoc.asp?DDFDocuments/t/G/SPS/NRUS36.pdf")</f>
      </c>
      <c r="P553" s="6">
        <f>HYPERLINK("https://docs.wto.org/imrd/directdoc.asp?DDFDocuments/u/G/SPS/NRUS36.pdf", "https://docs.wto.org/imrd/directdoc.asp?DDFDocuments/u/G/SPS/NRUS36.pdf")</f>
      </c>
      <c r="Q553" s="6">
        <f>HYPERLINK("https://docs.wto.org/imrd/directdoc.asp?DDFDocuments/v/G/SPS/NRUS36.pdf", "https://docs.wto.org/imrd/directdoc.asp?DDFDocuments/v/G/SPS/NRUS36.pdf")</f>
      </c>
      <c r="R553" s="0" t="s">
        <v>36</v>
      </c>
      <c r="S553" s="0" t="s">
        <v>36</v>
      </c>
      <c r="T553" s="0" t="s">
        <v>36</v>
      </c>
      <c r="U553" s="0" t="s">
        <v>36</v>
      </c>
      <c r="V553" s="0" t="s">
        <v>36</v>
      </c>
      <c r="W553" s="0" t="s">
        <v>36</v>
      </c>
      <c r="X553" s="0" t="s">
        <v>36</v>
      </c>
      <c r="Y553" s="2" t="s">
        <v>36</v>
      </c>
      <c r="Z553" s="0" t="s">
        <v>42</v>
      </c>
      <c r="AA553" s="0" t="s">
        <v>43</v>
      </c>
      <c r="AB553" s="0" t="s">
        <v>42</v>
      </c>
      <c r="AC553" s="0" t="s">
        <v>42</v>
      </c>
      <c r="AD553" s="0" t="s">
        <v>43</v>
      </c>
      <c r="AE553" s="2"/>
    </row>
    <row r="554">
      <c r="A554" s="6" t="s">
        <v>31</v>
      </c>
      <c r="B554" s="7">
        <v>41558</v>
      </c>
      <c r="C554" s="9">
        <f>HYPERLINK("https://www.epingalert.org/en/Search?viewData= G/SPS/N/RUS/35"," G/SPS/N/RUS/35")</f>
      </c>
      <c r="D554" s="8" t="s">
        <v>2586</v>
      </c>
      <c r="E554" s="8" t="s">
        <v>2587</v>
      </c>
      <c r="F554" s="8" t="s">
        <v>2588</v>
      </c>
      <c r="G554" s="8" t="s">
        <v>2589</v>
      </c>
      <c r="H554" s="8" t="s">
        <v>36</v>
      </c>
      <c r="I554" s="8" t="s">
        <v>1328</v>
      </c>
      <c r="J554" s="8" t="s">
        <v>2590</v>
      </c>
      <c r="K554" s="6" t="s">
        <v>978</v>
      </c>
      <c r="L554" s="7" t="s">
        <v>36</v>
      </c>
      <c r="M554" s="6" t="s">
        <v>40</v>
      </c>
      <c r="N554" s="6"/>
      <c r="O554" s="6">
        <f>HYPERLINK("https://docs.wto.org/imrd/directdoc.asp?DDFDocuments/t/G/SPS/NRUS35.pdf", "https://docs.wto.org/imrd/directdoc.asp?DDFDocuments/t/G/SPS/NRUS35.pdf")</f>
      </c>
      <c r="P554" s="6">
        <f>HYPERLINK("https://docs.wto.org/imrd/directdoc.asp?DDFDocuments/u/G/SPS/NRUS35.pdf", "https://docs.wto.org/imrd/directdoc.asp?DDFDocuments/u/G/SPS/NRUS35.pdf")</f>
      </c>
      <c r="Q554" s="6">
        <f>HYPERLINK("https://docs.wto.org/imrd/directdoc.asp?DDFDocuments/v/G/SPS/NRUS35.pdf", "https://docs.wto.org/imrd/directdoc.asp?DDFDocuments/v/G/SPS/NRUS35.pdf")</f>
      </c>
      <c r="R554" s="0" t="s">
        <v>36</v>
      </c>
      <c r="S554" s="0" t="s">
        <v>36</v>
      </c>
      <c r="T554" s="0" t="s">
        <v>36</v>
      </c>
      <c r="U554" s="0" t="s">
        <v>36</v>
      </c>
      <c r="V554" s="0" t="s">
        <v>36</v>
      </c>
      <c r="W554" s="0" t="s">
        <v>36</v>
      </c>
      <c r="X554" s="0" t="s">
        <v>36</v>
      </c>
      <c r="Y554" s="2" t="s">
        <v>36</v>
      </c>
      <c r="Z554" s="0" t="s">
        <v>43</v>
      </c>
      <c r="AA554" s="0" t="s">
        <v>42</v>
      </c>
      <c r="AB554" s="0" t="s">
        <v>42</v>
      </c>
      <c r="AC554" s="0" t="s">
        <v>42</v>
      </c>
      <c r="AD554" s="0" t="s">
        <v>43</v>
      </c>
      <c r="AE554" s="2"/>
    </row>
    <row r="555">
      <c r="A555" s="6" t="s">
        <v>31</v>
      </c>
      <c r="B555" s="7">
        <v>41554</v>
      </c>
      <c r="C555" s="9">
        <f>HYPERLINK("https://www.epingalert.org/en/Search?viewData= G/SPS/N/RUS/34"," G/SPS/N/RUS/34")</f>
      </c>
      <c r="D555" s="8" t="s">
        <v>2444</v>
      </c>
      <c r="E555" s="8" t="s">
        <v>2591</v>
      </c>
      <c r="F555" s="8" t="s">
        <v>2592</v>
      </c>
      <c r="G555" s="8" t="s">
        <v>2593</v>
      </c>
      <c r="H555" s="8" t="s">
        <v>36</v>
      </c>
      <c r="I555" s="8" t="s">
        <v>36</v>
      </c>
      <c r="J555" s="8" t="s">
        <v>2594</v>
      </c>
      <c r="K555" s="6" t="s">
        <v>2595</v>
      </c>
      <c r="L555" s="7" t="s">
        <v>36</v>
      </c>
      <c r="M555" s="6" t="s">
        <v>40</v>
      </c>
      <c r="N555" s="6"/>
      <c r="O555" s="6">
        <f>HYPERLINK("https://docs.wto.org/imrd/directdoc.asp?DDFDocuments/t/G/SPS/NRUS34.pdf", "https://docs.wto.org/imrd/directdoc.asp?DDFDocuments/t/G/SPS/NRUS34.pdf")</f>
      </c>
      <c r="P555" s="6">
        <f>HYPERLINK("https://docs.wto.org/imrd/directdoc.asp?DDFDocuments/u/G/SPS/NRUS34.pdf", "https://docs.wto.org/imrd/directdoc.asp?DDFDocuments/u/G/SPS/NRUS34.pdf")</f>
      </c>
      <c r="Q555" s="6">
        <f>HYPERLINK("https://docs.wto.org/imrd/directdoc.asp?DDFDocuments/v/G/SPS/NRUS34.pdf", "https://docs.wto.org/imrd/directdoc.asp?DDFDocuments/v/G/SPS/NRUS34.pdf")</f>
      </c>
      <c r="R555" s="0" t="s">
        <v>36</v>
      </c>
      <c r="S555" s="0" t="s">
        <v>36</v>
      </c>
      <c r="T555" s="0" t="s">
        <v>36</v>
      </c>
      <c r="U555" s="0" t="s">
        <v>36</v>
      </c>
      <c r="V555" s="0" t="s">
        <v>36</v>
      </c>
      <c r="W555" s="0" t="s">
        <v>36</v>
      </c>
      <c r="X555" s="0" t="s">
        <v>36</v>
      </c>
      <c r="Y555" s="2" t="s">
        <v>36</v>
      </c>
      <c r="Z555" s="0" t="s">
        <v>42</v>
      </c>
      <c r="AA555" s="0" t="s">
        <v>42</v>
      </c>
      <c r="AB555" s="0" t="s">
        <v>42</v>
      </c>
      <c r="AC555" s="0" t="s">
        <v>42</v>
      </c>
      <c r="AD555" s="0" t="s">
        <v>42</v>
      </c>
      <c r="AE555" s="2"/>
    </row>
    <row r="556">
      <c r="A556" s="6" t="s">
        <v>31</v>
      </c>
      <c r="B556" s="7">
        <v>41541</v>
      </c>
      <c r="C556" s="9">
        <f>HYPERLINK("https://www.epingalert.org/en/Search?viewData= G/TBT/N/RUS/28"," G/TBT/N/RUS/28")</f>
      </c>
      <c r="D556" s="8" t="s">
        <v>2596</v>
      </c>
      <c r="E556" s="8" t="s">
        <v>2597</v>
      </c>
      <c r="F556" s="8" t="s">
        <v>2598</v>
      </c>
      <c r="G556" s="8" t="s">
        <v>36</v>
      </c>
      <c r="H556" s="8" t="s">
        <v>1869</v>
      </c>
      <c r="I556" s="8" t="s">
        <v>1637</v>
      </c>
      <c r="J556" s="8" t="s">
        <v>36</v>
      </c>
      <c r="K556" s="6"/>
      <c r="L556" s="7">
        <v>41601</v>
      </c>
      <c r="M556" s="6" t="s">
        <v>51</v>
      </c>
      <c r="N556" s="6"/>
      <c r="O556" s="6">
        <f>HYPERLINK("https://docs.wto.org/imrd/directdoc.asp?DDFDocuments/t/G/TBTN13/RUS28.DOC", "https://docs.wto.org/imrd/directdoc.asp?DDFDocuments/t/G/TBTN13/RUS28.DOC")</f>
      </c>
      <c r="P556" s="6">
        <f>HYPERLINK("https://docs.wto.org/imrd/directdoc.asp?DDFDocuments/u/G/TBTN13/RUS28.DOC", "https://docs.wto.org/imrd/directdoc.asp?DDFDocuments/u/G/TBTN13/RUS28.DOC")</f>
      </c>
      <c r="Q556" s="6">
        <f>HYPERLINK("https://docs.wto.org/imrd/directdoc.asp?DDFDocuments/v/G/TBTN13/RUS28.DOC", "https://docs.wto.org/imrd/directdoc.asp?DDFDocuments/v/G/TBTN13/RUS28.DOC")</f>
      </c>
      <c r="R556" s="0" t="s">
        <v>43</v>
      </c>
      <c r="S556" s="0" t="s">
        <v>42</v>
      </c>
      <c r="T556" s="0" t="s">
        <v>42</v>
      </c>
      <c r="U556" s="0" t="s">
        <v>42</v>
      </c>
      <c r="V556" s="0" t="s">
        <v>42</v>
      </c>
      <c r="W556" s="0" t="s">
        <v>42</v>
      </c>
      <c r="X556" s="0" t="s">
        <v>42</v>
      </c>
      <c r="Y556" s="2" t="s">
        <v>2599</v>
      </c>
      <c r="Z556" s="0" t="s">
        <v>36</v>
      </c>
      <c r="AA556" s="0" t="s">
        <v>36</v>
      </c>
      <c r="AB556" s="0" t="s">
        <v>36</v>
      </c>
      <c r="AC556" s="0" t="s">
        <v>36</v>
      </c>
      <c r="AD556" s="0" t="s">
        <v>36</v>
      </c>
      <c r="AE556" s="2" t="s">
        <v>36</v>
      </c>
    </row>
    <row r="557">
      <c r="A557" s="6" t="s">
        <v>31</v>
      </c>
      <c r="B557" s="7">
        <v>41537</v>
      </c>
      <c r="C557" s="9">
        <f>HYPERLINK("https://www.epingalert.org/en/Search?viewData= G/SPS/N/RUS/33"," G/SPS/N/RUS/33")</f>
      </c>
      <c r="D557" s="8" t="s">
        <v>2465</v>
      </c>
      <c r="E557" s="8" t="s">
        <v>2600</v>
      </c>
      <c r="F557" s="8" t="s">
        <v>2500</v>
      </c>
      <c r="G557" s="8" t="s">
        <v>36</v>
      </c>
      <c r="H557" s="8" t="s">
        <v>36</v>
      </c>
      <c r="I557" s="8" t="s">
        <v>332</v>
      </c>
      <c r="J557" s="8" t="s">
        <v>2381</v>
      </c>
      <c r="K557" s="6"/>
      <c r="L557" s="7">
        <v>41597</v>
      </c>
      <c r="M557" s="6" t="s">
        <v>51</v>
      </c>
      <c r="N557" s="8" t="s">
        <v>2422</v>
      </c>
      <c r="O557" s="6">
        <f>HYPERLINK("https://docs.wto.org/imrd/directdoc.asp?DDFDocuments/t/G/SPS/NRUS33.pdf", "https://docs.wto.org/imrd/directdoc.asp?DDFDocuments/t/G/SPS/NRUS33.pdf")</f>
      </c>
      <c r="P557" s="6">
        <f>HYPERLINK("https://docs.wto.org/imrd/directdoc.asp?DDFDocuments/u/G/SPS/NRUS33.pdf", "https://docs.wto.org/imrd/directdoc.asp?DDFDocuments/u/G/SPS/NRUS33.pdf")</f>
      </c>
      <c r="Q557" s="6">
        <f>HYPERLINK("https://docs.wto.org/imrd/directdoc.asp?DDFDocuments/v/G/SPS/NRUS33.pdf", "https://docs.wto.org/imrd/directdoc.asp?DDFDocuments/v/G/SPS/NRUS33.pdf")</f>
      </c>
      <c r="R557" s="0" t="s">
        <v>36</v>
      </c>
      <c r="S557" s="0" t="s">
        <v>36</v>
      </c>
      <c r="T557" s="0" t="s">
        <v>36</v>
      </c>
      <c r="U557" s="0" t="s">
        <v>36</v>
      </c>
      <c r="V557" s="0" t="s">
        <v>36</v>
      </c>
      <c r="W557" s="0" t="s">
        <v>36</v>
      </c>
      <c r="X557" s="0" t="s">
        <v>36</v>
      </c>
      <c r="Y557" s="2" t="s">
        <v>36</v>
      </c>
      <c r="Z557" s="0" t="s">
        <v>42</v>
      </c>
      <c r="AA557" s="0" t="s">
        <v>42</v>
      </c>
      <c r="AB557" s="0" t="s">
        <v>42</v>
      </c>
      <c r="AC557" s="0" t="s">
        <v>43</v>
      </c>
      <c r="AD557" s="0" t="s">
        <v>107</v>
      </c>
      <c r="AE557" s="2"/>
    </row>
    <row r="558">
      <c r="A558" s="6" t="s">
        <v>31</v>
      </c>
      <c r="B558" s="7">
        <v>41536</v>
      </c>
      <c r="C558" s="9">
        <f>HYPERLINK("https://www.epingalert.org/en/Search?viewData= G/SPS/N/RUS/15/Add.2"," G/SPS/N/RUS/15/Add.2")</f>
      </c>
      <c r="D558" s="8" t="s">
        <v>2601</v>
      </c>
      <c r="E558" s="8" t="s">
        <v>2602</v>
      </c>
      <c r="F558" s="8"/>
      <c r="G558" s="8" t="s">
        <v>2603</v>
      </c>
      <c r="H558" s="8" t="s">
        <v>36</v>
      </c>
      <c r="I558" s="8" t="s">
        <v>1328</v>
      </c>
      <c r="J558" s="8" t="s">
        <v>1810</v>
      </c>
      <c r="K558" s="6"/>
      <c r="L558" s="7" t="s">
        <v>36</v>
      </c>
      <c r="M558" s="6" t="s">
        <v>1211</v>
      </c>
      <c r="N558" s="6"/>
      <c r="O558" s="6">
        <f>HYPERLINK("https://docs.wto.org/imrd/directdoc.asp?DDFDocuments/t/G/SPS/NRUS15A2.pdf", "https://docs.wto.org/imrd/directdoc.asp?DDFDocuments/t/G/SPS/NRUS15A2.pdf")</f>
      </c>
      <c r="P558" s="6">
        <f>HYPERLINK("https://docs.wto.org/imrd/directdoc.asp?DDFDocuments/u/G/SPS/NRUS15A2.pdf", "https://docs.wto.org/imrd/directdoc.asp?DDFDocuments/u/G/SPS/NRUS15A2.pdf")</f>
      </c>
      <c r="Q558" s="6">
        <f>HYPERLINK("https://docs.wto.org/imrd/directdoc.asp?DDFDocuments/v/G/SPS/NRUS15A2.pdf", "https://docs.wto.org/imrd/directdoc.asp?DDFDocuments/v/G/SPS/NRUS15A2.pdf")</f>
      </c>
      <c r="R558" s="0" t="s">
        <v>36</v>
      </c>
      <c r="S558" s="0" t="s">
        <v>36</v>
      </c>
      <c r="T558" s="0" t="s">
        <v>36</v>
      </c>
      <c r="U558" s="0" t="s">
        <v>36</v>
      </c>
      <c r="V558" s="0" t="s">
        <v>36</v>
      </c>
      <c r="W558" s="0" t="s">
        <v>36</v>
      </c>
      <c r="X558" s="0" t="s">
        <v>36</v>
      </c>
      <c r="Y558" s="2" t="s">
        <v>36</v>
      </c>
      <c r="Z558" s="0" t="s">
        <v>36</v>
      </c>
      <c r="AA558" s="0" t="s">
        <v>36</v>
      </c>
      <c r="AB558" s="0" t="s">
        <v>36</v>
      </c>
      <c r="AC558" s="0" t="s">
        <v>36</v>
      </c>
      <c r="AD558" s="0" t="s">
        <v>36</v>
      </c>
      <c r="AE558" s="2" t="s">
        <v>36</v>
      </c>
    </row>
    <row r="559">
      <c r="A559" s="6" t="s">
        <v>31</v>
      </c>
      <c r="B559" s="7">
        <v>41536</v>
      </c>
      <c r="C559" s="9">
        <f>HYPERLINK("https://www.epingalert.org/en/Search?viewData= G/SPS/N/RUS/23/Add.1"," G/SPS/N/RUS/23/Add.1")</f>
      </c>
      <c r="D559" s="8" t="s">
        <v>2604</v>
      </c>
      <c r="E559" s="8" t="s">
        <v>2605</v>
      </c>
      <c r="F559" s="8"/>
      <c r="G559" s="8" t="s">
        <v>2606</v>
      </c>
      <c r="H559" s="8" t="s">
        <v>36</v>
      </c>
      <c r="I559" s="8" t="s">
        <v>37</v>
      </c>
      <c r="J559" s="8" t="s">
        <v>1652</v>
      </c>
      <c r="K559" s="6"/>
      <c r="L559" s="7" t="s">
        <v>36</v>
      </c>
      <c r="M559" s="6" t="s">
        <v>1211</v>
      </c>
      <c r="N559" s="8" t="s">
        <v>2607</v>
      </c>
      <c r="O559" s="6">
        <f>HYPERLINK("https://docs.wto.org/imrd/directdoc.asp?DDFDocuments/t/G/SPS/NRUS23A1.pdf", "https://docs.wto.org/imrd/directdoc.asp?DDFDocuments/t/G/SPS/NRUS23A1.pdf")</f>
      </c>
      <c r="P559" s="6">
        <f>HYPERLINK("https://docs.wto.org/imrd/directdoc.asp?DDFDocuments/u/G/SPS/NRUS23A1.pdf", "https://docs.wto.org/imrd/directdoc.asp?DDFDocuments/u/G/SPS/NRUS23A1.pdf")</f>
      </c>
      <c r="Q559" s="6">
        <f>HYPERLINK("https://docs.wto.org/imrd/directdoc.asp?DDFDocuments/v/G/SPS/NRUS23A1.pdf", "https://docs.wto.org/imrd/directdoc.asp?DDFDocuments/v/G/SPS/NRUS23A1.pdf")</f>
      </c>
      <c r="R559" s="0" t="s">
        <v>36</v>
      </c>
      <c r="S559" s="0" t="s">
        <v>36</v>
      </c>
      <c r="T559" s="0" t="s">
        <v>36</v>
      </c>
      <c r="U559" s="0" t="s">
        <v>36</v>
      </c>
      <c r="V559" s="0" t="s">
        <v>36</v>
      </c>
      <c r="W559" s="0" t="s">
        <v>36</v>
      </c>
      <c r="X559" s="0" t="s">
        <v>36</v>
      </c>
      <c r="Y559" s="2" t="s">
        <v>36</v>
      </c>
      <c r="Z559" s="0" t="s">
        <v>36</v>
      </c>
      <c r="AA559" s="0" t="s">
        <v>36</v>
      </c>
      <c r="AB559" s="0" t="s">
        <v>36</v>
      </c>
      <c r="AC559" s="0" t="s">
        <v>36</v>
      </c>
      <c r="AD559" s="0" t="s">
        <v>36</v>
      </c>
      <c r="AE559" s="2" t="s">
        <v>36</v>
      </c>
    </row>
    <row r="560">
      <c r="A560" s="6" t="s">
        <v>31</v>
      </c>
      <c r="B560" s="7">
        <v>41534</v>
      </c>
      <c r="C560" s="9">
        <f>HYPERLINK("https://www.epingalert.org/en/Search?viewData= G/SPS/N/RUS/30/Add.1"," G/SPS/N/RUS/30/Add.1")</f>
      </c>
      <c r="D560" s="8" t="s">
        <v>2608</v>
      </c>
      <c r="E560" s="8" t="s">
        <v>2609</v>
      </c>
      <c r="F560" s="8"/>
      <c r="G560" s="8" t="s">
        <v>2479</v>
      </c>
      <c r="H560" s="8" t="s">
        <v>36</v>
      </c>
      <c r="I560" s="8" t="s">
        <v>1328</v>
      </c>
      <c r="J560" s="8" t="s">
        <v>1810</v>
      </c>
      <c r="K560" s="6"/>
      <c r="L560" s="7" t="s">
        <v>36</v>
      </c>
      <c r="M560" s="6" t="s">
        <v>179</v>
      </c>
      <c r="N560" s="6"/>
      <c r="O560" s="6">
        <f>HYPERLINK("https://docs.wto.org/imrd/directdoc.asp?DDFDocuments/t/G/SPS/NRUS30A1.pdf", "https://docs.wto.org/imrd/directdoc.asp?DDFDocuments/t/G/SPS/NRUS30A1.pdf")</f>
      </c>
      <c r="P560" s="6">
        <f>HYPERLINK("https://docs.wto.org/imrd/directdoc.asp?DDFDocuments/u/G/SPS/NRUS30A1.pdf", "https://docs.wto.org/imrd/directdoc.asp?DDFDocuments/u/G/SPS/NRUS30A1.pdf")</f>
      </c>
      <c r="Q560" s="6">
        <f>HYPERLINK("https://docs.wto.org/imrd/directdoc.asp?DDFDocuments/v/G/SPS/NRUS30A1.pdf", "https://docs.wto.org/imrd/directdoc.asp?DDFDocuments/v/G/SPS/NRUS30A1.pdf")</f>
      </c>
      <c r="R560" s="0" t="s">
        <v>36</v>
      </c>
      <c r="S560" s="0" t="s">
        <v>36</v>
      </c>
      <c r="T560" s="0" t="s">
        <v>36</v>
      </c>
      <c r="U560" s="0" t="s">
        <v>36</v>
      </c>
      <c r="V560" s="0" t="s">
        <v>36</v>
      </c>
      <c r="W560" s="0" t="s">
        <v>36</v>
      </c>
      <c r="X560" s="0" t="s">
        <v>36</v>
      </c>
      <c r="Y560" s="2" t="s">
        <v>36</v>
      </c>
      <c r="Z560" s="0" t="s">
        <v>36</v>
      </c>
      <c r="AA560" s="0" t="s">
        <v>36</v>
      </c>
      <c r="AB560" s="0" t="s">
        <v>36</v>
      </c>
      <c r="AC560" s="0" t="s">
        <v>36</v>
      </c>
      <c r="AD560" s="0" t="s">
        <v>36</v>
      </c>
      <c r="AE560" s="2" t="s">
        <v>36</v>
      </c>
    </row>
    <row r="561">
      <c r="A561" s="6" t="s">
        <v>31</v>
      </c>
      <c r="B561" s="7">
        <v>41533</v>
      </c>
      <c r="C561" s="9">
        <f>HYPERLINK("https://www.epingalert.org/en/Search?viewData= G/TBT/N/RUS/27"," G/TBT/N/RUS/27")</f>
      </c>
      <c r="D561" s="8" t="s">
        <v>2610</v>
      </c>
      <c r="E561" s="8" t="s">
        <v>2611</v>
      </c>
      <c r="F561" s="8" t="s">
        <v>2612</v>
      </c>
      <c r="G561" s="8" t="s">
        <v>36</v>
      </c>
      <c r="H561" s="8" t="s">
        <v>2613</v>
      </c>
      <c r="I561" s="8" t="s">
        <v>1637</v>
      </c>
      <c r="J561" s="8" t="s">
        <v>36</v>
      </c>
      <c r="K561" s="6"/>
      <c r="L561" s="7">
        <v>41587</v>
      </c>
      <c r="M561" s="6" t="s">
        <v>51</v>
      </c>
      <c r="N561" s="6"/>
      <c r="O561" s="6">
        <f>HYPERLINK("https://docs.wto.org/imrd/directdoc.asp?DDFDocuments/t/G/TBTN13/RUS27.DOC", "https://docs.wto.org/imrd/directdoc.asp?DDFDocuments/t/G/TBTN13/RUS27.DOC")</f>
      </c>
      <c r="P561" s="6">
        <f>HYPERLINK("https://docs.wto.org/imrd/directdoc.asp?DDFDocuments/u/G/TBTN13/RUS27.DOC", "https://docs.wto.org/imrd/directdoc.asp?DDFDocuments/u/G/TBTN13/RUS27.DOC")</f>
      </c>
      <c r="Q561" s="6">
        <f>HYPERLINK("https://docs.wto.org/imrd/directdoc.asp?DDFDocuments/v/G/TBTN13/RUS27.DOC", "https://docs.wto.org/imrd/directdoc.asp?DDFDocuments/v/G/TBTN13/RUS27.DOC")</f>
      </c>
      <c r="R561" s="0" t="s">
        <v>43</v>
      </c>
      <c r="S561" s="0" t="s">
        <v>42</v>
      </c>
      <c r="T561" s="0" t="s">
        <v>42</v>
      </c>
      <c r="U561" s="0" t="s">
        <v>42</v>
      </c>
      <c r="V561" s="0" t="s">
        <v>42</v>
      </c>
      <c r="W561" s="0" t="s">
        <v>42</v>
      </c>
      <c r="X561" s="0" t="s">
        <v>42</v>
      </c>
      <c r="Y561" s="2" t="s">
        <v>2614</v>
      </c>
      <c r="Z561" s="0" t="s">
        <v>36</v>
      </c>
      <c r="AA561" s="0" t="s">
        <v>36</v>
      </c>
      <c r="AB561" s="0" t="s">
        <v>36</v>
      </c>
      <c r="AC561" s="0" t="s">
        <v>36</v>
      </c>
      <c r="AD561" s="0" t="s">
        <v>36</v>
      </c>
      <c r="AE561" s="2" t="s">
        <v>36</v>
      </c>
    </row>
    <row r="562">
      <c r="A562" s="6" t="s">
        <v>31</v>
      </c>
      <c r="B562" s="7">
        <v>41533</v>
      </c>
      <c r="C562" s="9">
        <f>HYPERLINK("https://www.epingalert.org/en/Search?viewData= G/TBT/N/RUS/26"," G/TBT/N/RUS/26")</f>
      </c>
      <c r="D562" s="8" t="s">
        <v>2615</v>
      </c>
      <c r="E562" s="8" t="s">
        <v>2616</v>
      </c>
      <c r="F562" s="8" t="s">
        <v>2617</v>
      </c>
      <c r="G562" s="8" t="s">
        <v>36</v>
      </c>
      <c r="H562" s="8" t="s">
        <v>338</v>
      </c>
      <c r="I562" s="8" t="s">
        <v>796</v>
      </c>
      <c r="J562" s="8" t="s">
        <v>36</v>
      </c>
      <c r="K562" s="6"/>
      <c r="L562" s="7">
        <v>41589</v>
      </c>
      <c r="M562" s="6" t="s">
        <v>51</v>
      </c>
      <c r="N562" s="6"/>
      <c r="O562" s="6">
        <f>HYPERLINK("https://docs.wto.org/imrd/directdoc.asp?DDFDocuments/t/G/TBTN13/RUS26.DOC", "https://docs.wto.org/imrd/directdoc.asp?DDFDocuments/t/G/TBTN13/RUS26.DOC")</f>
      </c>
      <c r="P562" s="6">
        <f>HYPERLINK("https://docs.wto.org/imrd/directdoc.asp?DDFDocuments/u/G/TBTN13/RUS26.DOC", "https://docs.wto.org/imrd/directdoc.asp?DDFDocuments/u/G/TBTN13/RUS26.DOC")</f>
      </c>
      <c r="Q562" s="6">
        <f>HYPERLINK("https://docs.wto.org/imrd/directdoc.asp?DDFDocuments/v/G/TBTN13/RUS26.DOC", "https://docs.wto.org/imrd/directdoc.asp?DDFDocuments/v/G/TBTN13/RUS26.DOC")</f>
      </c>
      <c r="R562" s="0" t="s">
        <v>43</v>
      </c>
      <c r="S562" s="0" t="s">
        <v>42</v>
      </c>
      <c r="T562" s="0" t="s">
        <v>42</v>
      </c>
      <c r="U562" s="0" t="s">
        <v>42</v>
      </c>
      <c r="V562" s="0" t="s">
        <v>42</v>
      </c>
      <c r="W562" s="0" t="s">
        <v>42</v>
      </c>
      <c r="X562" s="0" t="s">
        <v>42</v>
      </c>
      <c r="Y562" s="2" t="s">
        <v>2618</v>
      </c>
      <c r="Z562" s="0" t="s">
        <v>36</v>
      </c>
      <c r="AA562" s="0" t="s">
        <v>36</v>
      </c>
      <c r="AB562" s="0" t="s">
        <v>36</v>
      </c>
      <c r="AC562" s="0" t="s">
        <v>36</v>
      </c>
      <c r="AD562" s="0" t="s">
        <v>36</v>
      </c>
      <c r="AE562" s="2" t="s">
        <v>36</v>
      </c>
    </row>
    <row r="563">
      <c r="A563" s="6" t="s">
        <v>31</v>
      </c>
      <c r="B563" s="7">
        <v>41528</v>
      </c>
      <c r="C563" s="9">
        <f>HYPERLINK("https://www.epingalert.org/en/Search?viewData= G/TBT/N/RUS/24"," G/TBT/N/RUS/24")</f>
      </c>
      <c r="D563" s="8" t="s">
        <v>2619</v>
      </c>
      <c r="E563" s="8" t="s">
        <v>2620</v>
      </c>
      <c r="F563" s="8" t="s">
        <v>2621</v>
      </c>
      <c r="G563" s="8" t="s">
        <v>36</v>
      </c>
      <c r="H563" s="8" t="s">
        <v>1058</v>
      </c>
      <c r="I563" s="8" t="s">
        <v>902</v>
      </c>
      <c r="J563" s="8" t="s">
        <v>36</v>
      </c>
      <c r="K563" s="6"/>
      <c r="L563" s="7">
        <v>41587</v>
      </c>
      <c r="M563" s="6" t="s">
        <v>51</v>
      </c>
      <c r="N563" s="6"/>
      <c r="O563" s="6">
        <f>HYPERLINK("https://docs.wto.org/imrd/directdoc.asp?DDFDocuments/t/G/TBTN13/RUS24.DOC", "https://docs.wto.org/imrd/directdoc.asp?DDFDocuments/t/G/TBTN13/RUS24.DOC")</f>
      </c>
      <c r="P563" s="6">
        <f>HYPERLINK("https://docs.wto.org/imrd/directdoc.asp?DDFDocuments/u/G/TBTN13/RUS24.DOC", "https://docs.wto.org/imrd/directdoc.asp?DDFDocuments/u/G/TBTN13/RUS24.DOC")</f>
      </c>
      <c r="Q563" s="6">
        <f>HYPERLINK("https://docs.wto.org/imrd/directdoc.asp?DDFDocuments/v/G/TBTN13/RUS24.DOC", "https://docs.wto.org/imrd/directdoc.asp?DDFDocuments/v/G/TBTN13/RUS24.DOC")</f>
      </c>
      <c r="R563" s="0" t="s">
        <v>43</v>
      </c>
      <c r="S563" s="0" t="s">
        <v>42</v>
      </c>
      <c r="T563" s="0" t="s">
        <v>42</v>
      </c>
      <c r="U563" s="0" t="s">
        <v>42</v>
      </c>
      <c r="V563" s="0" t="s">
        <v>42</v>
      </c>
      <c r="W563" s="0" t="s">
        <v>42</v>
      </c>
      <c r="X563" s="0" t="s">
        <v>42</v>
      </c>
      <c r="Y563" s="2" t="s">
        <v>2622</v>
      </c>
      <c r="Z563" s="0" t="s">
        <v>36</v>
      </c>
      <c r="AA563" s="0" t="s">
        <v>36</v>
      </c>
      <c r="AB563" s="0" t="s">
        <v>36</v>
      </c>
      <c r="AC563" s="0" t="s">
        <v>36</v>
      </c>
      <c r="AD563" s="0" t="s">
        <v>36</v>
      </c>
      <c r="AE563" s="2" t="s">
        <v>36</v>
      </c>
    </row>
    <row r="564">
      <c r="A564" s="6" t="s">
        <v>31</v>
      </c>
      <c r="B564" s="7">
        <v>41528</v>
      </c>
      <c r="C564" s="9">
        <f>HYPERLINK("https://www.epingalert.org/en/Search?viewData= G/TBT/N/RUS/25"," G/TBT/N/RUS/25")</f>
      </c>
      <c r="D564" s="8" t="s">
        <v>2623</v>
      </c>
      <c r="E564" s="8" t="s">
        <v>2624</v>
      </c>
      <c r="F564" s="8" t="s">
        <v>2625</v>
      </c>
      <c r="G564" s="8" t="s">
        <v>36</v>
      </c>
      <c r="H564" s="8" t="s">
        <v>2626</v>
      </c>
      <c r="I564" s="8" t="s">
        <v>1637</v>
      </c>
      <c r="J564" s="8" t="s">
        <v>36</v>
      </c>
      <c r="K564" s="6"/>
      <c r="L564" s="7">
        <v>41587</v>
      </c>
      <c r="M564" s="6" t="s">
        <v>51</v>
      </c>
      <c r="N564" s="6"/>
      <c r="O564" s="6">
        <f>HYPERLINK("https://docs.wto.org/imrd/directdoc.asp?DDFDocuments/t/G/TBTN13/RUS25.DOC", "https://docs.wto.org/imrd/directdoc.asp?DDFDocuments/t/G/TBTN13/RUS25.DOC")</f>
      </c>
      <c r="P564" s="6">
        <f>HYPERLINK("https://docs.wto.org/imrd/directdoc.asp?DDFDocuments/u/G/TBTN13/RUS25.DOC", "https://docs.wto.org/imrd/directdoc.asp?DDFDocuments/u/G/TBTN13/RUS25.DOC")</f>
      </c>
      <c r="Q564" s="6">
        <f>HYPERLINK("https://docs.wto.org/imrd/directdoc.asp?DDFDocuments/v/G/TBTN13/RUS25.DOC", "https://docs.wto.org/imrd/directdoc.asp?DDFDocuments/v/G/TBTN13/RUS25.DOC")</f>
      </c>
      <c r="R564" s="0" t="s">
        <v>43</v>
      </c>
      <c r="S564" s="0" t="s">
        <v>42</v>
      </c>
      <c r="T564" s="0" t="s">
        <v>42</v>
      </c>
      <c r="U564" s="0" t="s">
        <v>42</v>
      </c>
      <c r="V564" s="0" t="s">
        <v>42</v>
      </c>
      <c r="W564" s="0" t="s">
        <v>42</v>
      </c>
      <c r="X564" s="0" t="s">
        <v>42</v>
      </c>
      <c r="Y564" s="2" t="s">
        <v>2627</v>
      </c>
      <c r="Z564" s="0" t="s">
        <v>36</v>
      </c>
      <c r="AA564" s="0" t="s">
        <v>36</v>
      </c>
      <c r="AB564" s="0" t="s">
        <v>36</v>
      </c>
      <c r="AC564" s="0" t="s">
        <v>36</v>
      </c>
      <c r="AD564" s="0" t="s">
        <v>36</v>
      </c>
      <c r="AE564" s="2" t="s">
        <v>36</v>
      </c>
    </row>
    <row r="565">
      <c r="A565" s="6" t="s">
        <v>31</v>
      </c>
      <c r="B565" s="7">
        <v>41519</v>
      </c>
      <c r="C565" s="9">
        <f>HYPERLINK("https://www.epingalert.org/en/Search?viewData= G/SPS/N/RUS/32"," G/SPS/N/RUS/32")</f>
      </c>
      <c r="D565" s="8" t="s">
        <v>2628</v>
      </c>
      <c r="E565" s="8" t="s">
        <v>2629</v>
      </c>
      <c r="F565" s="8" t="s">
        <v>2630</v>
      </c>
      <c r="G565" s="8" t="s">
        <v>36</v>
      </c>
      <c r="H565" s="8" t="s">
        <v>36</v>
      </c>
      <c r="I565" s="8" t="s">
        <v>2631</v>
      </c>
      <c r="J565" s="8" t="s">
        <v>2632</v>
      </c>
      <c r="K565" s="6"/>
      <c r="L565" s="7">
        <v>41579</v>
      </c>
      <c r="M565" s="6" t="s">
        <v>51</v>
      </c>
      <c r="N565" s="8" t="s">
        <v>2422</v>
      </c>
      <c r="O565" s="6">
        <f>HYPERLINK("https://docs.wto.org/imrd/directdoc.asp?DDFDocuments/t/G/SPS/NRUS32.pdf", "https://docs.wto.org/imrd/directdoc.asp?DDFDocuments/t/G/SPS/NRUS32.pdf")</f>
      </c>
      <c r="P565" s="6">
        <f>HYPERLINK("https://docs.wto.org/imrd/directdoc.asp?DDFDocuments/u/G/SPS/NRUS32.pdf", "https://docs.wto.org/imrd/directdoc.asp?DDFDocuments/u/G/SPS/NRUS32.pdf")</f>
      </c>
      <c r="Q565" s="6">
        <f>HYPERLINK("https://docs.wto.org/imrd/directdoc.asp?DDFDocuments/v/G/SPS/NRUS32.pdf", "https://docs.wto.org/imrd/directdoc.asp?DDFDocuments/v/G/SPS/NRUS32.pdf")</f>
      </c>
      <c r="R565" s="0" t="s">
        <v>36</v>
      </c>
      <c r="S565" s="0" t="s">
        <v>36</v>
      </c>
      <c r="T565" s="0" t="s">
        <v>36</v>
      </c>
      <c r="U565" s="0" t="s">
        <v>36</v>
      </c>
      <c r="V565" s="0" t="s">
        <v>36</v>
      </c>
      <c r="W565" s="0" t="s">
        <v>36</v>
      </c>
      <c r="X565" s="0" t="s">
        <v>36</v>
      </c>
      <c r="Y565" s="2" t="s">
        <v>36</v>
      </c>
      <c r="Z565" s="0" t="s">
        <v>42</v>
      </c>
      <c r="AA565" s="0" t="s">
        <v>42</v>
      </c>
      <c r="AB565" s="0" t="s">
        <v>42</v>
      </c>
      <c r="AC565" s="0" t="s">
        <v>43</v>
      </c>
      <c r="AD565" s="0" t="s">
        <v>107</v>
      </c>
      <c r="AE565" s="2"/>
    </row>
    <row r="566">
      <c r="A566" s="6" t="s">
        <v>31</v>
      </c>
      <c r="B566" s="7">
        <v>41515</v>
      </c>
      <c r="C566" s="9">
        <f>HYPERLINK("https://www.epingalert.org/en/Search?viewData= G/SPS/N/RUS/31"," G/SPS/N/RUS/31")</f>
      </c>
      <c r="D566" s="8" t="s">
        <v>2633</v>
      </c>
      <c r="E566" s="8" t="s">
        <v>2634</v>
      </c>
      <c r="F566" s="8" t="s">
        <v>2635</v>
      </c>
      <c r="G566" s="8" t="s">
        <v>2530</v>
      </c>
      <c r="H566" s="8" t="s">
        <v>36</v>
      </c>
      <c r="I566" s="8" t="s">
        <v>36</v>
      </c>
      <c r="J566" s="8" t="s">
        <v>2636</v>
      </c>
      <c r="K566" s="6"/>
      <c r="L566" s="7" t="s">
        <v>36</v>
      </c>
      <c r="M566" s="6" t="s">
        <v>51</v>
      </c>
      <c r="N566" s="6"/>
      <c r="O566" s="6">
        <f>HYPERLINK("https://docs.wto.org/imrd/directdoc.asp?DDFDocuments/t/G/SPS/NRUS31.pdf", "https://docs.wto.org/imrd/directdoc.asp?DDFDocuments/t/G/SPS/NRUS31.pdf")</f>
      </c>
      <c r="P566" s="6">
        <f>HYPERLINK("https://docs.wto.org/imrd/directdoc.asp?DDFDocuments/u/G/SPS/NRUS31.pdf", "https://docs.wto.org/imrd/directdoc.asp?DDFDocuments/u/G/SPS/NRUS31.pdf")</f>
      </c>
      <c r="Q566" s="6">
        <f>HYPERLINK("https://docs.wto.org/imrd/directdoc.asp?DDFDocuments/v/G/SPS/NRUS31.pdf", "https://docs.wto.org/imrd/directdoc.asp?DDFDocuments/v/G/SPS/NRUS31.pdf")</f>
      </c>
      <c r="R566" s="0" t="s">
        <v>36</v>
      </c>
      <c r="S566" s="0" t="s">
        <v>36</v>
      </c>
      <c r="T566" s="0" t="s">
        <v>36</v>
      </c>
      <c r="U566" s="0" t="s">
        <v>36</v>
      </c>
      <c r="V566" s="0" t="s">
        <v>36</v>
      </c>
      <c r="W566" s="0" t="s">
        <v>36</v>
      </c>
      <c r="X566" s="0" t="s">
        <v>36</v>
      </c>
      <c r="Y566" s="2" t="s">
        <v>36</v>
      </c>
      <c r="Z566" s="0" t="s">
        <v>42</v>
      </c>
      <c r="AA566" s="0" t="s">
        <v>42</v>
      </c>
      <c r="AB566" s="0" t="s">
        <v>42</v>
      </c>
      <c r="AC566" s="0" t="s">
        <v>42</v>
      </c>
      <c r="AD566" s="0" t="s">
        <v>107</v>
      </c>
      <c r="AE566" s="2"/>
    </row>
    <row r="567">
      <c r="A567" s="6" t="s">
        <v>31</v>
      </c>
      <c r="B567" s="7">
        <v>41502</v>
      </c>
      <c r="C567" s="9">
        <f>HYPERLINK("https://www.epingalert.org/en/Search?viewData= G/SPS/N/RUS/30"," G/SPS/N/RUS/30")</f>
      </c>
      <c r="D567" s="8" t="s">
        <v>2637</v>
      </c>
      <c r="E567" s="8" t="s">
        <v>2638</v>
      </c>
      <c r="F567" s="8" t="s">
        <v>2639</v>
      </c>
      <c r="G567" s="8" t="s">
        <v>2479</v>
      </c>
      <c r="H567" s="8" t="s">
        <v>36</v>
      </c>
      <c r="I567" s="8" t="s">
        <v>1328</v>
      </c>
      <c r="J567" s="8" t="s">
        <v>2640</v>
      </c>
      <c r="K567" s="6" t="s">
        <v>367</v>
      </c>
      <c r="L567" s="7" t="s">
        <v>36</v>
      </c>
      <c r="M567" s="6" t="s">
        <v>40</v>
      </c>
      <c r="N567" s="6"/>
      <c r="O567" s="6">
        <f>HYPERLINK("https://docs.wto.org/imrd/directdoc.asp?DDFDocuments/t/G/SPS/NRUS30.pdf", "https://docs.wto.org/imrd/directdoc.asp?DDFDocuments/t/G/SPS/NRUS30.pdf")</f>
      </c>
      <c r="P567" s="6">
        <f>HYPERLINK("https://docs.wto.org/imrd/directdoc.asp?DDFDocuments/u/G/SPS/NRUS30.pdf", "https://docs.wto.org/imrd/directdoc.asp?DDFDocuments/u/G/SPS/NRUS30.pdf")</f>
      </c>
      <c r="Q567" s="6">
        <f>HYPERLINK("https://docs.wto.org/imrd/directdoc.asp?DDFDocuments/v/G/SPS/NRUS30.pdf", "https://docs.wto.org/imrd/directdoc.asp?DDFDocuments/v/G/SPS/NRUS30.pdf")</f>
      </c>
      <c r="R567" s="0" t="s">
        <v>36</v>
      </c>
      <c r="S567" s="0" t="s">
        <v>36</v>
      </c>
      <c r="T567" s="0" t="s">
        <v>36</v>
      </c>
      <c r="U567" s="0" t="s">
        <v>36</v>
      </c>
      <c r="V567" s="0" t="s">
        <v>36</v>
      </c>
      <c r="W567" s="0" t="s">
        <v>36</v>
      </c>
      <c r="X567" s="0" t="s">
        <v>36</v>
      </c>
      <c r="Y567" s="2" t="s">
        <v>36</v>
      </c>
      <c r="Z567" s="0" t="s">
        <v>42</v>
      </c>
      <c r="AA567" s="0" t="s">
        <v>42</v>
      </c>
      <c r="AB567" s="0" t="s">
        <v>42</v>
      </c>
      <c r="AC567" s="0" t="s">
        <v>43</v>
      </c>
      <c r="AD567" s="0" t="s">
        <v>107</v>
      </c>
      <c r="AE567" s="2"/>
    </row>
    <row r="568">
      <c r="A568" s="6" t="s">
        <v>31</v>
      </c>
      <c r="B568" s="7">
        <v>41465</v>
      </c>
      <c r="C568" s="9">
        <f>HYPERLINK("https://www.epingalert.org/en/Search?viewData= G/SPS/N/RUS/22/Add.2"," G/SPS/N/RUS/22/Add.2")</f>
      </c>
      <c r="D568" s="8" t="s">
        <v>2641</v>
      </c>
      <c r="E568" s="8" t="s">
        <v>2642</v>
      </c>
      <c r="F568" s="8"/>
      <c r="G568" s="8" t="s">
        <v>2643</v>
      </c>
      <c r="H568" s="8" t="s">
        <v>36</v>
      </c>
      <c r="I568" s="8" t="s">
        <v>505</v>
      </c>
      <c r="J568" s="8" t="s">
        <v>1652</v>
      </c>
      <c r="K568" s="6"/>
      <c r="L568" s="7" t="s">
        <v>36</v>
      </c>
      <c r="M568" s="6" t="s">
        <v>1211</v>
      </c>
      <c r="N568" s="6"/>
      <c r="O568" s="6">
        <f>HYPERLINK("https://docs.wto.org/imrd/directdoc.asp?DDFDocuments/t/G/SPS/NRUS22A2.pdf", "https://docs.wto.org/imrd/directdoc.asp?DDFDocuments/t/G/SPS/NRUS22A2.pdf")</f>
      </c>
      <c r="P568" s="6">
        <f>HYPERLINK("https://docs.wto.org/imrd/directdoc.asp?DDFDocuments/u/G/SPS/NRUS22A2.pdf", "https://docs.wto.org/imrd/directdoc.asp?DDFDocuments/u/G/SPS/NRUS22A2.pdf")</f>
      </c>
      <c r="Q568" s="6">
        <f>HYPERLINK("https://docs.wto.org/imrd/directdoc.asp?DDFDocuments/v/G/SPS/NRUS22A2.pdf", "https://docs.wto.org/imrd/directdoc.asp?DDFDocuments/v/G/SPS/NRUS22A2.pdf")</f>
      </c>
      <c r="R568" s="0" t="s">
        <v>36</v>
      </c>
      <c r="S568" s="0" t="s">
        <v>36</v>
      </c>
      <c r="T568" s="0" t="s">
        <v>36</v>
      </c>
      <c r="U568" s="0" t="s">
        <v>36</v>
      </c>
      <c r="V568" s="0" t="s">
        <v>36</v>
      </c>
      <c r="W568" s="0" t="s">
        <v>36</v>
      </c>
      <c r="X568" s="0" t="s">
        <v>36</v>
      </c>
      <c r="Y568" s="2" t="s">
        <v>36</v>
      </c>
      <c r="Z568" s="0" t="s">
        <v>36</v>
      </c>
      <c r="AA568" s="0" t="s">
        <v>36</v>
      </c>
      <c r="AB568" s="0" t="s">
        <v>36</v>
      </c>
      <c r="AC568" s="0" t="s">
        <v>36</v>
      </c>
      <c r="AD568" s="0" t="s">
        <v>36</v>
      </c>
      <c r="AE568" s="2" t="s">
        <v>36</v>
      </c>
    </row>
    <row r="569">
      <c r="A569" s="6" t="s">
        <v>31</v>
      </c>
      <c r="B569" s="7">
        <v>41463</v>
      </c>
      <c r="C569" s="9">
        <f>HYPERLINK("https://www.epingalert.org/en/Search?viewData= G/SPS/N/RUS/27"," G/SPS/N/RUS/27")</f>
      </c>
      <c r="D569" s="8" t="s">
        <v>2644</v>
      </c>
      <c r="E569" s="8" t="s">
        <v>2645</v>
      </c>
      <c r="F569" s="8" t="s">
        <v>2646</v>
      </c>
      <c r="G569" s="8" t="s">
        <v>2647</v>
      </c>
      <c r="H569" s="8" t="s">
        <v>36</v>
      </c>
      <c r="I569" s="8" t="s">
        <v>97</v>
      </c>
      <c r="J569" s="8" t="s">
        <v>285</v>
      </c>
      <c r="K569" s="6"/>
      <c r="L569" s="7">
        <v>41523</v>
      </c>
      <c r="M569" s="6" t="s">
        <v>51</v>
      </c>
      <c r="N569" s="8" t="s">
        <v>2422</v>
      </c>
      <c r="O569" s="6">
        <f>HYPERLINK("https://docs.wto.org/imrd/directdoc.asp?DDFDocuments/t/G/SPS/NRUS27.pdf", "https://docs.wto.org/imrd/directdoc.asp?DDFDocuments/t/G/SPS/NRUS27.pdf")</f>
      </c>
      <c r="P569" s="6">
        <f>HYPERLINK("https://docs.wto.org/imrd/directdoc.asp?DDFDocuments/u/G/SPS/NRUS27.pdf", "https://docs.wto.org/imrd/directdoc.asp?DDFDocuments/u/G/SPS/NRUS27.pdf")</f>
      </c>
      <c r="Q569" s="6">
        <f>HYPERLINK("https://docs.wto.org/imrd/directdoc.asp?DDFDocuments/v/G/SPS/NRUS27.pdf", "https://docs.wto.org/imrd/directdoc.asp?DDFDocuments/v/G/SPS/NRUS27.pdf")</f>
      </c>
      <c r="R569" s="0" t="s">
        <v>36</v>
      </c>
      <c r="S569" s="0" t="s">
        <v>36</v>
      </c>
      <c r="T569" s="0" t="s">
        <v>36</v>
      </c>
      <c r="U569" s="0" t="s">
        <v>36</v>
      </c>
      <c r="V569" s="0" t="s">
        <v>36</v>
      </c>
      <c r="W569" s="0" t="s">
        <v>36</v>
      </c>
      <c r="X569" s="0" t="s">
        <v>36</v>
      </c>
      <c r="Y569" s="2" t="s">
        <v>36</v>
      </c>
      <c r="Z569" s="0" t="s">
        <v>42</v>
      </c>
      <c r="AA569" s="0" t="s">
        <v>42</v>
      </c>
      <c r="AB569" s="0" t="s">
        <v>42</v>
      </c>
      <c r="AC569" s="0" t="s">
        <v>43</v>
      </c>
      <c r="AD569" s="0" t="s">
        <v>107</v>
      </c>
      <c r="AE569" s="2"/>
    </row>
    <row r="570">
      <c r="A570" s="6" t="s">
        <v>31</v>
      </c>
      <c r="B570" s="7">
        <v>41463</v>
      </c>
      <c r="C570" s="9">
        <f>HYPERLINK("https://www.epingalert.org/en/Search?viewData= G/SPS/N/RUS/29"," G/SPS/N/RUS/29")</f>
      </c>
      <c r="D570" s="8" t="s">
        <v>2648</v>
      </c>
      <c r="E570" s="8" t="s">
        <v>2649</v>
      </c>
      <c r="F570" s="8" t="s">
        <v>2650</v>
      </c>
      <c r="G570" s="8" t="s">
        <v>2651</v>
      </c>
      <c r="H570" s="8" t="s">
        <v>36</v>
      </c>
      <c r="I570" s="8" t="s">
        <v>475</v>
      </c>
      <c r="J570" s="8" t="s">
        <v>2652</v>
      </c>
      <c r="K570" s="6"/>
      <c r="L570" s="7">
        <v>41523</v>
      </c>
      <c r="M570" s="6" t="s">
        <v>51</v>
      </c>
      <c r="N570" s="8" t="s">
        <v>2422</v>
      </c>
      <c r="O570" s="6">
        <f>HYPERLINK("https://docs.wto.org/imrd/directdoc.asp?DDFDocuments/t/G/SPS/NRUS29.pdf", "https://docs.wto.org/imrd/directdoc.asp?DDFDocuments/t/G/SPS/NRUS29.pdf")</f>
      </c>
      <c r="P570" s="6">
        <f>HYPERLINK("https://docs.wto.org/imrd/directdoc.asp?DDFDocuments/u/G/SPS/NRUS29.pdf", "https://docs.wto.org/imrd/directdoc.asp?DDFDocuments/u/G/SPS/NRUS29.pdf")</f>
      </c>
      <c r="Q570" s="6">
        <f>HYPERLINK("https://docs.wto.org/imrd/directdoc.asp?DDFDocuments/v/G/SPS/NRUS29.pdf", "https://docs.wto.org/imrd/directdoc.asp?DDFDocuments/v/G/SPS/NRUS29.pdf")</f>
      </c>
      <c r="R570" s="0" t="s">
        <v>36</v>
      </c>
      <c r="S570" s="0" t="s">
        <v>36</v>
      </c>
      <c r="T570" s="0" t="s">
        <v>36</v>
      </c>
      <c r="U570" s="0" t="s">
        <v>36</v>
      </c>
      <c r="V570" s="0" t="s">
        <v>36</v>
      </c>
      <c r="W570" s="0" t="s">
        <v>36</v>
      </c>
      <c r="X570" s="0" t="s">
        <v>36</v>
      </c>
      <c r="Y570" s="2" t="s">
        <v>36</v>
      </c>
      <c r="Z570" s="0" t="s">
        <v>42</v>
      </c>
      <c r="AA570" s="0" t="s">
        <v>42</v>
      </c>
      <c r="AB570" s="0" t="s">
        <v>42</v>
      </c>
      <c r="AC570" s="0" t="s">
        <v>43</v>
      </c>
      <c r="AD570" s="0" t="s">
        <v>107</v>
      </c>
      <c r="AE570" s="2"/>
    </row>
    <row r="571">
      <c r="A571" s="6" t="s">
        <v>31</v>
      </c>
      <c r="B571" s="7">
        <v>41463</v>
      </c>
      <c r="C571" s="9">
        <f>HYPERLINK("https://www.epingalert.org/en/Search?viewData= G/SPS/N/RUS/28"," G/SPS/N/RUS/28")</f>
      </c>
      <c r="D571" s="8" t="s">
        <v>2653</v>
      </c>
      <c r="E571" s="8" t="s">
        <v>2654</v>
      </c>
      <c r="F571" s="8" t="s">
        <v>2655</v>
      </c>
      <c r="G571" s="8" t="s">
        <v>2656</v>
      </c>
      <c r="H571" s="8" t="s">
        <v>36</v>
      </c>
      <c r="I571" s="8" t="s">
        <v>36</v>
      </c>
      <c r="J571" s="8" t="s">
        <v>2657</v>
      </c>
      <c r="K571" s="6"/>
      <c r="L571" s="7" t="s">
        <v>36</v>
      </c>
      <c r="M571" s="6" t="s">
        <v>51</v>
      </c>
      <c r="N571" s="6"/>
      <c r="O571" s="6">
        <f>HYPERLINK("https://docs.wto.org/imrd/directdoc.asp?DDFDocuments/t/G/SPS/NRUS28.pdf", "https://docs.wto.org/imrd/directdoc.asp?DDFDocuments/t/G/SPS/NRUS28.pdf")</f>
      </c>
      <c r="P571" s="6">
        <f>HYPERLINK("https://docs.wto.org/imrd/directdoc.asp?DDFDocuments/u/G/SPS/NRUS28.pdf", "https://docs.wto.org/imrd/directdoc.asp?DDFDocuments/u/G/SPS/NRUS28.pdf")</f>
      </c>
      <c r="Q571" s="6">
        <f>HYPERLINK("https://docs.wto.org/imrd/directdoc.asp?DDFDocuments/v/G/SPS/NRUS28.pdf", "https://docs.wto.org/imrd/directdoc.asp?DDFDocuments/v/G/SPS/NRUS28.pdf")</f>
      </c>
      <c r="R571" s="0" t="s">
        <v>36</v>
      </c>
      <c r="S571" s="0" t="s">
        <v>36</v>
      </c>
      <c r="T571" s="0" t="s">
        <v>36</v>
      </c>
      <c r="U571" s="0" t="s">
        <v>36</v>
      </c>
      <c r="V571" s="0" t="s">
        <v>36</v>
      </c>
      <c r="W571" s="0" t="s">
        <v>36</v>
      </c>
      <c r="X571" s="0" t="s">
        <v>36</v>
      </c>
      <c r="Y571" s="2" t="s">
        <v>36</v>
      </c>
      <c r="Z571" s="0" t="s">
        <v>42</v>
      </c>
      <c r="AA571" s="0" t="s">
        <v>42</v>
      </c>
      <c r="AB571" s="0" t="s">
        <v>42</v>
      </c>
      <c r="AC571" s="0" t="s">
        <v>42</v>
      </c>
      <c r="AD571" s="0" t="s">
        <v>107</v>
      </c>
      <c r="AE571" s="2"/>
    </row>
    <row r="572">
      <c r="A572" s="6" t="s">
        <v>31</v>
      </c>
      <c r="B572" s="7">
        <v>41430</v>
      </c>
      <c r="C572" s="9">
        <f>HYPERLINK("https://www.epingalert.org/en/Search?viewData= G/SPS/N/RUS/22/Add.1"," G/SPS/N/RUS/22/Add.1")</f>
      </c>
      <c r="D572" s="8" t="s">
        <v>2658</v>
      </c>
      <c r="E572" s="8" t="s">
        <v>2659</v>
      </c>
      <c r="F572" s="8"/>
      <c r="G572" s="8" t="s">
        <v>2660</v>
      </c>
      <c r="H572" s="8" t="s">
        <v>36</v>
      </c>
      <c r="I572" s="8" t="s">
        <v>505</v>
      </c>
      <c r="J572" s="8" t="s">
        <v>1652</v>
      </c>
      <c r="K572" s="6"/>
      <c r="L572" s="7" t="s">
        <v>36</v>
      </c>
      <c r="M572" s="6" t="s">
        <v>1211</v>
      </c>
      <c r="N572" s="6"/>
      <c r="O572" s="6">
        <f>HYPERLINK("https://docs.wto.org/imrd/directdoc.asp?DDFDocuments/t/G/SPS/NRUS22A1.pdf", "https://docs.wto.org/imrd/directdoc.asp?DDFDocuments/t/G/SPS/NRUS22A1.pdf")</f>
      </c>
      <c r="P572" s="6">
        <f>HYPERLINK("https://docs.wto.org/imrd/directdoc.asp?DDFDocuments/u/G/SPS/NRUS22A1.pdf", "https://docs.wto.org/imrd/directdoc.asp?DDFDocuments/u/G/SPS/NRUS22A1.pdf")</f>
      </c>
      <c r="Q572" s="6">
        <f>HYPERLINK("https://docs.wto.org/imrd/directdoc.asp?DDFDocuments/v/G/SPS/NRUS22A1.pdf", "https://docs.wto.org/imrd/directdoc.asp?DDFDocuments/v/G/SPS/NRUS22A1.pdf")</f>
      </c>
      <c r="R572" s="0" t="s">
        <v>36</v>
      </c>
      <c r="S572" s="0" t="s">
        <v>36</v>
      </c>
      <c r="T572" s="0" t="s">
        <v>36</v>
      </c>
      <c r="U572" s="0" t="s">
        <v>36</v>
      </c>
      <c r="V572" s="0" t="s">
        <v>36</v>
      </c>
      <c r="W572" s="0" t="s">
        <v>36</v>
      </c>
      <c r="X572" s="0" t="s">
        <v>36</v>
      </c>
      <c r="Y572" s="2" t="s">
        <v>36</v>
      </c>
      <c r="Z572" s="0" t="s">
        <v>36</v>
      </c>
      <c r="AA572" s="0" t="s">
        <v>36</v>
      </c>
      <c r="AB572" s="0" t="s">
        <v>36</v>
      </c>
      <c r="AC572" s="0" t="s">
        <v>36</v>
      </c>
      <c r="AD572" s="0" t="s">
        <v>36</v>
      </c>
      <c r="AE572" s="2" t="s">
        <v>36</v>
      </c>
    </row>
    <row r="573">
      <c r="A573" s="6" t="s">
        <v>31</v>
      </c>
      <c r="B573" s="7">
        <v>41410</v>
      </c>
      <c r="C573" s="9">
        <f>HYPERLINK("https://www.epingalert.org/en/Search?viewData= G/TBT/N/RUS/21"," G/TBT/N/RUS/21")</f>
      </c>
      <c r="D573" s="8" t="s">
        <v>2661</v>
      </c>
      <c r="E573" s="8" t="s">
        <v>2662</v>
      </c>
      <c r="F573" s="8" t="s">
        <v>2663</v>
      </c>
      <c r="G573" s="8" t="s">
        <v>36</v>
      </c>
      <c r="H573" s="8" t="s">
        <v>564</v>
      </c>
      <c r="I573" s="8" t="s">
        <v>796</v>
      </c>
      <c r="J573" s="8" t="s">
        <v>120</v>
      </c>
      <c r="K573" s="6"/>
      <c r="L573" s="7">
        <v>41464</v>
      </c>
      <c r="M573" s="6" t="s">
        <v>51</v>
      </c>
      <c r="N573" s="6"/>
      <c r="O573" s="6">
        <f>HYPERLINK("https://docs.wto.org/imrd/directdoc.asp?DDFDocuments/t/G/TBTN13/RUS21.DOC", "https://docs.wto.org/imrd/directdoc.asp?DDFDocuments/t/G/TBTN13/RUS21.DOC")</f>
      </c>
      <c r="P573" s="6">
        <f>HYPERLINK("https://docs.wto.org/imrd/directdoc.asp?DDFDocuments/u/G/TBTN13/RUS21.DOC", "https://docs.wto.org/imrd/directdoc.asp?DDFDocuments/u/G/TBTN13/RUS21.DOC")</f>
      </c>
      <c r="Q573" s="6">
        <f>HYPERLINK("https://docs.wto.org/imrd/directdoc.asp?DDFDocuments/v/G/TBTN13/RUS21.DOC", "https://docs.wto.org/imrd/directdoc.asp?DDFDocuments/v/G/TBTN13/RUS21.DOC")</f>
      </c>
      <c r="R573" s="0" t="s">
        <v>43</v>
      </c>
      <c r="S573" s="0" t="s">
        <v>42</v>
      </c>
      <c r="T573" s="0" t="s">
        <v>42</v>
      </c>
      <c r="U573" s="0" t="s">
        <v>42</v>
      </c>
      <c r="V573" s="0" t="s">
        <v>42</v>
      </c>
      <c r="W573" s="0" t="s">
        <v>42</v>
      </c>
      <c r="X573" s="0" t="s">
        <v>42</v>
      </c>
      <c r="Y573" s="2"/>
      <c r="Z573" s="0" t="s">
        <v>36</v>
      </c>
      <c r="AA573" s="0" t="s">
        <v>36</v>
      </c>
      <c r="AB573" s="0" t="s">
        <v>36</v>
      </c>
      <c r="AC573" s="0" t="s">
        <v>36</v>
      </c>
      <c r="AD573" s="0" t="s">
        <v>36</v>
      </c>
      <c r="AE573" s="2" t="s">
        <v>36</v>
      </c>
    </row>
    <row r="574">
      <c r="A574" s="6" t="s">
        <v>31</v>
      </c>
      <c r="B574" s="7">
        <v>41410</v>
      </c>
      <c r="C574" s="9">
        <f>HYPERLINK("https://www.epingalert.org/en/Search?viewData= G/SPS/N/RUS/25/Add.1"," G/SPS/N/RUS/25/Add.1")</f>
      </c>
      <c r="D574" s="8" t="s">
        <v>2457</v>
      </c>
      <c r="E574" s="8" t="s">
        <v>2664</v>
      </c>
      <c r="F574" s="8"/>
      <c r="G574" s="8" t="s">
        <v>36</v>
      </c>
      <c r="H574" s="8" t="s">
        <v>36</v>
      </c>
      <c r="I574" s="8" t="s">
        <v>1328</v>
      </c>
      <c r="J574" s="8" t="s">
        <v>2665</v>
      </c>
      <c r="K574" s="6"/>
      <c r="L574" s="7">
        <v>41467</v>
      </c>
      <c r="M574" s="6" t="s">
        <v>1211</v>
      </c>
      <c r="N574" s="6"/>
      <c r="O574" s="6">
        <f>HYPERLINK("https://docs.wto.org/imrd/directdoc.asp?DDFDocuments/t/G/SPS/NRUS25A1.pdf", "https://docs.wto.org/imrd/directdoc.asp?DDFDocuments/t/G/SPS/NRUS25A1.pdf")</f>
      </c>
      <c r="P574" s="6">
        <f>HYPERLINK("https://docs.wto.org/imrd/directdoc.asp?DDFDocuments/u/G/SPS/NRUS25A1.pdf", "https://docs.wto.org/imrd/directdoc.asp?DDFDocuments/u/G/SPS/NRUS25A1.pdf")</f>
      </c>
      <c r="Q574" s="6">
        <f>HYPERLINK("https://docs.wto.org/imrd/directdoc.asp?DDFDocuments/v/G/SPS/NRUS25A1.pdf", "https://docs.wto.org/imrd/directdoc.asp?DDFDocuments/v/G/SPS/NRUS25A1.pdf")</f>
      </c>
      <c r="R574" s="0" t="s">
        <v>36</v>
      </c>
      <c r="S574" s="0" t="s">
        <v>36</v>
      </c>
      <c r="T574" s="0" t="s">
        <v>36</v>
      </c>
      <c r="U574" s="0" t="s">
        <v>36</v>
      </c>
      <c r="V574" s="0" t="s">
        <v>36</v>
      </c>
      <c r="W574" s="0" t="s">
        <v>36</v>
      </c>
      <c r="X574" s="0" t="s">
        <v>36</v>
      </c>
      <c r="Y574" s="2" t="s">
        <v>36</v>
      </c>
      <c r="Z574" s="0" t="s">
        <v>36</v>
      </c>
      <c r="AA574" s="0" t="s">
        <v>36</v>
      </c>
      <c r="AB574" s="0" t="s">
        <v>36</v>
      </c>
      <c r="AC574" s="0" t="s">
        <v>36</v>
      </c>
      <c r="AD574" s="0" t="s">
        <v>36</v>
      </c>
      <c r="AE574" s="2" t="s">
        <v>36</v>
      </c>
    </row>
    <row r="575">
      <c r="A575" s="6" t="s">
        <v>31</v>
      </c>
      <c r="B575" s="7">
        <v>41410</v>
      </c>
      <c r="C575" s="9">
        <f>HYPERLINK("https://www.epingalert.org/en/Search?viewData= G/SPS/N/RUS/26/Add.1"," G/SPS/N/RUS/26/Add.1")</f>
      </c>
      <c r="D575" s="8" t="s">
        <v>2468</v>
      </c>
      <c r="E575" s="8" t="s">
        <v>2666</v>
      </c>
      <c r="F575" s="8"/>
      <c r="G575" s="8" t="s">
        <v>2470</v>
      </c>
      <c r="H575" s="8" t="s">
        <v>36</v>
      </c>
      <c r="I575" s="8" t="s">
        <v>1328</v>
      </c>
      <c r="J575" s="8" t="s">
        <v>2665</v>
      </c>
      <c r="K575" s="6"/>
      <c r="L575" s="7">
        <v>41467</v>
      </c>
      <c r="M575" s="6" t="s">
        <v>1211</v>
      </c>
      <c r="N575" s="6"/>
      <c r="O575" s="6">
        <f>HYPERLINK("https://docs.wto.org/imrd/directdoc.asp?DDFDocuments/t/G/SPS/NRUS26A1.pdf", "https://docs.wto.org/imrd/directdoc.asp?DDFDocuments/t/G/SPS/NRUS26A1.pdf")</f>
      </c>
      <c r="P575" s="6">
        <f>HYPERLINK("https://docs.wto.org/imrd/directdoc.asp?DDFDocuments/u/G/SPS/NRUS26A1.pdf", "https://docs.wto.org/imrd/directdoc.asp?DDFDocuments/u/G/SPS/NRUS26A1.pdf")</f>
      </c>
      <c r="Q575" s="6">
        <f>HYPERLINK("https://docs.wto.org/imrd/directdoc.asp?DDFDocuments/v/G/SPS/NRUS26A1.pdf", "https://docs.wto.org/imrd/directdoc.asp?DDFDocuments/v/G/SPS/NRUS26A1.pdf")</f>
      </c>
      <c r="R575" s="0" t="s">
        <v>36</v>
      </c>
      <c r="S575" s="0" t="s">
        <v>36</v>
      </c>
      <c r="T575" s="0" t="s">
        <v>36</v>
      </c>
      <c r="U575" s="0" t="s">
        <v>36</v>
      </c>
      <c r="V575" s="0" t="s">
        <v>36</v>
      </c>
      <c r="W575" s="0" t="s">
        <v>36</v>
      </c>
      <c r="X575" s="0" t="s">
        <v>36</v>
      </c>
      <c r="Y575" s="2" t="s">
        <v>36</v>
      </c>
      <c r="Z575" s="0" t="s">
        <v>36</v>
      </c>
      <c r="AA575" s="0" t="s">
        <v>36</v>
      </c>
      <c r="AB575" s="0" t="s">
        <v>36</v>
      </c>
      <c r="AC575" s="0" t="s">
        <v>36</v>
      </c>
      <c r="AD575" s="0" t="s">
        <v>36</v>
      </c>
      <c r="AE575" s="2" t="s">
        <v>36</v>
      </c>
    </row>
    <row r="576">
      <c r="A576" s="6" t="s">
        <v>31</v>
      </c>
      <c r="B576" s="7">
        <v>41410</v>
      </c>
      <c r="C576" s="9">
        <f>HYPERLINK("https://www.epingalert.org/en/Search?viewData= G/TBT/N/RUS/23"," G/TBT/N/RUS/23")</f>
      </c>
      <c r="D576" s="8" t="s">
        <v>2667</v>
      </c>
      <c r="E576" s="8" t="s">
        <v>2668</v>
      </c>
      <c r="F576" s="8" t="s">
        <v>2509</v>
      </c>
      <c r="G576" s="8" t="s">
        <v>36</v>
      </c>
      <c r="H576" s="8" t="s">
        <v>2669</v>
      </c>
      <c r="I576" s="8" t="s">
        <v>796</v>
      </c>
      <c r="J576" s="8" t="s">
        <v>120</v>
      </c>
      <c r="K576" s="6"/>
      <c r="L576" s="7">
        <v>41464</v>
      </c>
      <c r="M576" s="6" t="s">
        <v>51</v>
      </c>
      <c r="N576" s="6"/>
      <c r="O576" s="6">
        <f>HYPERLINK("https://docs.wto.org/imrd/directdoc.asp?DDFDocuments/t/G/TBTN13/RUS23.DOC", "https://docs.wto.org/imrd/directdoc.asp?DDFDocuments/t/G/TBTN13/RUS23.DOC")</f>
      </c>
      <c r="P576" s="6">
        <f>HYPERLINK("https://docs.wto.org/imrd/directdoc.asp?DDFDocuments/u/G/TBTN13/RUS23.DOC", "https://docs.wto.org/imrd/directdoc.asp?DDFDocuments/u/G/TBTN13/RUS23.DOC")</f>
      </c>
      <c r="Q576" s="6">
        <f>HYPERLINK("https://docs.wto.org/imrd/directdoc.asp?DDFDocuments/v/G/TBTN13/RUS23.DOC", "https://docs.wto.org/imrd/directdoc.asp?DDFDocuments/v/G/TBTN13/RUS23.DOC")</f>
      </c>
      <c r="R576" s="0" t="s">
        <v>43</v>
      </c>
      <c r="S576" s="0" t="s">
        <v>42</v>
      </c>
      <c r="T576" s="0" t="s">
        <v>42</v>
      </c>
      <c r="U576" s="0" t="s">
        <v>42</v>
      </c>
      <c r="V576" s="0" t="s">
        <v>42</v>
      </c>
      <c r="W576" s="0" t="s">
        <v>42</v>
      </c>
      <c r="X576" s="0" t="s">
        <v>42</v>
      </c>
      <c r="Y576" s="2"/>
      <c r="Z576" s="0" t="s">
        <v>36</v>
      </c>
      <c r="AA576" s="0" t="s">
        <v>36</v>
      </c>
      <c r="AB576" s="0" t="s">
        <v>36</v>
      </c>
      <c r="AC576" s="0" t="s">
        <v>36</v>
      </c>
      <c r="AD576" s="0" t="s">
        <v>36</v>
      </c>
      <c r="AE576" s="2" t="s">
        <v>36</v>
      </c>
    </row>
    <row r="577">
      <c r="A577" s="6" t="s">
        <v>31</v>
      </c>
      <c r="B577" s="7">
        <v>41410</v>
      </c>
      <c r="C577" s="9">
        <f>HYPERLINK("https://www.epingalert.org/en/Search?viewData= G/TBT/N/RUS/22"," G/TBT/N/RUS/22")</f>
      </c>
      <c r="D577" s="8" t="s">
        <v>2670</v>
      </c>
      <c r="E577" s="8" t="s">
        <v>2671</v>
      </c>
      <c r="F577" s="8" t="s">
        <v>2518</v>
      </c>
      <c r="G577" s="8" t="s">
        <v>36</v>
      </c>
      <c r="H577" s="8" t="s">
        <v>1483</v>
      </c>
      <c r="I577" s="8" t="s">
        <v>796</v>
      </c>
      <c r="J577" s="8" t="s">
        <v>120</v>
      </c>
      <c r="K577" s="6"/>
      <c r="L577" s="7">
        <v>41464</v>
      </c>
      <c r="M577" s="6" t="s">
        <v>51</v>
      </c>
      <c r="N577" s="6"/>
      <c r="O577" s="6">
        <f>HYPERLINK("https://docs.wto.org/imrd/directdoc.asp?DDFDocuments/t/G/TBTN13/RUS22.DOC", "https://docs.wto.org/imrd/directdoc.asp?DDFDocuments/t/G/TBTN13/RUS22.DOC")</f>
      </c>
      <c r="P577" s="6">
        <f>HYPERLINK("https://docs.wto.org/imrd/directdoc.asp?DDFDocuments/u/G/TBTN13/RUS22.DOC", "https://docs.wto.org/imrd/directdoc.asp?DDFDocuments/u/G/TBTN13/RUS22.DOC")</f>
      </c>
      <c r="Q577" s="6">
        <f>HYPERLINK("https://docs.wto.org/imrd/directdoc.asp?DDFDocuments/v/G/TBTN13/RUS22.DOC", "https://docs.wto.org/imrd/directdoc.asp?DDFDocuments/v/G/TBTN13/RUS22.DOC")</f>
      </c>
      <c r="R577" s="0" t="s">
        <v>43</v>
      </c>
      <c r="S577" s="0" t="s">
        <v>42</v>
      </c>
      <c r="T577" s="0" t="s">
        <v>42</v>
      </c>
      <c r="U577" s="0" t="s">
        <v>42</v>
      </c>
      <c r="V577" s="0" t="s">
        <v>42</v>
      </c>
      <c r="W577" s="0" t="s">
        <v>42</v>
      </c>
      <c r="X577" s="0" t="s">
        <v>42</v>
      </c>
      <c r="Y577" s="2"/>
      <c r="Z577" s="0" t="s">
        <v>36</v>
      </c>
      <c r="AA577" s="0" t="s">
        <v>36</v>
      </c>
      <c r="AB577" s="0" t="s">
        <v>36</v>
      </c>
      <c r="AC577" s="0" t="s">
        <v>36</v>
      </c>
      <c r="AD577" s="0" t="s">
        <v>36</v>
      </c>
      <c r="AE577" s="2" t="s">
        <v>36</v>
      </c>
    </row>
    <row r="578">
      <c r="A578" s="6" t="s">
        <v>31</v>
      </c>
      <c r="B578" s="7">
        <v>41407</v>
      </c>
      <c r="C578" s="9">
        <f>HYPERLINK("https://www.epingalert.org/en/Search?viewData= G/SPS/N/RUS/6/Add.1"," G/SPS/N/RUS/6/Add.1")</f>
      </c>
      <c r="D578" s="8" t="s">
        <v>2672</v>
      </c>
      <c r="E578" s="8" t="s">
        <v>2673</v>
      </c>
      <c r="F578" s="8"/>
      <c r="G578" s="8" t="s">
        <v>2674</v>
      </c>
      <c r="H578" s="8" t="s">
        <v>36</v>
      </c>
      <c r="I578" s="8" t="s">
        <v>332</v>
      </c>
      <c r="J578" s="8" t="s">
        <v>1810</v>
      </c>
      <c r="K578" s="6"/>
      <c r="L578" s="7" t="s">
        <v>36</v>
      </c>
      <c r="M578" s="6" t="s">
        <v>1211</v>
      </c>
      <c r="N578" s="6"/>
      <c r="O578" s="6">
        <f>HYPERLINK("https://docs.wto.org/imrd/directdoc.asp?DDFDocuments/t/G/SPS/NRUS6A1.pdf", "https://docs.wto.org/imrd/directdoc.asp?DDFDocuments/t/G/SPS/NRUS6A1.pdf")</f>
      </c>
      <c r="P578" s="6">
        <f>HYPERLINK("https://docs.wto.org/imrd/directdoc.asp?DDFDocuments/u/G/SPS/NRUS6A1.pdf", "https://docs.wto.org/imrd/directdoc.asp?DDFDocuments/u/G/SPS/NRUS6A1.pdf")</f>
      </c>
      <c r="Q578" s="6">
        <f>HYPERLINK("https://docs.wto.org/imrd/directdoc.asp?DDFDocuments/v/G/SPS/NRUS6A1.pdf", "https://docs.wto.org/imrd/directdoc.asp?DDFDocuments/v/G/SPS/NRUS6A1.pdf")</f>
      </c>
      <c r="R578" s="0" t="s">
        <v>36</v>
      </c>
      <c r="S578" s="0" t="s">
        <v>36</v>
      </c>
      <c r="T578" s="0" t="s">
        <v>36</v>
      </c>
      <c r="U578" s="0" t="s">
        <v>36</v>
      </c>
      <c r="V578" s="0" t="s">
        <v>36</v>
      </c>
      <c r="W578" s="0" t="s">
        <v>36</v>
      </c>
      <c r="X578" s="0" t="s">
        <v>36</v>
      </c>
      <c r="Y578" s="2" t="s">
        <v>36</v>
      </c>
      <c r="Z578" s="0" t="s">
        <v>36</v>
      </c>
      <c r="AA578" s="0" t="s">
        <v>36</v>
      </c>
      <c r="AB578" s="0" t="s">
        <v>36</v>
      </c>
      <c r="AC578" s="0" t="s">
        <v>36</v>
      </c>
      <c r="AD578" s="0" t="s">
        <v>36</v>
      </c>
      <c r="AE578" s="2" t="s">
        <v>36</v>
      </c>
    </row>
    <row r="579">
      <c r="A579" s="6" t="s">
        <v>31</v>
      </c>
      <c r="B579" s="7">
        <v>41407</v>
      </c>
      <c r="C579" s="9">
        <f>HYPERLINK("https://www.epingalert.org/en/Search?viewData= G/SPS/N/RUS/26"," G/SPS/N/RUS/26")</f>
      </c>
      <c r="D579" s="8" t="s">
        <v>2675</v>
      </c>
      <c r="E579" s="8" t="s">
        <v>2676</v>
      </c>
      <c r="F579" s="8" t="s">
        <v>2509</v>
      </c>
      <c r="G579" s="8" t="s">
        <v>2470</v>
      </c>
      <c r="H579" s="8" t="s">
        <v>36</v>
      </c>
      <c r="I579" s="8" t="s">
        <v>97</v>
      </c>
      <c r="J579" s="8" t="s">
        <v>2677</v>
      </c>
      <c r="K579" s="6"/>
      <c r="L579" s="7">
        <v>41464</v>
      </c>
      <c r="M579" s="6" t="s">
        <v>51</v>
      </c>
      <c r="N579" s="8" t="s">
        <v>2678</v>
      </c>
      <c r="O579" s="6">
        <f>HYPERLINK("https://docs.wto.org/imrd/directdoc.asp?DDFDocuments/t/G/SPS/NRUS26.pdf", "https://docs.wto.org/imrd/directdoc.asp?DDFDocuments/t/G/SPS/NRUS26.pdf")</f>
      </c>
      <c r="P579" s="6">
        <f>HYPERLINK("https://docs.wto.org/imrd/directdoc.asp?DDFDocuments/u/G/SPS/NRUS26.pdf", "https://docs.wto.org/imrd/directdoc.asp?DDFDocuments/u/G/SPS/NRUS26.pdf")</f>
      </c>
      <c r="Q579" s="6">
        <f>HYPERLINK("https://docs.wto.org/imrd/directdoc.asp?DDFDocuments/v/G/SPS/NRUS26.pdf", "https://docs.wto.org/imrd/directdoc.asp?DDFDocuments/v/G/SPS/NRUS26.pdf")</f>
      </c>
      <c r="R579" s="0" t="s">
        <v>36</v>
      </c>
      <c r="S579" s="0" t="s">
        <v>36</v>
      </c>
      <c r="T579" s="0" t="s">
        <v>36</v>
      </c>
      <c r="U579" s="0" t="s">
        <v>36</v>
      </c>
      <c r="V579" s="0" t="s">
        <v>36</v>
      </c>
      <c r="W579" s="0" t="s">
        <v>36</v>
      </c>
      <c r="X579" s="0" t="s">
        <v>36</v>
      </c>
      <c r="Y579" s="2" t="s">
        <v>36</v>
      </c>
      <c r="Z579" s="0" t="s">
        <v>43</v>
      </c>
      <c r="AA579" s="0" t="s">
        <v>42</v>
      </c>
      <c r="AB579" s="0" t="s">
        <v>42</v>
      </c>
      <c r="AC579" s="0" t="s">
        <v>42</v>
      </c>
      <c r="AD579" s="0" t="s">
        <v>43</v>
      </c>
      <c r="AE579" s="2"/>
    </row>
    <row r="580">
      <c r="A580" s="6" t="s">
        <v>31</v>
      </c>
      <c r="B580" s="7">
        <v>41407</v>
      </c>
      <c r="C580" s="9">
        <f>HYPERLINK("https://www.epingalert.org/en/Search?viewData= G/SPS/N/RUS/14/Add.2"," G/SPS/N/RUS/14/Add.2")</f>
      </c>
      <c r="D580" s="8" t="s">
        <v>2679</v>
      </c>
      <c r="E580" s="8" t="s">
        <v>2680</v>
      </c>
      <c r="F580" s="8"/>
      <c r="G580" s="8" t="s">
        <v>2681</v>
      </c>
      <c r="H580" s="8" t="s">
        <v>36</v>
      </c>
      <c r="I580" s="8" t="s">
        <v>1328</v>
      </c>
      <c r="J580" s="8" t="s">
        <v>2682</v>
      </c>
      <c r="K580" s="6"/>
      <c r="L580" s="7">
        <v>41467</v>
      </c>
      <c r="M580" s="6" t="s">
        <v>1211</v>
      </c>
      <c r="N580" s="6"/>
      <c r="O580" s="6">
        <f>HYPERLINK("https://docs.wto.org/imrd/directdoc.asp?DDFDocuments/t/G/SPS/NRUS14A2.pdf", "https://docs.wto.org/imrd/directdoc.asp?DDFDocuments/t/G/SPS/NRUS14A2.pdf")</f>
      </c>
      <c r="P580" s="6">
        <f>HYPERLINK("https://docs.wto.org/imrd/directdoc.asp?DDFDocuments/u/G/SPS/NRUS14A2.pdf", "https://docs.wto.org/imrd/directdoc.asp?DDFDocuments/u/G/SPS/NRUS14A2.pdf")</f>
      </c>
      <c r="Q580" s="6">
        <f>HYPERLINK("https://docs.wto.org/imrd/directdoc.asp?DDFDocuments/v/G/SPS/NRUS14A2.pdf", "https://docs.wto.org/imrd/directdoc.asp?DDFDocuments/v/G/SPS/NRUS14A2.pdf")</f>
      </c>
      <c r="R580" s="0" t="s">
        <v>36</v>
      </c>
      <c r="S580" s="0" t="s">
        <v>36</v>
      </c>
      <c r="T580" s="0" t="s">
        <v>36</v>
      </c>
      <c r="U580" s="0" t="s">
        <v>36</v>
      </c>
      <c r="V580" s="0" t="s">
        <v>36</v>
      </c>
      <c r="W580" s="0" t="s">
        <v>36</v>
      </c>
      <c r="X580" s="0" t="s">
        <v>36</v>
      </c>
      <c r="Y580" s="2" t="s">
        <v>36</v>
      </c>
      <c r="Z580" s="0" t="s">
        <v>36</v>
      </c>
      <c r="AA580" s="0" t="s">
        <v>36</v>
      </c>
      <c r="AB580" s="0" t="s">
        <v>36</v>
      </c>
      <c r="AC580" s="0" t="s">
        <v>36</v>
      </c>
      <c r="AD580" s="0" t="s">
        <v>36</v>
      </c>
      <c r="AE580" s="2" t="s">
        <v>36</v>
      </c>
    </row>
    <row r="581">
      <c r="A581" s="6" t="s">
        <v>31</v>
      </c>
      <c r="B581" s="7">
        <v>41407</v>
      </c>
      <c r="C581" s="9">
        <f>HYPERLINK("https://www.epingalert.org/en/Search?viewData= G/SPS/N/RUS/25"," G/SPS/N/RUS/25")</f>
      </c>
      <c r="D581" s="8" t="s">
        <v>2683</v>
      </c>
      <c r="E581" s="8" t="s">
        <v>2684</v>
      </c>
      <c r="F581" s="8" t="s">
        <v>563</v>
      </c>
      <c r="G581" s="8" t="s">
        <v>36</v>
      </c>
      <c r="H581" s="8" t="s">
        <v>36</v>
      </c>
      <c r="I581" s="8" t="s">
        <v>97</v>
      </c>
      <c r="J581" s="8" t="s">
        <v>105</v>
      </c>
      <c r="K581" s="6"/>
      <c r="L581" s="7">
        <v>41464</v>
      </c>
      <c r="M581" s="6" t="s">
        <v>51</v>
      </c>
      <c r="N581" s="8" t="s">
        <v>2685</v>
      </c>
      <c r="O581" s="6">
        <f>HYPERLINK("https://docs.wto.org/imrd/directdoc.asp?DDFDocuments/t/G/SPS/NRUS25.pdf", "https://docs.wto.org/imrd/directdoc.asp?DDFDocuments/t/G/SPS/NRUS25.pdf")</f>
      </c>
      <c r="P581" s="6">
        <f>HYPERLINK("https://docs.wto.org/imrd/directdoc.asp?DDFDocuments/u/G/SPS/NRUS25.pdf", "https://docs.wto.org/imrd/directdoc.asp?DDFDocuments/u/G/SPS/NRUS25.pdf")</f>
      </c>
      <c r="Q581" s="6">
        <f>HYPERLINK("https://docs.wto.org/imrd/directdoc.asp?DDFDocuments/v/G/SPS/NRUS25.pdf", "https://docs.wto.org/imrd/directdoc.asp?DDFDocuments/v/G/SPS/NRUS25.pdf")</f>
      </c>
      <c r="R581" s="0" t="s">
        <v>36</v>
      </c>
      <c r="S581" s="0" t="s">
        <v>36</v>
      </c>
      <c r="T581" s="0" t="s">
        <v>36</v>
      </c>
      <c r="U581" s="0" t="s">
        <v>36</v>
      </c>
      <c r="V581" s="0" t="s">
        <v>36</v>
      </c>
      <c r="W581" s="0" t="s">
        <v>36</v>
      </c>
      <c r="X581" s="0" t="s">
        <v>36</v>
      </c>
      <c r="Y581" s="2" t="s">
        <v>36</v>
      </c>
      <c r="Z581" s="0" t="s">
        <v>43</v>
      </c>
      <c r="AA581" s="0" t="s">
        <v>42</v>
      </c>
      <c r="AB581" s="0" t="s">
        <v>42</v>
      </c>
      <c r="AC581" s="0" t="s">
        <v>42</v>
      </c>
      <c r="AD581" s="0" t="s">
        <v>43</v>
      </c>
      <c r="AE581" s="2"/>
    </row>
    <row r="582">
      <c r="A582" s="6" t="s">
        <v>31</v>
      </c>
      <c r="B582" s="7">
        <v>41401</v>
      </c>
      <c r="C582" s="9">
        <f>HYPERLINK("https://www.epingalert.org/en/Search?viewData= G/SPS/N/RUS/24"," G/SPS/N/RUS/24")</f>
      </c>
      <c r="D582" s="8" t="s">
        <v>2686</v>
      </c>
      <c r="E582" s="8" t="s">
        <v>2687</v>
      </c>
      <c r="F582" s="8" t="s">
        <v>2688</v>
      </c>
      <c r="G582" s="8" t="s">
        <v>215</v>
      </c>
      <c r="H582" s="8" t="s">
        <v>36</v>
      </c>
      <c r="I582" s="8" t="s">
        <v>505</v>
      </c>
      <c r="J582" s="8" t="s">
        <v>996</v>
      </c>
      <c r="K582" s="6" t="s">
        <v>1814</v>
      </c>
      <c r="L582" s="7" t="s">
        <v>36</v>
      </c>
      <c r="M582" s="6" t="s">
        <v>40</v>
      </c>
      <c r="N582" s="6"/>
      <c r="O582" s="6">
        <f>HYPERLINK("https://docs.wto.org/imrd/directdoc.asp?DDFDocuments/t/G/SPS/NRUS24.pdf", "https://docs.wto.org/imrd/directdoc.asp?DDFDocuments/t/G/SPS/NRUS24.pdf")</f>
      </c>
      <c r="P582" s="6">
        <f>HYPERLINK("https://docs.wto.org/imrd/directdoc.asp?DDFDocuments/u/G/SPS/NRUS24.pdf", "https://docs.wto.org/imrd/directdoc.asp?DDFDocuments/u/G/SPS/NRUS24.pdf")</f>
      </c>
      <c r="Q582" s="6">
        <f>HYPERLINK("https://docs.wto.org/imrd/directdoc.asp?DDFDocuments/v/G/SPS/NRUS24.pdf", "https://docs.wto.org/imrd/directdoc.asp?DDFDocuments/v/G/SPS/NRUS24.pdf")</f>
      </c>
      <c r="R582" s="0" t="s">
        <v>36</v>
      </c>
      <c r="S582" s="0" t="s">
        <v>36</v>
      </c>
      <c r="T582" s="0" t="s">
        <v>36</v>
      </c>
      <c r="U582" s="0" t="s">
        <v>36</v>
      </c>
      <c r="V582" s="0" t="s">
        <v>36</v>
      </c>
      <c r="W582" s="0" t="s">
        <v>36</v>
      </c>
      <c r="X582" s="0" t="s">
        <v>36</v>
      </c>
      <c r="Y582" s="2" t="s">
        <v>36</v>
      </c>
      <c r="Z582" s="0" t="s">
        <v>42</v>
      </c>
      <c r="AA582" s="0" t="s">
        <v>42</v>
      </c>
      <c r="AB582" s="0" t="s">
        <v>43</v>
      </c>
      <c r="AC582" s="0" t="s">
        <v>42</v>
      </c>
      <c r="AD582" s="0" t="s">
        <v>43</v>
      </c>
      <c r="AE582" s="2"/>
    </row>
    <row r="583">
      <c r="A583" s="6" t="s">
        <v>31</v>
      </c>
      <c r="B583" s="7">
        <v>41383</v>
      </c>
      <c r="C583" s="9">
        <f>HYPERLINK("https://www.epingalert.org/en/Search?viewData= G/SPS/N/RUS/14/Add.1"," G/SPS/N/RUS/14/Add.1")</f>
      </c>
      <c r="D583" s="8" t="s">
        <v>2689</v>
      </c>
      <c r="E583" s="8" t="s">
        <v>2690</v>
      </c>
      <c r="F583" s="8"/>
      <c r="G583" s="8" t="s">
        <v>2691</v>
      </c>
      <c r="H583" s="8" t="s">
        <v>36</v>
      </c>
      <c r="I583" s="8" t="s">
        <v>1328</v>
      </c>
      <c r="J583" s="8" t="s">
        <v>2692</v>
      </c>
      <c r="K583" s="6"/>
      <c r="L583" s="7">
        <v>41443</v>
      </c>
      <c r="M583" s="6" t="s">
        <v>1211</v>
      </c>
      <c r="N583" s="6"/>
      <c r="O583" s="6">
        <f>HYPERLINK("https://docs.wto.org/imrd/directdoc.asp?DDFDocuments/t/G/SPS/NRUS14A1.pdf", "https://docs.wto.org/imrd/directdoc.asp?DDFDocuments/t/G/SPS/NRUS14A1.pdf")</f>
      </c>
      <c r="P583" s="6">
        <f>HYPERLINK("https://docs.wto.org/imrd/directdoc.asp?DDFDocuments/u/G/SPS/NRUS14A1.pdf", "https://docs.wto.org/imrd/directdoc.asp?DDFDocuments/u/G/SPS/NRUS14A1.pdf")</f>
      </c>
      <c r="Q583" s="6">
        <f>HYPERLINK("https://docs.wto.org/imrd/directdoc.asp?DDFDocuments/v/G/SPS/NRUS14A1.pdf", "https://docs.wto.org/imrd/directdoc.asp?DDFDocuments/v/G/SPS/NRUS14A1.pdf")</f>
      </c>
      <c r="R583" s="0" t="s">
        <v>36</v>
      </c>
      <c r="S583" s="0" t="s">
        <v>36</v>
      </c>
      <c r="T583" s="0" t="s">
        <v>36</v>
      </c>
      <c r="U583" s="0" t="s">
        <v>36</v>
      </c>
      <c r="V583" s="0" t="s">
        <v>36</v>
      </c>
      <c r="W583" s="0" t="s">
        <v>36</v>
      </c>
      <c r="X583" s="0" t="s">
        <v>36</v>
      </c>
      <c r="Y583" s="2" t="s">
        <v>36</v>
      </c>
      <c r="Z583" s="0" t="s">
        <v>36</v>
      </c>
      <c r="AA583" s="0" t="s">
        <v>36</v>
      </c>
      <c r="AB583" s="0" t="s">
        <v>36</v>
      </c>
      <c r="AC583" s="0" t="s">
        <v>36</v>
      </c>
      <c r="AD583" s="0" t="s">
        <v>36</v>
      </c>
      <c r="AE583" s="2" t="s">
        <v>36</v>
      </c>
    </row>
    <row r="584">
      <c r="A584" s="6" t="s">
        <v>31</v>
      </c>
      <c r="B584" s="7">
        <v>41383</v>
      </c>
      <c r="C584" s="9">
        <f>HYPERLINK("https://www.epingalert.org/en/Search?viewData= G/SPS/N/RUS/15/Add.1"," G/SPS/N/RUS/15/Add.1")</f>
      </c>
      <c r="D584" s="8" t="s">
        <v>2693</v>
      </c>
      <c r="E584" s="8" t="s">
        <v>2694</v>
      </c>
      <c r="F584" s="8"/>
      <c r="G584" s="8" t="s">
        <v>2695</v>
      </c>
      <c r="H584" s="8" t="s">
        <v>36</v>
      </c>
      <c r="I584" s="8" t="s">
        <v>1328</v>
      </c>
      <c r="J584" s="8" t="s">
        <v>2682</v>
      </c>
      <c r="K584" s="6"/>
      <c r="L584" s="7" t="s">
        <v>36</v>
      </c>
      <c r="M584" s="6" t="s">
        <v>1211</v>
      </c>
      <c r="N584" s="6"/>
      <c r="O584" s="6">
        <f>HYPERLINK("https://docs.wto.org/imrd/directdoc.asp?DDFDocuments/t/G/SPS/NRUS15A1.pdf", "https://docs.wto.org/imrd/directdoc.asp?DDFDocuments/t/G/SPS/NRUS15A1.pdf")</f>
      </c>
      <c r="P584" s="6">
        <f>HYPERLINK("https://docs.wto.org/imrd/directdoc.asp?DDFDocuments/u/G/SPS/NRUS15A1.pdf", "https://docs.wto.org/imrd/directdoc.asp?DDFDocuments/u/G/SPS/NRUS15A1.pdf")</f>
      </c>
      <c r="Q584" s="6">
        <f>HYPERLINK("https://docs.wto.org/imrd/directdoc.asp?DDFDocuments/v/G/SPS/NRUS15A1.pdf", "https://docs.wto.org/imrd/directdoc.asp?DDFDocuments/v/G/SPS/NRUS15A1.pdf")</f>
      </c>
      <c r="R584" s="0" t="s">
        <v>36</v>
      </c>
      <c r="S584" s="0" t="s">
        <v>36</v>
      </c>
      <c r="T584" s="0" t="s">
        <v>36</v>
      </c>
      <c r="U584" s="0" t="s">
        <v>36</v>
      </c>
      <c r="V584" s="0" t="s">
        <v>36</v>
      </c>
      <c r="W584" s="0" t="s">
        <v>36</v>
      </c>
      <c r="X584" s="0" t="s">
        <v>36</v>
      </c>
      <c r="Y584" s="2" t="s">
        <v>36</v>
      </c>
      <c r="Z584" s="0" t="s">
        <v>36</v>
      </c>
      <c r="AA584" s="0" t="s">
        <v>36</v>
      </c>
      <c r="AB584" s="0" t="s">
        <v>36</v>
      </c>
      <c r="AC584" s="0" t="s">
        <v>36</v>
      </c>
      <c r="AD584" s="0" t="s">
        <v>36</v>
      </c>
      <c r="AE584" s="2" t="s">
        <v>36</v>
      </c>
    </row>
    <row r="585">
      <c r="A585" s="6" t="s">
        <v>31</v>
      </c>
      <c r="B585" s="7">
        <v>41383</v>
      </c>
      <c r="C585" s="9">
        <f>HYPERLINK("https://www.epingalert.org/en/Search?viewData= G/SPS/N/RUS/23"," G/SPS/N/RUS/23")</f>
      </c>
      <c r="D585" s="8" t="s">
        <v>2696</v>
      </c>
      <c r="E585" s="8" t="s">
        <v>2697</v>
      </c>
      <c r="F585" s="8" t="s">
        <v>2698</v>
      </c>
      <c r="G585" s="8" t="s">
        <v>2699</v>
      </c>
      <c r="H585" s="8" t="s">
        <v>36</v>
      </c>
      <c r="I585" s="8" t="s">
        <v>37</v>
      </c>
      <c r="J585" s="8" t="s">
        <v>2700</v>
      </c>
      <c r="K585" s="6"/>
      <c r="L585" s="7">
        <v>41443</v>
      </c>
      <c r="M585" s="6" t="s">
        <v>51</v>
      </c>
      <c r="N585" s="6"/>
      <c r="O585" s="6">
        <f>HYPERLINK("https://docs.wto.org/imrd/directdoc.asp?DDFDocuments/t/G/SPS/NRUS23.pdf", "https://docs.wto.org/imrd/directdoc.asp?DDFDocuments/t/G/SPS/NRUS23.pdf")</f>
      </c>
      <c r="P585" s="6">
        <f>HYPERLINK("https://docs.wto.org/imrd/directdoc.asp?DDFDocuments/u/G/SPS/NRUS23.pdf", "https://docs.wto.org/imrd/directdoc.asp?DDFDocuments/u/G/SPS/NRUS23.pdf")</f>
      </c>
      <c r="Q585" s="6">
        <f>HYPERLINK("https://docs.wto.org/imrd/directdoc.asp?DDFDocuments/v/G/SPS/NRUS23.pdf", "https://docs.wto.org/imrd/directdoc.asp?DDFDocuments/v/G/SPS/NRUS23.pdf")</f>
      </c>
      <c r="R585" s="0" t="s">
        <v>36</v>
      </c>
      <c r="S585" s="0" t="s">
        <v>36</v>
      </c>
      <c r="T585" s="0" t="s">
        <v>36</v>
      </c>
      <c r="U585" s="0" t="s">
        <v>36</v>
      </c>
      <c r="V585" s="0" t="s">
        <v>36</v>
      </c>
      <c r="W585" s="0" t="s">
        <v>36</v>
      </c>
      <c r="X585" s="0" t="s">
        <v>36</v>
      </c>
      <c r="Y585" s="2" t="s">
        <v>36</v>
      </c>
      <c r="Z585" s="0" t="s">
        <v>42</v>
      </c>
      <c r="AA585" s="0" t="s">
        <v>43</v>
      </c>
      <c r="AB585" s="0" t="s">
        <v>42</v>
      </c>
      <c r="AC585" s="0" t="s">
        <v>42</v>
      </c>
      <c r="AD585" s="0" t="s">
        <v>43</v>
      </c>
      <c r="AE585" s="2"/>
    </row>
    <row r="586">
      <c r="A586" s="6" t="s">
        <v>31</v>
      </c>
      <c r="B586" s="7">
        <v>41383</v>
      </c>
      <c r="C586" s="9">
        <f>HYPERLINK("https://www.epingalert.org/en/Search?viewData= G/SPS/N/RUS/18/Suppl.1"," G/SPS/N/RUS/18/Suppl.1")</f>
      </c>
      <c r="D586" s="8" t="s">
        <v>36</v>
      </c>
      <c r="E586" s="8" t="s">
        <v>36</v>
      </c>
      <c r="F586" s="8" t="s">
        <v>36</v>
      </c>
      <c r="G586" s="8" t="s">
        <v>36</v>
      </c>
      <c r="H586" s="8" t="s">
        <v>36</v>
      </c>
      <c r="I586" s="8" t="s">
        <v>36</v>
      </c>
      <c r="J586" s="8" t="s">
        <v>36</v>
      </c>
      <c r="K586" s="6"/>
      <c r="L586" s="7" t="s">
        <v>36</v>
      </c>
      <c r="M586" s="6" t="s">
        <v>2701</v>
      </c>
      <c r="N586" s="8" t="s">
        <v>2702</v>
      </c>
      <c r="O586" s="6">
        <f>HYPERLINK("https://docs.wto.org/imrd/directdoc.asp?DDFDocuments/t/G/SPS/NRUS18S1.DOC", "https://docs.wto.org/imrd/directdoc.asp?DDFDocuments/t/G/SPS/NRUS18S1.DOC")</f>
      </c>
      <c r="P586" s="6">
        <f>HYPERLINK("https://docs.wto.org/imrd/directdoc.asp?DDFDocuments/u/G/SPS/NRUS18S1.DOC", "https://docs.wto.org/imrd/directdoc.asp?DDFDocuments/u/G/SPS/NRUS18S1.DOC")</f>
      </c>
      <c r="Q586" s="6">
        <f>HYPERLINK("https://docs.wto.org/imrd/directdoc.asp?DDFDocuments/v/G/SPS/NRUS18S1.DOC", "https://docs.wto.org/imrd/directdoc.asp?DDFDocuments/v/G/SPS/NRUS18S1.DOC")</f>
      </c>
      <c r="R586" s="0" t="s">
        <v>36</v>
      </c>
      <c r="S586" s="0" t="s">
        <v>36</v>
      </c>
      <c r="T586" s="0" t="s">
        <v>36</v>
      </c>
      <c r="U586" s="0" t="s">
        <v>36</v>
      </c>
      <c r="V586" s="0" t="s">
        <v>36</v>
      </c>
      <c r="W586" s="0" t="s">
        <v>36</v>
      </c>
      <c r="X586" s="0" t="s">
        <v>36</v>
      </c>
      <c r="Y586" s="2" t="s">
        <v>36</v>
      </c>
      <c r="Z586" s="0" t="s">
        <v>36</v>
      </c>
      <c r="AA586" s="0" t="s">
        <v>36</v>
      </c>
      <c r="AB586" s="0" t="s">
        <v>36</v>
      </c>
      <c r="AC586" s="0" t="s">
        <v>36</v>
      </c>
      <c r="AD586" s="0" t="s">
        <v>36</v>
      </c>
      <c r="AE586" s="2" t="s">
        <v>36</v>
      </c>
    </row>
    <row r="587">
      <c r="A587" s="6" t="s">
        <v>31</v>
      </c>
      <c r="B587" s="7">
        <v>41380</v>
      </c>
      <c r="C587" s="9">
        <f>HYPERLINK("https://www.epingalert.org/en/Search?viewData= G/TBT/N/RUS/17/Suppl.1"," G/TBT/N/RUS/17/Suppl.1")</f>
      </c>
      <c r="D587" s="8" t="s">
        <v>36</v>
      </c>
      <c r="E587" s="8" t="s">
        <v>36</v>
      </c>
      <c r="F587" s="8" t="s">
        <v>36</v>
      </c>
      <c r="G587" s="8" t="s">
        <v>36</v>
      </c>
      <c r="H587" s="8" t="s">
        <v>36</v>
      </c>
      <c r="I587" s="8" t="s">
        <v>36</v>
      </c>
      <c r="J587" s="8" t="s">
        <v>36</v>
      </c>
      <c r="K587" s="6"/>
      <c r="L587" s="7" t="s">
        <v>36</v>
      </c>
      <c r="M587" s="6" t="s">
        <v>2703</v>
      </c>
      <c r="N587" s="8" t="s">
        <v>2704</v>
      </c>
      <c r="O587" s="6">
        <f>HYPERLINK("https://docs.wto.org/imrd/directdoc.asp?DDFDocuments/t/G/Tbtn13/RUS17S1.pdf", "https://docs.wto.org/imrd/directdoc.asp?DDFDocuments/t/G/Tbtn13/RUS17S1.pdf")</f>
      </c>
      <c r="P587" s="6">
        <f>HYPERLINK("https://docs.wto.org/imrd/directdoc.asp?DDFDocuments/u/G/Tbtn13/RUS17S1.pdf", "https://docs.wto.org/imrd/directdoc.asp?DDFDocuments/u/G/Tbtn13/RUS17S1.pdf")</f>
      </c>
      <c r="Q587" s="6">
        <f>HYPERLINK("https://docs.wto.org/imrd/directdoc.asp?DDFDocuments/v/G/Tbtn13/RUS17S1.pdf", "https://docs.wto.org/imrd/directdoc.asp?DDFDocuments/v/G/Tbtn13/RUS17S1.pdf")</f>
      </c>
      <c r="R587" s="0" t="s">
        <v>36</v>
      </c>
      <c r="S587" s="0" t="s">
        <v>36</v>
      </c>
      <c r="T587" s="0" t="s">
        <v>36</v>
      </c>
      <c r="U587" s="0" t="s">
        <v>36</v>
      </c>
      <c r="V587" s="0" t="s">
        <v>36</v>
      </c>
      <c r="W587" s="0" t="s">
        <v>36</v>
      </c>
      <c r="X587" s="0" t="s">
        <v>36</v>
      </c>
      <c r="Y587" s="2" t="s">
        <v>36</v>
      </c>
      <c r="Z587" s="0" t="s">
        <v>36</v>
      </c>
      <c r="AA587" s="0" t="s">
        <v>36</v>
      </c>
      <c r="AB587" s="0" t="s">
        <v>36</v>
      </c>
      <c r="AC587" s="0" t="s">
        <v>36</v>
      </c>
      <c r="AD587" s="0" t="s">
        <v>36</v>
      </c>
      <c r="AE587" s="2" t="s">
        <v>36</v>
      </c>
    </row>
    <row r="588">
      <c r="A588" s="6" t="s">
        <v>31</v>
      </c>
      <c r="B588" s="7">
        <v>41367</v>
      </c>
      <c r="C588" s="9">
        <f>HYPERLINK("https://www.epingalert.org/en/Search?viewData= G/SPS/N/RUS/22"," G/SPS/N/RUS/22")</f>
      </c>
      <c r="D588" s="8" t="s">
        <v>2705</v>
      </c>
      <c r="E588" s="8" t="s">
        <v>2706</v>
      </c>
      <c r="F588" s="8" t="s">
        <v>2707</v>
      </c>
      <c r="G588" s="8" t="s">
        <v>2708</v>
      </c>
      <c r="H588" s="8" t="s">
        <v>36</v>
      </c>
      <c r="I588" s="8" t="s">
        <v>36</v>
      </c>
      <c r="J588" s="8" t="s">
        <v>2709</v>
      </c>
      <c r="K588" s="6" t="s">
        <v>2710</v>
      </c>
      <c r="L588" s="7" t="s">
        <v>36</v>
      </c>
      <c r="M588" s="6" t="s">
        <v>51</v>
      </c>
      <c r="N588" s="6"/>
      <c r="O588" s="6">
        <f>HYPERLINK("https://docs.wto.org/imrd/directdoc.asp?DDFDocuments/t/G/SPS/NRUS22.pdf", "https://docs.wto.org/imrd/directdoc.asp?DDFDocuments/t/G/SPS/NRUS22.pdf")</f>
      </c>
      <c r="P588" s="6">
        <f>HYPERLINK("https://docs.wto.org/imrd/directdoc.asp?DDFDocuments/u/G/SPS/NRUS22.pdf", "https://docs.wto.org/imrd/directdoc.asp?DDFDocuments/u/G/SPS/NRUS22.pdf")</f>
      </c>
      <c r="Q588" s="6">
        <f>HYPERLINK("https://docs.wto.org/imrd/directdoc.asp?DDFDocuments/v/G/SPS/NRUS22.pdf", "https://docs.wto.org/imrd/directdoc.asp?DDFDocuments/v/G/SPS/NRUS22.pdf")</f>
      </c>
      <c r="R588" s="0" t="s">
        <v>36</v>
      </c>
      <c r="S588" s="0" t="s">
        <v>36</v>
      </c>
      <c r="T588" s="0" t="s">
        <v>36</v>
      </c>
      <c r="U588" s="0" t="s">
        <v>36</v>
      </c>
      <c r="V588" s="0" t="s">
        <v>36</v>
      </c>
      <c r="W588" s="0" t="s">
        <v>36</v>
      </c>
      <c r="X588" s="0" t="s">
        <v>36</v>
      </c>
      <c r="Y588" s="2" t="s">
        <v>36</v>
      </c>
      <c r="Z588" s="0" t="s">
        <v>42</v>
      </c>
      <c r="AA588" s="0" t="s">
        <v>42</v>
      </c>
      <c r="AB588" s="0" t="s">
        <v>42</v>
      </c>
      <c r="AC588" s="0" t="s">
        <v>42</v>
      </c>
      <c r="AD588" s="0" t="s">
        <v>42</v>
      </c>
      <c r="AE588" s="2"/>
    </row>
    <row r="589">
      <c r="A589" s="6" t="s">
        <v>31</v>
      </c>
      <c r="B589" s="7">
        <v>41360</v>
      </c>
      <c r="C589" s="9">
        <f>HYPERLINK("https://www.epingalert.org/en/Search?viewData= G/TBT/N/RUS/20"," G/TBT/N/RUS/20")</f>
      </c>
      <c r="D589" s="8" t="s">
        <v>2711</v>
      </c>
      <c r="E589" s="8" t="s">
        <v>2712</v>
      </c>
      <c r="F589" s="8" t="s">
        <v>2713</v>
      </c>
      <c r="G589" s="8" t="s">
        <v>36</v>
      </c>
      <c r="H589" s="8" t="s">
        <v>2714</v>
      </c>
      <c r="I589" s="8" t="s">
        <v>902</v>
      </c>
      <c r="J589" s="8" t="s">
        <v>36</v>
      </c>
      <c r="K589" s="6"/>
      <c r="L589" s="7">
        <v>41416</v>
      </c>
      <c r="M589" s="6" t="s">
        <v>51</v>
      </c>
      <c r="N589" s="6"/>
      <c r="O589" s="6">
        <f>HYPERLINK("https://docs.wto.org/imrd/directdoc.asp?DDFDocuments/t/G/TBTN13/RUS20.DOC", "https://docs.wto.org/imrd/directdoc.asp?DDFDocuments/t/G/TBTN13/RUS20.DOC")</f>
      </c>
      <c r="P589" s="6">
        <f>HYPERLINK("https://docs.wto.org/imrd/directdoc.asp?DDFDocuments/u/G/TBTN13/RUS20.DOC", "https://docs.wto.org/imrd/directdoc.asp?DDFDocuments/u/G/TBTN13/RUS20.DOC")</f>
      </c>
      <c r="Q589" s="6">
        <f>HYPERLINK("https://docs.wto.org/imrd/directdoc.asp?DDFDocuments/v/G/TBTN13/RUS20.DOC", "https://docs.wto.org/imrd/directdoc.asp?DDFDocuments/v/G/TBTN13/RUS20.DOC")</f>
      </c>
      <c r="R589" s="0" t="s">
        <v>43</v>
      </c>
      <c r="S589" s="0" t="s">
        <v>42</v>
      </c>
      <c r="T589" s="0" t="s">
        <v>43</v>
      </c>
      <c r="U589" s="0" t="s">
        <v>42</v>
      </c>
      <c r="V589" s="0" t="s">
        <v>42</v>
      </c>
      <c r="W589" s="0" t="s">
        <v>42</v>
      </c>
      <c r="X589" s="0" t="s">
        <v>42</v>
      </c>
      <c r="Y589" s="2" t="s">
        <v>2715</v>
      </c>
      <c r="Z589" s="0" t="s">
        <v>36</v>
      </c>
      <c r="AA589" s="0" t="s">
        <v>36</v>
      </c>
      <c r="AB589" s="0" t="s">
        <v>36</v>
      </c>
      <c r="AC589" s="0" t="s">
        <v>36</v>
      </c>
      <c r="AD589" s="0" t="s">
        <v>36</v>
      </c>
      <c r="AE589" s="2" t="s">
        <v>36</v>
      </c>
    </row>
    <row r="590">
      <c r="A590" s="6" t="s">
        <v>31</v>
      </c>
      <c r="B590" s="7">
        <v>41360</v>
      </c>
      <c r="C590" s="9">
        <f>HYPERLINK("https://www.epingalert.org/en/Search?viewData= G/TBT/N/RUS/19"," G/TBT/N/RUS/19")</f>
      </c>
      <c r="D590" s="8" t="s">
        <v>2716</v>
      </c>
      <c r="E590" s="8" t="s">
        <v>2717</v>
      </c>
      <c r="F590" s="8" t="s">
        <v>2718</v>
      </c>
      <c r="G590" s="8" t="s">
        <v>36</v>
      </c>
      <c r="H590" s="8" t="s">
        <v>2124</v>
      </c>
      <c r="I590" s="8" t="s">
        <v>902</v>
      </c>
      <c r="J590" s="8" t="s">
        <v>36</v>
      </c>
      <c r="K590" s="6"/>
      <c r="L590" s="7">
        <v>41416</v>
      </c>
      <c r="M590" s="6" t="s">
        <v>51</v>
      </c>
      <c r="N590" s="6"/>
      <c r="O590" s="6">
        <f>HYPERLINK("https://docs.wto.org/imrd/directdoc.asp?DDFDocuments/t/G/TBTN13/RUS19.DOC", "https://docs.wto.org/imrd/directdoc.asp?DDFDocuments/t/G/TBTN13/RUS19.DOC")</f>
      </c>
      <c r="P590" s="6">
        <f>HYPERLINK("https://docs.wto.org/imrd/directdoc.asp?DDFDocuments/u/G/TBTN13/RUS19.DOC", "https://docs.wto.org/imrd/directdoc.asp?DDFDocuments/u/G/TBTN13/RUS19.DOC")</f>
      </c>
      <c r="Q590" s="6">
        <f>HYPERLINK("https://docs.wto.org/imrd/directdoc.asp?DDFDocuments/v/G/TBTN13/RUS19.DOC", "https://docs.wto.org/imrd/directdoc.asp?DDFDocuments/v/G/TBTN13/RUS19.DOC")</f>
      </c>
      <c r="R590" s="0" t="s">
        <v>43</v>
      </c>
      <c r="S590" s="0" t="s">
        <v>42</v>
      </c>
      <c r="T590" s="0" t="s">
        <v>42</v>
      </c>
      <c r="U590" s="0" t="s">
        <v>42</v>
      </c>
      <c r="V590" s="0" t="s">
        <v>42</v>
      </c>
      <c r="W590" s="0" t="s">
        <v>42</v>
      </c>
      <c r="X590" s="0" t="s">
        <v>42</v>
      </c>
      <c r="Y590" s="2" t="s">
        <v>2719</v>
      </c>
      <c r="Z590" s="0" t="s">
        <v>36</v>
      </c>
      <c r="AA590" s="0" t="s">
        <v>36</v>
      </c>
      <c r="AB590" s="0" t="s">
        <v>36</v>
      </c>
      <c r="AC590" s="0" t="s">
        <v>36</v>
      </c>
      <c r="AD590" s="0" t="s">
        <v>36</v>
      </c>
      <c r="AE590" s="2" t="s">
        <v>36</v>
      </c>
    </row>
    <row r="591">
      <c r="A591" s="6" t="s">
        <v>31</v>
      </c>
      <c r="B591" s="7">
        <v>41354</v>
      </c>
      <c r="C591" s="9">
        <f>HYPERLINK("https://www.epingalert.org/en/Search?viewData= G/SPS/N/RUS/21"," G/SPS/N/RUS/21")</f>
      </c>
      <c r="D591" s="8" t="s">
        <v>2459</v>
      </c>
      <c r="E591" s="8" t="s">
        <v>2720</v>
      </c>
      <c r="F591" s="8" t="s">
        <v>2721</v>
      </c>
      <c r="G591" s="8" t="s">
        <v>569</v>
      </c>
      <c r="H591" s="8" t="s">
        <v>36</v>
      </c>
      <c r="I591" s="8" t="s">
        <v>97</v>
      </c>
      <c r="J591" s="8" t="s">
        <v>105</v>
      </c>
      <c r="K591" s="6"/>
      <c r="L591" s="7" t="s">
        <v>36</v>
      </c>
      <c r="M591" s="6" t="s">
        <v>51</v>
      </c>
      <c r="N591" s="8" t="s">
        <v>2722</v>
      </c>
      <c r="O591" s="6">
        <f>HYPERLINK("https://docs.wto.org/imrd/directdoc.asp?DDFDocuments/t/G/SPS/NRUS21.pdf", "https://docs.wto.org/imrd/directdoc.asp?DDFDocuments/t/G/SPS/NRUS21.pdf")</f>
      </c>
      <c r="P591" s="6">
        <f>HYPERLINK("https://docs.wto.org/imrd/directdoc.asp?DDFDocuments/u/G/SPS/NRUS21.pdf", "https://docs.wto.org/imrd/directdoc.asp?DDFDocuments/u/G/SPS/NRUS21.pdf")</f>
      </c>
      <c r="Q591" s="6">
        <f>HYPERLINK("https://docs.wto.org/imrd/directdoc.asp?DDFDocuments/v/G/SPS/NRUS21.pdf", "https://docs.wto.org/imrd/directdoc.asp?DDFDocuments/v/G/SPS/NRUS21.pdf")</f>
      </c>
      <c r="R591" s="0" t="s">
        <v>36</v>
      </c>
      <c r="S591" s="0" t="s">
        <v>36</v>
      </c>
      <c r="T591" s="0" t="s">
        <v>36</v>
      </c>
      <c r="U591" s="0" t="s">
        <v>36</v>
      </c>
      <c r="V591" s="0" t="s">
        <v>36</v>
      </c>
      <c r="W591" s="0" t="s">
        <v>36</v>
      </c>
      <c r="X591" s="0" t="s">
        <v>36</v>
      </c>
      <c r="Y591" s="2" t="s">
        <v>36</v>
      </c>
      <c r="Z591" s="0" t="s">
        <v>43</v>
      </c>
      <c r="AA591" s="0" t="s">
        <v>42</v>
      </c>
      <c r="AB591" s="0" t="s">
        <v>42</v>
      </c>
      <c r="AC591" s="0" t="s">
        <v>42</v>
      </c>
      <c r="AD591" s="0" t="s">
        <v>43</v>
      </c>
      <c r="AE591" s="2"/>
    </row>
    <row r="592">
      <c r="A592" s="6" t="s">
        <v>31</v>
      </c>
      <c r="B592" s="7">
        <v>41354</v>
      </c>
      <c r="C592" s="9">
        <f>HYPERLINK("https://www.epingalert.org/en/Search?viewData= G/SPS/N/RUS/20"," G/SPS/N/RUS/20")</f>
      </c>
      <c r="D592" s="8" t="s">
        <v>2454</v>
      </c>
      <c r="E592" s="8" t="s">
        <v>2723</v>
      </c>
      <c r="F592" s="8" t="s">
        <v>2724</v>
      </c>
      <c r="G592" s="8" t="s">
        <v>484</v>
      </c>
      <c r="H592" s="8" t="s">
        <v>36</v>
      </c>
      <c r="I592" s="8" t="s">
        <v>1323</v>
      </c>
      <c r="J592" s="8" t="s">
        <v>2725</v>
      </c>
      <c r="K592" s="6"/>
      <c r="L592" s="7" t="s">
        <v>36</v>
      </c>
      <c r="M592" s="6" t="s">
        <v>51</v>
      </c>
      <c r="N592" s="8" t="s">
        <v>2726</v>
      </c>
      <c r="O592" s="6">
        <f>HYPERLINK("https://docs.wto.org/imrd/directdoc.asp?DDFDocuments/t/G/SPS/NRUS20.pdf", "https://docs.wto.org/imrd/directdoc.asp?DDFDocuments/t/G/SPS/NRUS20.pdf")</f>
      </c>
      <c r="P592" s="6">
        <f>HYPERLINK("https://docs.wto.org/imrd/directdoc.asp?DDFDocuments/u/G/SPS/NRUS20.pdf", "https://docs.wto.org/imrd/directdoc.asp?DDFDocuments/u/G/SPS/NRUS20.pdf")</f>
      </c>
      <c r="Q592" s="6">
        <f>HYPERLINK("https://docs.wto.org/imrd/directdoc.asp?DDFDocuments/v/G/SPS/NRUS20.pdf", "https://docs.wto.org/imrd/directdoc.asp?DDFDocuments/v/G/SPS/NRUS20.pdf")</f>
      </c>
      <c r="R592" s="0" t="s">
        <v>36</v>
      </c>
      <c r="S592" s="0" t="s">
        <v>36</v>
      </c>
      <c r="T592" s="0" t="s">
        <v>36</v>
      </c>
      <c r="U592" s="0" t="s">
        <v>36</v>
      </c>
      <c r="V592" s="0" t="s">
        <v>36</v>
      </c>
      <c r="W592" s="0" t="s">
        <v>36</v>
      </c>
      <c r="X592" s="0" t="s">
        <v>36</v>
      </c>
      <c r="Y592" s="2" t="s">
        <v>36</v>
      </c>
      <c r="Z592" s="0" t="s">
        <v>43</v>
      </c>
      <c r="AA592" s="0" t="s">
        <v>42</v>
      </c>
      <c r="AB592" s="0" t="s">
        <v>42</v>
      </c>
      <c r="AC592" s="0" t="s">
        <v>42</v>
      </c>
      <c r="AD592" s="0" t="s">
        <v>43</v>
      </c>
      <c r="AE592" s="2"/>
    </row>
    <row r="593">
      <c r="A593" s="6" t="s">
        <v>31</v>
      </c>
      <c r="B593" s="7">
        <v>41353</v>
      </c>
      <c r="C593" s="9">
        <f>HYPERLINK("https://www.epingalert.org/en/Search?viewData= G/SPS/N/RUS/18"," G/SPS/N/RUS/18")</f>
      </c>
      <c r="D593" s="8" t="s">
        <v>2575</v>
      </c>
      <c r="E593" s="8" t="s">
        <v>2727</v>
      </c>
      <c r="F593" s="8" t="s">
        <v>2728</v>
      </c>
      <c r="G593" s="8" t="s">
        <v>1036</v>
      </c>
      <c r="H593" s="8" t="s">
        <v>36</v>
      </c>
      <c r="I593" s="8" t="s">
        <v>97</v>
      </c>
      <c r="J593" s="8" t="s">
        <v>105</v>
      </c>
      <c r="K593" s="6"/>
      <c r="L593" s="7" t="s">
        <v>36</v>
      </c>
      <c r="M593" s="6" t="s">
        <v>51</v>
      </c>
      <c r="N593" s="8" t="s">
        <v>2729</v>
      </c>
      <c r="O593" s="6">
        <f>HYPERLINK("https://docs.wto.org/imrd/directdoc.asp?DDFDocuments/t/G/SPS/NRUS18.pdf", "https://docs.wto.org/imrd/directdoc.asp?DDFDocuments/t/G/SPS/NRUS18.pdf")</f>
      </c>
      <c r="P593" s="6">
        <f>HYPERLINK("https://docs.wto.org/imrd/directdoc.asp?DDFDocuments/u/G/SPS/NRUS18.pdf", "https://docs.wto.org/imrd/directdoc.asp?DDFDocuments/u/G/SPS/NRUS18.pdf")</f>
      </c>
      <c r="Q593" s="6">
        <f>HYPERLINK("https://docs.wto.org/imrd/directdoc.asp?DDFDocuments/v/G/SPS/NRUS18.pdf", "https://docs.wto.org/imrd/directdoc.asp?DDFDocuments/v/G/SPS/NRUS18.pdf")</f>
      </c>
      <c r="R593" s="0" t="s">
        <v>36</v>
      </c>
      <c r="S593" s="0" t="s">
        <v>36</v>
      </c>
      <c r="T593" s="0" t="s">
        <v>36</v>
      </c>
      <c r="U593" s="0" t="s">
        <v>36</v>
      </c>
      <c r="V593" s="0" t="s">
        <v>36</v>
      </c>
      <c r="W593" s="0" t="s">
        <v>36</v>
      </c>
      <c r="X593" s="0" t="s">
        <v>36</v>
      </c>
      <c r="Y593" s="2" t="s">
        <v>36</v>
      </c>
      <c r="Z593" s="0" t="s">
        <v>43</v>
      </c>
      <c r="AA593" s="0" t="s">
        <v>42</v>
      </c>
      <c r="AB593" s="0" t="s">
        <v>42</v>
      </c>
      <c r="AC593" s="0" t="s">
        <v>42</v>
      </c>
      <c r="AD593" s="0" t="s">
        <v>43</v>
      </c>
      <c r="AE593" s="2"/>
    </row>
    <row r="594">
      <c r="A594" s="6" t="s">
        <v>31</v>
      </c>
      <c r="B594" s="7">
        <v>41353</v>
      </c>
      <c r="C594" s="9">
        <f>HYPERLINK("https://www.epingalert.org/en/Search?viewData= G/SPS/N/RUS/19"," G/SPS/N/RUS/19")</f>
      </c>
      <c r="D594" s="8" t="s">
        <v>2572</v>
      </c>
      <c r="E594" s="8" t="s">
        <v>2730</v>
      </c>
      <c r="F594" s="8" t="s">
        <v>1757</v>
      </c>
      <c r="G594" s="8" t="s">
        <v>2731</v>
      </c>
      <c r="H594" s="8" t="s">
        <v>36</v>
      </c>
      <c r="I594" s="8" t="s">
        <v>97</v>
      </c>
      <c r="J594" s="8" t="s">
        <v>105</v>
      </c>
      <c r="K594" s="6"/>
      <c r="L594" s="7" t="s">
        <v>36</v>
      </c>
      <c r="M594" s="6" t="s">
        <v>51</v>
      </c>
      <c r="N594" s="8" t="s">
        <v>2732</v>
      </c>
      <c r="O594" s="6">
        <f>HYPERLINK("https://docs.wto.org/imrd/directdoc.asp?DDFDocuments/t/G/SPS/NRUS19.pdf", "https://docs.wto.org/imrd/directdoc.asp?DDFDocuments/t/G/SPS/NRUS19.pdf")</f>
      </c>
      <c r="P594" s="6">
        <f>HYPERLINK("https://docs.wto.org/imrd/directdoc.asp?DDFDocuments/u/G/SPS/NRUS19.pdf", "https://docs.wto.org/imrd/directdoc.asp?DDFDocuments/u/G/SPS/NRUS19.pdf")</f>
      </c>
      <c r="Q594" s="6">
        <f>HYPERLINK("https://docs.wto.org/imrd/directdoc.asp?DDFDocuments/v/G/SPS/NRUS19.pdf", "https://docs.wto.org/imrd/directdoc.asp?DDFDocuments/v/G/SPS/NRUS19.pdf")</f>
      </c>
      <c r="R594" s="0" t="s">
        <v>36</v>
      </c>
      <c r="S594" s="0" t="s">
        <v>36</v>
      </c>
      <c r="T594" s="0" t="s">
        <v>36</v>
      </c>
      <c r="U594" s="0" t="s">
        <v>36</v>
      </c>
      <c r="V594" s="0" t="s">
        <v>36</v>
      </c>
      <c r="W594" s="0" t="s">
        <v>36</v>
      </c>
      <c r="X594" s="0" t="s">
        <v>36</v>
      </c>
      <c r="Y594" s="2" t="s">
        <v>36</v>
      </c>
      <c r="Z594" s="0" t="s">
        <v>43</v>
      </c>
      <c r="AA594" s="0" t="s">
        <v>42</v>
      </c>
      <c r="AB594" s="0" t="s">
        <v>42</v>
      </c>
      <c r="AC594" s="0" t="s">
        <v>42</v>
      </c>
      <c r="AD594" s="0" t="s">
        <v>43</v>
      </c>
      <c r="AE594" s="2"/>
    </row>
    <row r="595">
      <c r="A595" s="6" t="s">
        <v>31</v>
      </c>
      <c r="B595" s="7">
        <v>41341</v>
      </c>
      <c r="C595" s="9">
        <f>HYPERLINK("https://www.epingalert.org/en/Search?viewData= G/SPS/N/RUS/16"," G/SPS/N/RUS/16")</f>
      </c>
      <c r="D595" s="8" t="s">
        <v>2733</v>
      </c>
      <c r="E595" s="8" t="s">
        <v>2734</v>
      </c>
      <c r="F595" s="8" t="s">
        <v>2735</v>
      </c>
      <c r="G595" s="8" t="s">
        <v>2736</v>
      </c>
      <c r="H595" s="8" t="s">
        <v>36</v>
      </c>
      <c r="I595" s="8" t="s">
        <v>332</v>
      </c>
      <c r="J595" s="8" t="s">
        <v>2737</v>
      </c>
      <c r="K595" s="6" t="s">
        <v>2738</v>
      </c>
      <c r="L595" s="7" t="s">
        <v>36</v>
      </c>
      <c r="M595" s="6" t="s">
        <v>40</v>
      </c>
      <c r="N595" s="8" t="s">
        <v>2739</v>
      </c>
      <c r="O595" s="6">
        <f>HYPERLINK("https://docs.wto.org/imrd/directdoc.asp?DDFDocuments/t/G/SPS/NRUS16.pdf", "https://docs.wto.org/imrd/directdoc.asp?DDFDocuments/t/G/SPS/NRUS16.pdf")</f>
      </c>
      <c r="P595" s="6">
        <f>HYPERLINK("https://docs.wto.org/imrd/directdoc.asp?DDFDocuments/u/G/SPS/NRUS16.pdf", "https://docs.wto.org/imrd/directdoc.asp?DDFDocuments/u/G/SPS/NRUS16.pdf")</f>
      </c>
      <c r="Q595" s="6">
        <f>HYPERLINK("https://docs.wto.org/imrd/directdoc.asp?DDFDocuments/v/G/SPS/NRUS16.pdf", "https://docs.wto.org/imrd/directdoc.asp?DDFDocuments/v/G/SPS/NRUS16.pdf")</f>
      </c>
      <c r="R595" s="0" t="s">
        <v>36</v>
      </c>
      <c r="S595" s="0" t="s">
        <v>36</v>
      </c>
      <c r="T595" s="0" t="s">
        <v>36</v>
      </c>
      <c r="U595" s="0" t="s">
        <v>36</v>
      </c>
      <c r="V595" s="0" t="s">
        <v>36</v>
      </c>
      <c r="W595" s="0" t="s">
        <v>36</v>
      </c>
      <c r="X595" s="0" t="s">
        <v>36</v>
      </c>
      <c r="Y595" s="2" t="s">
        <v>36</v>
      </c>
      <c r="Z595" s="0" t="s">
        <v>42</v>
      </c>
      <c r="AA595" s="0" t="s">
        <v>43</v>
      </c>
      <c r="AB595" s="0" t="s">
        <v>42</v>
      </c>
      <c r="AC595" s="0" t="s">
        <v>42</v>
      </c>
      <c r="AD595" s="0" t="s">
        <v>43</v>
      </c>
      <c r="AE595" s="2"/>
    </row>
    <row r="596">
      <c r="A596" s="6" t="s">
        <v>31</v>
      </c>
      <c r="B596" s="7">
        <v>41341</v>
      </c>
      <c r="C596" s="9">
        <f>HYPERLINK("https://www.epingalert.org/en/Search?viewData= G/SPS/N/RUS/17"," G/SPS/N/RUS/17")</f>
      </c>
      <c r="D596" s="8" t="s">
        <v>2740</v>
      </c>
      <c r="E596" s="8" t="s">
        <v>2741</v>
      </c>
      <c r="F596" s="8" t="s">
        <v>2742</v>
      </c>
      <c r="G596" s="8" t="s">
        <v>2743</v>
      </c>
      <c r="H596" s="8" t="s">
        <v>36</v>
      </c>
      <c r="I596" s="8" t="s">
        <v>1328</v>
      </c>
      <c r="J596" s="8" t="s">
        <v>105</v>
      </c>
      <c r="K596" s="6"/>
      <c r="L596" s="7">
        <v>41401</v>
      </c>
      <c r="M596" s="6" t="s">
        <v>51</v>
      </c>
      <c r="N596" s="8" t="s">
        <v>2744</v>
      </c>
      <c r="O596" s="6">
        <f>HYPERLINK("https://docs.wto.org/imrd/directdoc.asp?DDFDocuments/t/G/SPS/NRUS17.pdf", "https://docs.wto.org/imrd/directdoc.asp?DDFDocuments/t/G/SPS/NRUS17.pdf")</f>
      </c>
      <c r="P596" s="6">
        <f>HYPERLINK("https://docs.wto.org/imrd/directdoc.asp?DDFDocuments/u/G/SPS/NRUS17.pdf", "https://docs.wto.org/imrd/directdoc.asp?DDFDocuments/u/G/SPS/NRUS17.pdf")</f>
      </c>
      <c r="Q596" s="6">
        <f>HYPERLINK("https://docs.wto.org/imrd/directdoc.asp?DDFDocuments/v/G/SPS/NRUS17.pdf", "https://docs.wto.org/imrd/directdoc.asp?DDFDocuments/v/G/SPS/NRUS17.pdf")</f>
      </c>
      <c r="R596" s="0" t="s">
        <v>36</v>
      </c>
      <c r="S596" s="0" t="s">
        <v>36</v>
      </c>
      <c r="T596" s="0" t="s">
        <v>36</v>
      </c>
      <c r="U596" s="0" t="s">
        <v>36</v>
      </c>
      <c r="V596" s="0" t="s">
        <v>36</v>
      </c>
      <c r="W596" s="0" t="s">
        <v>36</v>
      </c>
      <c r="X596" s="0" t="s">
        <v>36</v>
      </c>
      <c r="Y596" s="2" t="s">
        <v>36</v>
      </c>
      <c r="Z596" s="0" t="s">
        <v>42</v>
      </c>
      <c r="AA596" s="0" t="s">
        <v>42</v>
      </c>
      <c r="AB596" s="0" t="s">
        <v>42</v>
      </c>
      <c r="AC596" s="0" t="s">
        <v>43</v>
      </c>
      <c r="AD596" s="0" t="s">
        <v>107</v>
      </c>
      <c r="AE596" s="2"/>
    </row>
    <row r="597">
      <c r="A597" s="6" t="s">
        <v>31</v>
      </c>
      <c r="B597" s="7">
        <v>41339</v>
      </c>
      <c r="C597" s="9">
        <f>HYPERLINK("https://www.epingalert.org/en/Search?viewData= G/SPS/N/RUS/15"," G/SPS/N/RUS/15")</f>
      </c>
      <c r="D597" s="8" t="s">
        <v>2745</v>
      </c>
      <c r="E597" s="8" t="s">
        <v>2746</v>
      </c>
      <c r="F597" s="8" t="s">
        <v>2747</v>
      </c>
      <c r="G597" s="8" t="s">
        <v>2748</v>
      </c>
      <c r="H597" s="8" t="s">
        <v>36</v>
      </c>
      <c r="I597" s="8" t="s">
        <v>1328</v>
      </c>
      <c r="J597" s="8" t="s">
        <v>2749</v>
      </c>
      <c r="K597" s="6"/>
      <c r="L597" s="7">
        <v>41365</v>
      </c>
      <c r="M597" s="6" t="s">
        <v>51</v>
      </c>
      <c r="N597" s="8" t="s">
        <v>2744</v>
      </c>
      <c r="O597" s="6">
        <f>HYPERLINK("https://docs.wto.org/imrd/directdoc.asp?DDFDocuments/t/G/SPS/NRUS15.pdf", "https://docs.wto.org/imrd/directdoc.asp?DDFDocuments/t/G/SPS/NRUS15.pdf")</f>
      </c>
      <c r="P597" s="6">
        <f>HYPERLINK("https://docs.wto.org/imrd/directdoc.asp?DDFDocuments/u/G/SPS/NRUS15.pdf", "https://docs.wto.org/imrd/directdoc.asp?DDFDocuments/u/G/SPS/NRUS15.pdf")</f>
      </c>
      <c r="Q597" s="6">
        <f>HYPERLINK("https://docs.wto.org/imrd/directdoc.asp?DDFDocuments/v/G/SPS/NRUS15.pdf", "https://docs.wto.org/imrd/directdoc.asp?DDFDocuments/v/G/SPS/NRUS15.pdf")</f>
      </c>
      <c r="R597" s="0" t="s">
        <v>36</v>
      </c>
      <c r="S597" s="0" t="s">
        <v>36</v>
      </c>
      <c r="T597" s="0" t="s">
        <v>36</v>
      </c>
      <c r="U597" s="0" t="s">
        <v>36</v>
      </c>
      <c r="V597" s="0" t="s">
        <v>36</v>
      </c>
      <c r="W597" s="0" t="s">
        <v>36</v>
      </c>
      <c r="X597" s="0" t="s">
        <v>36</v>
      </c>
      <c r="Y597" s="2" t="s">
        <v>36</v>
      </c>
      <c r="Z597" s="0" t="s">
        <v>42</v>
      </c>
      <c r="AA597" s="0" t="s">
        <v>42</v>
      </c>
      <c r="AB597" s="0" t="s">
        <v>42</v>
      </c>
      <c r="AC597" s="0" t="s">
        <v>43</v>
      </c>
      <c r="AD597" s="0" t="s">
        <v>107</v>
      </c>
      <c r="AE597" s="2"/>
    </row>
    <row r="598">
      <c r="A598" s="6" t="s">
        <v>31</v>
      </c>
      <c r="B598" s="7">
        <v>41333</v>
      </c>
      <c r="C598" s="9">
        <f>HYPERLINK("https://www.epingalert.org/en/Search?viewData= G/TBT/N/RUS/6"," G/TBT/N/RUS/6")</f>
      </c>
      <c r="D598" s="8" t="s">
        <v>2750</v>
      </c>
      <c r="E598" s="8" t="s">
        <v>2751</v>
      </c>
      <c r="F598" s="8" t="s">
        <v>2752</v>
      </c>
      <c r="G598" s="8" t="s">
        <v>36</v>
      </c>
      <c r="H598" s="8" t="s">
        <v>2753</v>
      </c>
      <c r="I598" s="8" t="s">
        <v>796</v>
      </c>
      <c r="J598" s="8" t="s">
        <v>2754</v>
      </c>
      <c r="K598" s="6"/>
      <c r="L598" s="7">
        <v>40575</v>
      </c>
      <c r="M598" s="6" t="s">
        <v>51</v>
      </c>
      <c r="N598" s="6"/>
      <c r="O598" s="6">
        <f>HYPERLINK("https://docs.wto.org/imrd/directdoc.asp?DDFDocuments/t/G/TBTN13/RUS6.DOC", "https://docs.wto.org/imrd/directdoc.asp?DDFDocuments/t/G/TBTN13/RUS6.DOC")</f>
      </c>
      <c r="P598" s="6">
        <f>HYPERLINK("https://docs.wto.org/imrd/directdoc.asp?DDFDocuments/u/G/TBTN13/RUS6.DOC", "https://docs.wto.org/imrd/directdoc.asp?DDFDocuments/u/G/TBTN13/RUS6.DOC")</f>
      </c>
      <c r="Q598" s="6">
        <f>HYPERLINK("https://docs.wto.org/imrd/directdoc.asp?DDFDocuments/v/G/TBTN13/RUS6.DOC", "https://docs.wto.org/imrd/directdoc.asp?DDFDocuments/v/G/TBTN13/RUS6.DOC")</f>
      </c>
      <c r="R598" s="0" t="s">
        <v>43</v>
      </c>
      <c r="S598" s="0" t="s">
        <v>42</v>
      </c>
      <c r="T598" s="0" t="s">
        <v>43</v>
      </c>
      <c r="U598" s="0" t="s">
        <v>42</v>
      </c>
      <c r="V598" s="0" t="s">
        <v>42</v>
      </c>
      <c r="W598" s="0" t="s">
        <v>42</v>
      </c>
      <c r="X598" s="0" t="s">
        <v>42</v>
      </c>
      <c r="Y598" s="2" t="s">
        <v>2755</v>
      </c>
      <c r="Z598" s="0" t="s">
        <v>36</v>
      </c>
      <c r="AA598" s="0" t="s">
        <v>36</v>
      </c>
      <c r="AB598" s="0" t="s">
        <v>36</v>
      </c>
      <c r="AC598" s="0" t="s">
        <v>36</v>
      </c>
      <c r="AD598" s="0" t="s">
        <v>36</v>
      </c>
      <c r="AE598" s="2" t="s">
        <v>36</v>
      </c>
    </row>
    <row r="599">
      <c r="A599" s="6" t="s">
        <v>31</v>
      </c>
      <c r="B599" s="7">
        <v>41333</v>
      </c>
      <c r="C599" s="9">
        <f>HYPERLINK("https://www.epingalert.org/en/Search?viewData= G/TBT/N/RUS/17"," G/TBT/N/RUS/17")</f>
      </c>
      <c r="D599" s="8" t="s">
        <v>2756</v>
      </c>
      <c r="E599" s="8" t="s">
        <v>2757</v>
      </c>
      <c r="F599" s="8" t="s">
        <v>2758</v>
      </c>
      <c r="G599" s="8" t="s">
        <v>36</v>
      </c>
      <c r="H599" s="8" t="s">
        <v>2759</v>
      </c>
      <c r="I599" s="8" t="s">
        <v>1637</v>
      </c>
      <c r="J599" s="8" t="s">
        <v>36</v>
      </c>
      <c r="K599" s="6"/>
      <c r="L599" s="7">
        <v>40756</v>
      </c>
      <c r="M599" s="6" t="s">
        <v>51</v>
      </c>
      <c r="N599" s="6"/>
      <c r="O599" s="6">
        <f>HYPERLINK("https://docs.wto.org/imrd/directdoc.asp?DDFDocuments/t/G/TBTN13/RUS17.DOC", "https://docs.wto.org/imrd/directdoc.asp?DDFDocuments/t/G/TBTN13/RUS17.DOC")</f>
      </c>
      <c r="P599" s="6">
        <f>HYPERLINK("https://docs.wto.org/imrd/directdoc.asp?DDFDocuments/u/G/TBTN13/RUS17.DOC", "https://docs.wto.org/imrd/directdoc.asp?DDFDocuments/u/G/TBTN13/RUS17.DOC")</f>
      </c>
      <c r="Q599" s="6">
        <f>HYPERLINK("https://docs.wto.org/imrd/directdoc.asp?DDFDocuments/v/G/TBTN13/RUS17.DOC", "https://docs.wto.org/imrd/directdoc.asp?DDFDocuments/v/G/TBTN13/RUS17.DOC")</f>
      </c>
      <c r="R599" s="0" t="s">
        <v>43</v>
      </c>
      <c r="S599" s="0" t="s">
        <v>42</v>
      </c>
      <c r="T599" s="0" t="s">
        <v>43</v>
      </c>
      <c r="U599" s="0" t="s">
        <v>42</v>
      </c>
      <c r="V599" s="0" t="s">
        <v>42</v>
      </c>
      <c r="W599" s="0" t="s">
        <v>42</v>
      </c>
      <c r="X599" s="0" t="s">
        <v>42</v>
      </c>
      <c r="Y599" s="2" t="s">
        <v>2760</v>
      </c>
      <c r="Z599" s="0" t="s">
        <v>36</v>
      </c>
      <c r="AA599" s="0" t="s">
        <v>36</v>
      </c>
      <c r="AB599" s="0" t="s">
        <v>36</v>
      </c>
      <c r="AC599" s="0" t="s">
        <v>36</v>
      </c>
      <c r="AD599" s="0" t="s">
        <v>36</v>
      </c>
      <c r="AE599" s="2" t="s">
        <v>36</v>
      </c>
    </row>
    <row r="600">
      <c r="A600" s="6" t="s">
        <v>31</v>
      </c>
      <c r="B600" s="7">
        <v>41333</v>
      </c>
      <c r="C600" s="9">
        <f>HYPERLINK("https://www.epingalert.org/en/Search?viewData= G/TBT/N/RUS/16"," G/TBT/N/RUS/16")</f>
      </c>
      <c r="D600" s="8" t="s">
        <v>2761</v>
      </c>
      <c r="E600" s="8" t="s">
        <v>2762</v>
      </c>
      <c r="F600" s="8" t="s">
        <v>2763</v>
      </c>
      <c r="G600" s="8" t="s">
        <v>36</v>
      </c>
      <c r="H600" s="8" t="s">
        <v>1782</v>
      </c>
      <c r="I600" s="8" t="s">
        <v>796</v>
      </c>
      <c r="J600" s="8" t="s">
        <v>36</v>
      </c>
      <c r="K600" s="6"/>
      <c r="L600" s="7">
        <v>40870</v>
      </c>
      <c r="M600" s="6" t="s">
        <v>51</v>
      </c>
      <c r="N600" s="6"/>
      <c r="O600" s="6">
        <f>HYPERLINK("https://docs.wto.org/imrd/directdoc.asp?DDFDocuments/t/G/TBTN13/RUS16.DOC", "https://docs.wto.org/imrd/directdoc.asp?DDFDocuments/t/G/TBTN13/RUS16.DOC")</f>
      </c>
      <c r="P600" s="6">
        <f>HYPERLINK("https://docs.wto.org/imrd/directdoc.asp?DDFDocuments/u/G/TBTN13/RUS16.DOC", "https://docs.wto.org/imrd/directdoc.asp?DDFDocuments/u/G/TBTN13/RUS16.DOC")</f>
      </c>
      <c r="Q600" s="6">
        <f>HYPERLINK("https://docs.wto.org/imrd/directdoc.asp?DDFDocuments/v/G/TBTN13/RUS16.DOC", "https://docs.wto.org/imrd/directdoc.asp?DDFDocuments/v/G/TBTN13/RUS16.DOC")</f>
      </c>
      <c r="R600" s="0" t="s">
        <v>43</v>
      </c>
      <c r="S600" s="0" t="s">
        <v>42</v>
      </c>
      <c r="T600" s="0" t="s">
        <v>43</v>
      </c>
      <c r="U600" s="0" t="s">
        <v>42</v>
      </c>
      <c r="V600" s="0" t="s">
        <v>42</v>
      </c>
      <c r="W600" s="0" t="s">
        <v>42</v>
      </c>
      <c r="X600" s="0" t="s">
        <v>42</v>
      </c>
      <c r="Y600" s="2" t="s">
        <v>2764</v>
      </c>
      <c r="Z600" s="0" t="s">
        <v>36</v>
      </c>
      <c r="AA600" s="0" t="s">
        <v>36</v>
      </c>
      <c r="AB600" s="0" t="s">
        <v>36</v>
      </c>
      <c r="AC600" s="0" t="s">
        <v>36</v>
      </c>
      <c r="AD600" s="0" t="s">
        <v>36</v>
      </c>
      <c r="AE600" s="2" t="s">
        <v>36</v>
      </c>
    </row>
    <row r="601">
      <c r="A601" s="6" t="s">
        <v>31</v>
      </c>
      <c r="B601" s="7">
        <v>41333</v>
      </c>
      <c r="C601" s="9">
        <f>HYPERLINK("https://www.epingalert.org/en/Search?viewData= G/TBT/N/RUS/4"," G/TBT/N/RUS/4")</f>
      </c>
      <c r="D601" s="8" t="s">
        <v>2765</v>
      </c>
      <c r="E601" s="8" t="s">
        <v>2766</v>
      </c>
      <c r="F601" s="8" t="s">
        <v>2728</v>
      </c>
      <c r="G601" s="8" t="s">
        <v>36</v>
      </c>
      <c r="H601" s="8" t="s">
        <v>1037</v>
      </c>
      <c r="I601" s="8" t="s">
        <v>1637</v>
      </c>
      <c r="J601" s="8" t="s">
        <v>120</v>
      </c>
      <c r="K601" s="6"/>
      <c r="L601" s="7">
        <v>40771</v>
      </c>
      <c r="M601" s="6" t="s">
        <v>51</v>
      </c>
      <c r="N601" s="6"/>
      <c r="O601" s="6">
        <f>HYPERLINK("https://docs.wto.org/imrd/directdoc.asp?DDFDocuments/t/G/TBTN13/RUS4.DOC", "https://docs.wto.org/imrd/directdoc.asp?DDFDocuments/t/G/TBTN13/RUS4.DOC")</f>
      </c>
      <c r="P601" s="6">
        <f>HYPERLINK("https://docs.wto.org/imrd/directdoc.asp?DDFDocuments/u/G/TBTN13/RUS4.DOC", "https://docs.wto.org/imrd/directdoc.asp?DDFDocuments/u/G/TBTN13/RUS4.DOC")</f>
      </c>
      <c r="Q601" s="6">
        <f>HYPERLINK("https://docs.wto.org/imrd/directdoc.asp?DDFDocuments/v/G/TBTN13/RUS4.DOC", "https://docs.wto.org/imrd/directdoc.asp?DDFDocuments/v/G/TBTN13/RUS4.DOC")</f>
      </c>
      <c r="R601" s="0" t="s">
        <v>43</v>
      </c>
      <c r="S601" s="0" t="s">
        <v>42</v>
      </c>
      <c r="T601" s="0" t="s">
        <v>43</v>
      </c>
      <c r="U601" s="0" t="s">
        <v>42</v>
      </c>
      <c r="V601" s="0" t="s">
        <v>42</v>
      </c>
      <c r="W601" s="0" t="s">
        <v>42</v>
      </c>
      <c r="X601" s="0" t="s">
        <v>42</v>
      </c>
      <c r="Y601" s="2" t="s">
        <v>2767</v>
      </c>
      <c r="Z601" s="0" t="s">
        <v>36</v>
      </c>
      <c r="AA601" s="0" t="s">
        <v>36</v>
      </c>
      <c r="AB601" s="0" t="s">
        <v>36</v>
      </c>
      <c r="AC601" s="0" t="s">
        <v>36</v>
      </c>
      <c r="AD601" s="0" t="s">
        <v>36</v>
      </c>
      <c r="AE601" s="2" t="s">
        <v>36</v>
      </c>
    </row>
    <row r="602">
      <c r="A602" s="6" t="s">
        <v>31</v>
      </c>
      <c r="B602" s="7">
        <v>41333</v>
      </c>
      <c r="C602" s="9">
        <f>HYPERLINK("https://www.epingalert.org/en/Search?viewData= G/TBT/N/RUS/3"," G/TBT/N/RUS/3")</f>
      </c>
      <c r="D602" s="8" t="s">
        <v>2768</v>
      </c>
      <c r="E602" s="8" t="s">
        <v>2769</v>
      </c>
      <c r="F602" s="8" t="s">
        <v>2770</v>
      </c>
      <c r="G602" s="8" t="s">
        <v>36</v>
      </c>
      <c r="H602" s="8" t="s">
        <v>2771</v>
      </c>
      <c r="I602" s="8" t="s">
        <v>1637</v>
      </c>
      <c r="J602" s="8" t="s">
        <v>36</v>
      </c>
      <c r="K602" s="6"/>
      <c r="L602" s="7">
        <v>40835</v>
      </c>
      <c r="M602" s="6" t="s">
        <v>51</v>
      </c>
      <c r="N602" s="6"/>
      <c r="O602" s="6">
        <f>HYPERLINK("https://docs.wto.org/imrd/directdoc.asp?DDFDocuments/t/G/TBTN13/RUS3.DOC", "https://docs.wto.org/imrd/directdoc.asp?DDFDocuments/t/G/TBTN13/RUS3.DOC")</f>
      </c>
      <c r="P602" s="6">
        <f>HYPERLINK("https://docs.wto.org/imrd/directdoc.asp?DDFDocuments/u/G/TBTN13/RUS3.DOC", "https://docs.wto.org/imrd/directdoc.asp?DDFDocuments/u/G/TBTN13/RUS3.DOC")</f>
      </c>
      <c r="Q602" s="6">
        <f>HYPERLINK("https://docs.wto.org/imrd/directdoc.asp?DDFDocuments/v/G/TBTN13/RUS3.DOC", "https://docs.wto.org/imrd/directdoc.asp?DDFDocuments/v/G/TBTN13/RUS3.DOC")</f>
      </c>
      <c r="R602" s="0" t="s">
        <v>43</v>
      </c>
      <c r="S602" s="0" t="s">
        <v>42</v>
      </c>
      <c r="T602" s="0" t="s">
        <v>43</v>
      </c>
      <c r="U602" s="0" t="s">
        <v>42</v>
      </c>
      <c r="V602" s="0" t="s">
        <v>42</v>
      </c>
      <c r="W602" s="0" t="s">
        <v>42</v>
      </c>
      <c r="X602" s="0" t="s">
        <v>42</v>
      </c>
      <c r="Y602" s="2" t="s">
        <v>2772</v>
      </c>
      <c r="Z602" s="0" t="s">
        <v>36</v>
      </c>
      <c r="AA602" s="0" t="s">
        <v>36</v>
      </c>
      <c r="AB602" s="0" t="s">
        <v>36</v>
      </c>
      <c r="AC602" s="0" t="s">
        <v>36</v>
      </c>
      <c r="AD602" s="0" t="s">
        <v>36</v>
      </c>
      <c r="AE602" s="2" t="s">
        <v>36</v>
      </c>
    </row>
    <row r="603">
      <c r="A603" s="6" t="s">
        <v>31</v>
      </c>
      <c r="B603" s="7">
        <v>41333</v>
      </c>
      <c r="C603" s="9">
        <f>HYPERLINK("https://www.epingalert.org/en/Search?viewData= G/TBT/N/RUS/7"," G/TBT/N/RUS/7")</f>
      </c>
      <c r="D603" s="8" t="s">
        <v>2773</v>
      </c>
      <c r="E603" s="8" t="s">
        <v>2774</v>
      </c>
      <c r="F603" s="8" t="s">
        <v>2775</v>
      </c>
      <c r="G603" s="8" t="s">
        <v>36</v>
      </c>
      <c r="H603" s="8" t="s">
        <v>2776</v>
      </c>
      <c r="I603" s="8" t="s">
        <v>1647</v>
      </c>
      <c r="J603" s="8" t="s">
        <v>36</v>
      </c>
      <c r="K603" s="6"/>
      <c r="L603" s="7">
        <v>40886</v>
      </c>
      <c r="M603" s="6" t="s">
        <v>51</v>
      </c>
      <c r="N603" s="6"/>
      <c r="O603" s="6">
        <f>HYPERLINK("https://docs.wto.org/imrd/directdoc.asp?DDFDocuments/t/G/TBTN13/RUS7.DOC", "https://docs.wto.org/imrd/directdoc.asp?DDFDocuments/t/G/TBTN13/RUS7.DOC")</f>
      </c>
      <c r="P603" s="6">
        <f>HYPERLINK("https://docs.wto.org/imrd/directdoc.asp?DDFDocuments/u/G/TBTN13/RUS7.DOC", "https://docs.wto.org/imrd/directdoc.asp?DDFDocuments/u/G/TBTN13/RUS7.DOC")</f>
      </c>
      <c r="Q603" s="6">
        <f>HYPERLINK("https://docs.wto.org/imrd/directdoc.asp?DDFDocuments/v/G/TBTN13/RUS7.DOC", "https://docs.wto.org/imrd/directdoc.asp?DDFDocuments/v/G/TBTN13/RUS7.DOC")</f>
      </c>
      <c r="R603" s="0" t="s">
        <v>43</v>
      </c>
      <c r="S603" s="0" t="s">
        <v>42</v>
      </c>
      <c r="T603" s="0" t="s">
        <v>43</v>
      </c>
      <c r="U603" s="0" t="s">
        <v>42</v>
      </c>
      <c r="V603" s="0" t="s">
        <v>42</v>
      </c>
      <c r="W603" s="0" t="s">
        <v>42</v>
      </c>
      <c r="X603" s="0" t="s">
        <v>42</v>
      </c>
      <c r="Y603" s="2" t="s">
        <v>2777</v>
      </c>
      <c r="Z603" s="0" t="s">
        <v>36</v>
      </c>
      <c r="AA603" s="0" t="s">
        <v>36</v>
      </c>
      <c r="AB603" s="0" t="s">
        <v>36</v>
      </c>
      <c r="AC603" s="0" t="s">
        <v>36</v>
      </c>
      <c r="AD603" s="0" t="s">
        <v>36</v>
      </c>
      <c r="AE603" s="2" t="s">
        <v>36</v>
      </c>
    </row>
    <row r="604">
      <c r="A604" s="6" t="s">
        <v>31</v>
      </c>
      <c r="B604" s="7">
        <v>41333</v>
      </c>
      <c r="C604" s="9">
        <f>HYPERLINK("https://www.epingalert.org/en/Search?viewData= G/TBT/N/RUS/10"," G/TBT/N/RUS/10")</f>
      </c>
      <c r="D604" s="8" t="s">
        <v>2778</v>
      </c>
      <c r="E604" s="8" t="s">
        <v>2779</v>
      </c>
      <c r="F604" s="8" t="s">
        <v>2780</v>
      </c>
      <c r="G604" s="8" t="s">
        <v>36</v>
      </c>
      <c r="H604" s="8" t="s">
        <v>1594</v>
      </c>
      <c r="I604" s="8" t="s">
        <v>2781</v>
      </c>
      <c r="J604" s="8" t="s">
        <v>120</v>
      </c>
      <c r="K604" s="6"/>
      <c r="L604" s="7">
        <v>41393</v>
      </c>
      <c r="M604" s="6" t="s">
        <v>51</v>
      </c>
      <c r="N604" s="6"/>
      <c r="O604" s="6">
        <f>HYPERLINK("https://docs.wto.org/imrd/directdoc.asp?DDFDocuments/t/G/TBTN13/RUS10.DOC", "https://docs.wto.org/imrd/directdoc.asp?DDFDocuments/t/G/TBTN13/RUS10.DOC")</f>
      </c>
      <c r="P604" s="6">
        <f>HYPERLINK("https://docs.wto.org/imrd/directdoc.asp?DDFDocuments/u/G/TBTN13/RUS10.DOC", "https://docs.wto.org/imrd/directdoc.asp?DDFDocuments/u/G/TBTN13/RUS10.DOC")</f>
      </c>
      <c r="Q604" s="6">
        <f>HYPERLINK("https://docs.wto.org/imrd/directdoc.asp?DDFDocuments/v/G/TBTN13/RUS10.DOC", "https://docs.wto.org/imrd/directdoc.asp?DDFDocuments/v/G/TBTN13/RUS10.DOC")</f>
      </c>
      <c r="R604" s="0" t="s">
        <v>43</v>
      </c>
      <c r="S604" s="0" t="s">
        <v>42</v>
      </c>
      <c r="T604" s="0" t="s">
        <v>43</v>
      </c>
      <c r="U604" s="0" t="s">
        <v>42</v>
      </c>
      <c r="V604" s="0" t="s">
        <v>42</v>
      </c>
      <c r="W604" s="0" t="s">
        <v>42</v>
      </c>
      <c r="X604" s="0" t="s">
        <v>42</v>
      </c>
      <c r="Y604" s="2" t="s">
        <v>2782</v>
      </c>
      <c r="Z604" s="0" t="s">
        <v>36</v>
      </c>
      <c r="AA604" s="0" t="s">
        <v>36</v>
      </c>
      <c r="AB604" s="0" t="s">
        <v>36</v>
      </c>
      <c r="AC604" s="0" t="s">
        <v>36</v>
      </c>
      <c r="AD604" s="0" t="s">
        <v>36</v>
      </c>
      <c r="AE604" s="2" t="s">
        <v>36</v>
      </c>
    </row>
    <row r="605">
      <c r="A605" s="6" t="s">
        <v>31</v>
      </c>
      <c r="B605" s="7">
        <v>41333</v>
      </c>
      <c r="C605" s="9">
        <f>HYPERLINK("https://www.epingalert.org/en/Search?viewData= G/TBT/N/RUS/5"," G/TBT/N/RUS/5")</f>
      </c>
      <c r="D605" s="8" t="s">
        <v>2783</v>
      </c>
      <c r="E605" s="8" t="s">
        <v>2784</v>
      </c>
      <c r="F605" s="8" t="s">
        <v>2785</v>
      </c>
      <c r="G605" s="8" t="s">
        <v>36</v>
      </c>
      <c r="H605" s="8" t="s">
        <v>595</v>
      </c>
      <c r="I605" s="8" t="s">
        <v>796</v>
      </c>
      <c r="J605" s="8" t="s">
        <v>58</v>
      </c>
      <c r="K605" s="6"/>
      <c r="L605" s="7">
        <v>40919</v>
      </c>
      <c r="M605" s="6" t="s">
        <v>51</v>
      </c>
      <c r="N605" s="6"/>
      <c r="O605" s="6">
        <f>HYPERLINK("https://docs.wto.org/imrd/directdoc.asp?DDFDocuments/t/G/TBTN13/RUS5.DOC", "https://docs.wto.org/imrd/directdoc.asp?DDFDocuments/t/G/TBTN13/RUS5.DOC")</f>
      </c>
      <c r="P605" s="6">
        <f>HYPERLINK("https://docs.wto.org/imrd/directdoc.asp?DDFDocuments/u/G/TBTN13/RUS5.DOC", "https://docs.wto.org/imrd/directdoc.asp?DDFDocuments/u/G/TBTN13/RUS5.DOC")</f>
      </c>
      <c r="Q605" s="6">
        <f>HYPERLINK("https://docs.wto.org/imrd/directdoc.asp?DDFDocuments/v/G/TBTN13/RUS5.DOC", "https://docs.wto.org/imrd/directdoc.asp?DDFDocuments/v/G/TBTN13/RUS5.DOC")</f>
      </c>
      <c r="R605" s="0" t="s">
        <v>43</v>
      </c>
      <c r="S605" s="0" t="s">
        <v>42</v>
      </c>
      <c r="T605" s="0" t="s">
        <v>43</v>
      </c>
      <c r="U605" s="0" t="s">
        <v>42</v>
      </c>
      <c r="V605" s="0" t="s">
        <v>42</v>
      </c>
      <c r="W605" s="0" t="s">
        <v>42</v>
      </c>
      <c r="X605" s="0" t="s">
        <v>42</v>
      </c>
      <c r="Y605" s="2" t="s">
        <v>2786</v>
      </c>
      <c r="Z605" s="0" t="s">
        <v>36</v>
      </c>
      <c r="AA605" s="0" t="s">
        <v>36</v>
      </c>
      <c r="AB605" s="0" t="s">
        <v>36</v>
      </c>
      <c r="AC605" s="0" t="s">
        <v>36</v>
      </c>
      <c r="AD605" s="0" t="s">
        <v>36</v>
      </c>
      <c r="AE605" s="2" t="s">
        <v>36</v>
      </c>
    </row>
    <row r="606">
      <c r="A606" s="6" t="s">
        <v>31</v>
      </c>
      <c r="B606" s="7">
        <v>41333</v>
      </c>
      <c r="C606" s="9">
        <f>HYPERLINK("https://www.epingalert.org/en/Search?viewData= G/TBT/N/RUS/18"," G/TBT/N/RUS/18")</f>
      </c>
      <c r="D606" s="8" t="s">
        <v>2787</v>
      </c>
      <c r="E606" s="8" t="s">
        <v>2788</v>
      </c>
      <c r="F606" s="8" t="s">
        <v>2789</v>
      </c>
      <c r="G606" s="8" t="s">
        <v>36</v>
      </c>
      <c r="H606" s="8" t="s">
        <v>2790</v>
      </c>
      <c r="I606" s="8" t="s">
        <v>902</v>
      </c>
      <c r="J606" s="8" t="s">
        <v>36</v>
      </c>
      <c r="K606" s="6"/>
      <c r="L606" s="7">
        <v>40687</v>
      </c>
      <c r="M606" s="6" t="s">
        <v>51</v>
      </c>
      <c r="N606" s="6"/>
      <c r="O606" s="6">
        <f>HYPERLINK("https://docs.wto.org/imrd/directdoc.asp?DDFDocuments/t/G/TBTN13/RUS18.DOC", "https://docs.wto.org/imrd/directdoc.asp?DDFDocuments/t/G/TBTN13/RUS18.DOC")</f>
      </c>
      <c r="P606" s="6">
        <f>HYPERLINK("https://docs.wto.org/imrd/directdoc.asp?DDFDocuments/u/G/TBTN13/RUS18.DOC", "https://docs.wto.org/imrd/directdoc.asp?DDFDocuments/u/G/TBTN13/RUS18.DOC")</f>
      </c>
      <c r="Q606" s="6">
        <f>HYPERLINK("https://docs.wto.org/imrd/directdoc.asp?DDFDocuments/v/G/TBTN13/RUS18.DOC", "https://docs.wto.org/imrd/directdoc.asp?DDFDocuments/v/G/TBTN13/RUS18.DOC")</f>
      </c>
      <c r="R606" s="0" t="s">
        <v>43</v>
      </c>
      <c r="S606" s="0" t="s">
        <v>42</v>
      </c>
      <c r="T606" s="0" t="s">
        <v>43</v>
      </c>
      <c r="U606" s="0" t="s">
        <v>42</v>
      </c>
      <c r="V606" s="0" t="s">
        <v>42</v>
      </c>
      <c r="W606" s="0" t="s">
        <v>42</v>
      </c>
      <c r="X606" s="0" t="s">
        <v>42</v>
      </c>
      <c r="Y606" s="2" t="s">
        <v>2791</v>
      </c>
      <c r="Z606" s="0" t="s">
        <v>36</v>
      </c>
      <c r="AA606" s="0" t="s">
        <v>36</v>
      </c>
      <c r="AB606" s="0" t="s">
        <v>36</v>
      </c>
      <c r="AC606" s="0" t="s">
        <v>36</v>
      </c>
      <c r="AD606" s="0" t="s">
        <v>36</v>
      </c>
      <c r="AE606" s="2" t="s">
        <v>36</v>
      </c>
    </row>
    <row r="607">
      <c r="A607" s="6" t="s">
        <v>31</v>
      </c>
      <c r="B607" s="7">
        <v>41333</v>
      </c>
      <c r="C607" s="9">
        <f>HYPERLINK("https://www.epingalert.org/en/Search?viewData= G/TBT/N/RUS/9"," G/TBT/N/RUS/9")</f>
      </c>
      <c r="D607" s="8" t="s">
        <v>2792</v>
      </c>
      <c r="E607" s="8" t="s">
        <v>2793</v>
      </c>
      <c r="F607" s="8" t="s">
        <v>2724</v>
      </c>
      <c r="G607" s="8" t="s">
        <v>36</v>
      </c>
      <c r="H607" s="8" t="s">
        <v>485</v>
      </c>
      <c r="I607" s="8" t="s">
        <v>1637</v>
      </c>
      <c r="J607" s="8" t="s">
        <v>2794</v>
      </c>
      <c r="K607" s="6"/>
      <c r="L607" s="7">
        <v>40777</v>
      </c>
      <c r="M607" s="6" t="s">
        <v>51</v>
      </c>
      <c r="N607" s="6"/>
      <c r="O607" s="6">
        <f>HYPERLINK("https://docs.wto.org/imrd/directdoc.asp?DDFDocuments/t/G/TBTN13/RUS9.DOC", "https://docs.wto.org/imrd/directdoc.asp?DDFDocuments/t/G/TBTN13/RUS9.DOC")</f>
      </c>
      <c r="P607" s="6">
        <f>HYPERLINK("https://docs.wto.org/imrd/directdoc.asp?DDFDocuments/u/G/TBTN13/RUS9.DOC", "https://docs.wto.org/imrd/directdoc.asp?DDFDocuments/u/G/TBTN13/RUS9.DOC")</f>
      </c>
      <c r="Q607" s="6">
        <f>HYPERLINK("https://docs.wto.org/imrd/directdoc.asp?DDFDocuments/v/G/TBTN13/RUS9.DOC", "https://docs.wto.org/imrd/directdoc.asp?DDFDocuments/v/G/TBTN13/RUS9.DOC")</f>
      </c>
      <c r="R607" s="0" t="s">
        <v>43</v>
      </c>
      <c r="S607" s="0" t="s">
        <v>42</v>
      </c>
      <c r="T607" s="0" t="s">
        <v>43</v>
      </c>
      <c r="U607" s="0" t="s">
        <v>42</v>
      </c>
      <c r="V607" s="0" t="s">
        <v>42</v>
      </c>
      <c r="W607" s="0" t="s">
        <v>42</v>
      </c>
      <c r="X607" s="0" t="s">
        <v>42</v>
      </c>
      <c r="Y607" s="2" t="s">
        <v>2795</v>
      </c>
      <c r="Z607" s="0" t="s">
        <v>36</v>
      </c>
      <c r="AA607" s="0" t="s">
        <v>36</v>
      </c>
      <c r="AB607" s="0" t="s">
        <v>36</v>
      </c>
      <c r="AC607" s="0" t="s">
        <v>36</v>
      </c>
      <c r="AD607" s="0" t="s">
        <v>36</v>
      </c>
      <c r="AE607" s="2" t="s">
        <v>36</v>
      </c>
    </row>
    <row r="608">
      <c r="A608" s="6" t="s">
        <v>31</v>
      </c>
      <c r="B608" s="7">
        <v>41333</v>
      </c>
      <c r="C608" s="9">
        <f>HYPERLINK("https://www.epingalert.org/en/Search?viewData= G/TBT/N/RUS/12"," G/TBT/N/RUS/12")</f>
      </c>
      <c r="D608" s="8" t="s">
        <v>2796</v>
      </c>
      <c r="E608" s="8" t="s">
        <v>2797</v>
      </c>
      <c r="F608" s="8" t="s">
        <v>2798</v>
      </c>
      <c r="G608" s="8" t="s">
        <v>36</v>
      </c>
      <c r="H608" s="8" t="s">
        <v>1753</v>
      </c>
      <c r="I608" s="8" t="s">
        <v>164</v>
      </c>
      <c r="J608" s="8" t="s">
        <v>120</v>
      </c>
      <c r="K608" s="6"/>
      <c r="L608" s="7">
        <v>40690</v>
      </c>
      <c r="M608" s="6" t="s">
        <v>51</v>
      </c>
      <c r="N608" s="6"/>
      <c r="O608" s="6">
        <f>HYPERLINK("https://docs.wto.org/imrd/directdoc.asp?DDFDocuments/t/G/TBTN13/RUS12.DOC", "https://docs.wto.org/imrd/directdoc.asp?DDFDocuments/t/G/TBTN13/RUS12.DOC")</f>
      </c>
      <c r="P608" s="6">
        <f>HYPERLINK("https://docs.wto.org/imrd/directdoc.asp?DDFDocuments/u/G/TBTN13/RUS12.DOC", "https://docs.wto.org/imrd/directdoc.asp?DDFDocuments/u/G/TBTN13/RUS12.DOC")</f>
      </c>
      <c r="Q608" s="6">
        <f>HYPERLINK("https://docs.wto.org/imrd/directdoc.asp?DDFDocuments/v/G/TBTN13/RUS12.DOC", "https://docs.wto.org/imrd/directdoc.asp?DDFDocuments/v/G/TBTN13/RUS12.DOC")</f>
      </c>
      <c r="R608" s="0" t="s">
        <v>43</v>
      </c>
      <c r="S608" s="0" t="s">
        <v>42</v>
      </c>
      <c r="T608" s="0" t="s">
        <v>43</v>
      </c>
      <c r="U608" s="0" t="s">
        <v>42</v>
      </c>
      <c r="V608" s="0" t="s">
        <v>42</v>
      </c>
      <c r="W608" s="0" t="s">
        <v>42</v>
      </c>
      <c r="X608" s="0" t="s">
        <v>42</v>
      </c>
      <c r="Y608" s="2" t="s">
        <v>2799</v>
      </c>
      <c r="Z608" s="0" t="s">
        <v>36</v>
      </c>
      <c r="AA608" s="0" t="s">
        <v>36</v>
      </c>
      <c r="AB608" s="0" t="s">
        <v>36</v>
      </c>
      <c r="AC608" s="0" t="s">
        <v>36</v>
      </c>
      <c r="AD608" s="0" t="s">
        <v>36</v>
      </c>
      <c r="AE608" s="2" t="s">
        <v>36</v>
      </c>
    </row>
    <row r="609">
      <c r="A609" s="6" t="s">
        <v>31</v>
      </c>
      <c r="B609" s="7">
        <v>41333</v>
      </c>
      <c r="C609" s="9">
        <f>HYPERLINK("https://www.epingalert.org/en/Search?viewData= G/TBT/N/RUS/13"," G/TBT/N/RUS/13")</f>
      </c>
      <c r="D609" s="8" t="s">
        <v>2800</v>
      </c>
      <c r="E609" s="8" t="s">
        <v>2801</v>
      </c>
      <c r="F609" s="8" t="s">
        <v>734</v>
      </c>
      <c r="G609" s="8" t="s">
        <v>36</v>
      </c>
      <c r="H609" s="8" t="s">
        <v>735</v>
      </c>
      <c r="I609" s="8" t="s">
        <v>164</v>
      </c>
      <c r="J609" s="8" t="s">
        <v>58</v>
      </c>
      <c r="K609" s="6"/>
      <c r="L609" s="7">
        <v>41148</v>
      </c>
      <c r="M609" s="6" t="s">
        <v>51</v>
      </c>
      <c r="N609" s="6"/>
      <c r="O609" s="6">
        <f>HYPERLINK("https://docs.wto.org/imrd/directdoc.asp?DDFDocuments/t/G/TBTN13/RUS13.DOC", "https://docs.wto.org/imrd/directdoc.asp?DDFDocuments/t/G/TBTN13/RUS13.DOC")</f>
      </c>
      <c r="P609" s="6">
        <f>HYPERLINK("https://docs.wto.org/imrd/directdoc.asp?DDFDocuments/u/G/TBTN13/RUS13.DOC", "https://docs.wto.org/imrd/directdoc.asp?DDFDocuments/u/G/TBTN13/RUS13.DOC")</f>
      </c>
      <c r="Q609" s="6">
        <f>HYPERLINK("https://docs.wto.org/imrd/directdoc.asp?DDFDocuments/v/G/TBTN13/RUS13.DOC", "https://docs.wto.org/imrd/directdoc.asp?DDFDocuments/v/G/TBTN13/RUS13.DOC")</f>
      </c>
      <c r="R609" s="0" t="s">
        <v>43</v>
      </c>
      <c r="S609" s="0" t="s">
        <v>42</v>
      </c>
      <c r="T609" s="0" t="s">
        <v>43</v>
      </c>
      <c r="U609" s="0" t="s">
        <v>42</v>
      </c>
      <c r="V609" s="0" t="s">
        <v>42</v>
      </c>
      <c r="W609" s="0" t="s">
        <v>42</v>
      </c>
      <c r="X609" s="0" t="s">
        <v>42</v>
      </c>
      <c r="Y609" s="2" t="s">
        <v>2802</v>
      </c>
      <c r="Z609" s="0" t="s">
        <v>36</v>
      </c>
      <c r="AA609" s="0" t="s">
        <v>36</v>
      </c>
      <c r="AB609" s="0" t="s">
        <v>36</v>
      </c>
      <c r="AC609" s="0" t="s">
        <v>36</v>
      </c>
      <c r="AD609" s="0" t="s">
        <v>36</v>
      </c>
      <c r="AE609" s="2" t="s">
        <v>36</v>
      </c>
    </row>
    <row r="610">
      <c r="A610" s="6" t="s">
        <v>31</v>
      </c>
      <c r="B610" s="7">
        <v>41333</v>
      </c>
      <c r="C610" s="9">
        <f>HYPERLINK("https://www.epingalert.org/en/Search?viewData= G/TBT/N/RUS/14"," G/TBT/N/RUS/14")</f>
      </c>
      <c r="D610" s="8" t="s">
        <v>2803</v>
      </c>
      <c r="E610" s="8" t="s">
        <v>2804</v>
      </c>
      <c r="F610" s="8" t="s">
        <v>1240</v>
      </c>
      <c r="G610" s="8" t="s">
        <v>36</v>
      </c>
      <c r="H610" s="8" t="s">
        <v>2805</v>
      </c>
      <c r="I610" s="8" t="s">
        <v>2806</v>
      </c>
      <c r="J610" s="8" t="s">
        <v>36</v>
      </c>
      <c r="K610" s="6"/>
      <c r="L610" s="7">
        <v>41393</v>
      </c>
      <c r="M610" s="6" t="s">
        <v>51</v>
      </c>
      <c r="N610" s="6"/>
      <c r="O610" s="6">
        <f>HYPERLINK("https://docs.wto.org/imrd/directdoc.asp?DDFDocuments/t/G/TBTN13/RUS14.DOC", "https://docs.wto.org/imrd/directdoc.asp?DDFDocuments/t/G/TBTN13/RUS14.DOC")</f>
      </c>
      <c r="P610" s="6">
        <f>HYPERLINK("https://docs.wto.org/imrd/directdoc.asp?DDFDocuments/u/G/TBTN13/RUS14.DOC", "https://docs.wto.org/imrd/directdoc.asp?DDFDocuments/u/G/TBTN13/RUS14.DOC")</f>
      </c>
      <c r="Q610" s="6">
        <f>HYPERLINK("https://docs.wto.org/imrd/directdoc.asp?DDFDocuments/v/G/TBTN13/RUS14.DOC", "https://docs.wto.org/imrd/directdoc.asp?DDFDocuments/v/G/TBTN13/RUS14.DOC")</f>
      </c>
      <c r="R610" s="0" t="s">
        <v>43</v>
      </c>
      <c r="S610" s="0" t="s">
        <v>42</v>
      </c>
      <c r="T610" s="0" t="s">
        <v>43</v>
      </c>
      <c r="U610" s="0" t="s">
        <v>42</v>
      </c>
      <c r="V610" s="0" t="s">
        <v>42</v>
      </c>
      <c r="W610" s="0" t="s">
        <v>42</v>
      </c>
      <c r="X610" s="0" t="s">
        <v>42</v>
      </c>
      <c r="Y610" s="2" t="s">
        <v>2807</v>
      </c>
      <c r="Z610" s="0" t="s">
        <v>36</v>
      </c>
      <c r="AA610" s="0" t="s">
        <v>36</v>
      </c>
      <c r="AB610" s="0" t="s">
        <v>36</v>
      </c>
      <c r="AC610" s="0" t="s">
        <v>36</v>
      </c>
      <c r="AD610" s="0" t="s">
        <v>36</v>
      </c>
      <c r="AE610" s="2" t="s">
        <v>36</v>
      </c>
    </row>
    <row r="611">
      <c r="A611" s="6" t="s">
        <v>31</v>
      </c>
      <c r="B611" s="7">
        <v>41333</v>
      </c>
      <c r="C611" s="9">
        <f>HYPERLINK("https://www.epingalert.org/en/Search?viewData= G/TBT/N/RUS/11"," G/TBT/N/RUS/11")</f>
      </c>
      <c r="D611" s="8" t="s">
        <v>2808</v>
      </c>
      <c r="E611" s="8" t="s">
        <v>2809</v>
      </c>
      <c r="F611" s="8" t="s">
        <v>2810</v>
      </c>
      <c r="G611" s="8" t="s">
        <v>36</v>
      </c>
      <c r="H611" s="8" t="s">
        <v>2811</v>
      </c>
      <c r="I611" s="8" t="s">
        <v>902</v>
      </c>
      <c r="J611" s="8" t="s">
        <v>58</v>
      </c>
      <c r="K611" s="6"/>
      <c r="L611" s="7">
        <v>40835</v>
      </c>
      <c r="M611" s="6" t="s">
        <v>51</v>
      </c>
      <c r="N611" s="6"/>
      <c r="O611" s="6">
        <f>HYPERLINK("https://docs.wto.org/imrd/directdoc.asp?DDFDocuments/t/G/TBTN13/RUS11.DOC", "https://docs.wto.org/imrd/directdoc.asp?DDFDocuments/t/G/TBTN13/RUS11.DOC")</f>
      </c>
      <c r="P611" s="6">
        <f>HYPERLINK("https://docs.wto.org/imrd/directdoc.asp?DDFDocuments/u/G/TBTN13/RUS11.DOC", "https://docs.wto.org/imrd/directdoc.asp?DDFDocuments/u/G/TBTN13/RUS11.DOC")</f>
      </c>
      <c r="Q611" s="6">
        <f>HYPERLINK("https://docs.wto.org/imrd/directdoc.asp?DDFDocuments/v/G/TBTN13/RUS11.DOC", "https://docs.wto.org/imrd/directdoc.asp?DDFDocuments/v/G/TBTN13/RUS11.DOC")</f>
      </c>
      <c r="R611" s="0" t="s">
        <v>43</v>
      </c>
      <c r="S611" s="0" t="s">
        <v>42</v>
      </c>
      <c r="T611" s="0" t="s">
        <v>43</v>
      </c>
      <c r="U611" s="0" t="s">
        <v>42</v>
      </c>
      <c r="V611" s="0" t="s">
        <v>42</v>
      </c>
      <c r="W611" s="0" t="s">
        <v>42</v>
      </c>
      <c r="X611" s="0" t="s">
        <v>42</v>
      </c>
      <c r="Y611" s="2" t="s">
        <v>2812</v>
      </c>
      <c r="Z611" s="0" t="s">
        <v>36</v>
      </c>
      <c r="AA611" s="0" t="s">
        <v>36</v>
      </c>
      <c r="AB611" s="0" t="s">
        <v>36</v>
      </c>
      <c r="AC611" s="0" t="s">
        <v>36</v>
      </c>
      <c r="AD611" s="0" t="s">
        <v>36</v>
      </c>
      <c r="AE611" s="2" t="s">
        <v>36</v>
      </c>
    </row>
    <row r="612">
      <c r="A612" s="6" t="s">
        <v>31</v>
      </c>
      <c r="B612" s="7">
        <v>41333</v>
      </c>
      <c r="C612" s="9">
        <f>HYPERLINK("https://www.epingalert.org/en/Search?viewData= G/TBT/N/RUS/15"," G/TBT/N/RUS/15")</f>
      </c>
      <c r="D612" s="8" t="s">
        <v>2813</v>
      </c>
      <c r="E612" s="8" t="s">
        <v>2814</v>
      </c>
      <c r="F612" s="8" t="s">
        <v>2721</v>
      </c>
      <c r="G612" s="8" t="s">
        <v>36</v>
      </c>
      <c r="H612" s="8" t="s">
        <v>570</v>
      </c>
      <c r="I612" s="8" t="s">
        <v>1637</v>
      </c>
      <c r="J612" s="8" t="s">
        <v>120</v>
      </c>
      <c r="K612" s="6"/>
      <c r="L612" s="7">
        <v>40865</v>
      </c>
      <c r="M612" s="6" t="s">
        <v>51</v>
      </c>
      <c r="N612" s="6"/>
      <c r="O612" s="6">
        <f>HYPERLINK("https://docs.wto.org/imrd/directdoc.asp?DDFDocuments/t/G/TBTN13/RUS15.DOC", "https://docs.wto.org/imrd/directdoc.asp?DDFDocuments/t/G/TBTN13/RUS15.DOC")</f>
      </c>
      <c r="P612" s="6">
        <f>HYPERLINK("https://docs.wto.org/imrd/directdoc.asp?DDFDocuments/u/G/TBTN13/RUS15.DOC", "https://docs.wto.org/imrd/directdoc.asp?DDFDocuments/u/G/TBTN13/RUS15.DOC")</f>
      </c>
      <c r="Q612" s="6">
        <f>HYPERLINK("https://docs.wto.org/imrd/directdoc.asp?DDFDocuments/v/G/TBTN13/RUS15.DOC", "https://docs.wto.org/imrd/directdoc.asp?DDFDocuments/v/G/TBTN13/RUS15.DOC")</f>
      </c>
      <c r="R612" s="0" t="s">
        <v>43</v>
      </c>
      <c r="S612" s="0" t="s">
        <v>42</v>
      </c>
      <c r="T612" s="0" t="s">
        <v>43</v>
      </c>
      <c r="U612" s="0" t="s">
        <v>42</v>
      </c>
      <c r="V612" s="0" t="s">
        <v>42</v>
      </c>
      <c r="W612" s="0" t="s">
        <v>42</v>
      </c>
      <c r="X612" s="0" t="s">
        <v>42</v>
      </c>
      <c r="Y612" s="2" t="s">
        <v>2815</v>
      </c>
      <c r="Z612" s="0" t="s">
        <v>36</v>
      </c>
      <c r="AA612" s="0" t="s">
        <v>36</v>
      </c>
      <c r="AB612" s="0" t="s">
        <v>36</v>
      </c>
      <c r="AC612" s="0" t="s">
        <v>36</v>
      </c>
      <c r="AD612" s="0" t="s">
        <v>36</v>
      </c>
      <c r="AE612" s="2" t="s">
        <v>36</v>
      </c>
    </row>
    <row r="613">
      <c r="A613" s="6" t="s">
        <v>31</v>
      </c>
      <c r="B613" s="7">
        <v>41333</v>
      </c>
      <c r="C613" s="9">
        <f>HYPERLINK("https://www.epingalert.org/en/Search?viewData= G/TBT/N/RUS/8"," G/TBT/N/RUS/8")</f>
      </c>
      <c r="D613" s="8" t="s">
        <v>2816</v>
      </c>
      <c r="E613" s="8" t="s">
        <v>2817</v>
      </c>
      <c r="F613" s="8" t="s">
        <v>2818</v>
      </c>
      <c r="G613" s="8" t="s">
        <v>36</v>
      </c>
      <c r="H613" s="8" t="s">
        <v>2819</v>
      </c>
      <c r="I613" s="8" t="s">
        <v>796</v>
      </c>
      <c r="J613" s="8" t="s">
        <v>36</v>
      </c>
      <c r="K613" s="6"/>
      <c r="L613" s="7">
        <v>41393</v>
      </c>
      <c r="M613" s="6" t="s">
        <v>51</v>
      </c>
      <c r="N613" s="6"/>
      <c r="O613" s="6">
        <f>HYPERLINK("https://docs.wto.org/imrd/directdoc.asp?DDFDocuments/t/G/TBTN13/RUS8.DOC", "https://docs.wto.org/imrd/directdoc.asp?DDFDocuments/t/G/TBTN13/RUS8.DOC")</f>
      </c>
      <c r="P613" s="6">
        <f>HYPERLINK("https://docs.wto.org/imrd/directdoc.asp?DDFDocuments/u/G/TBTN13/RUS8.DOC", "https://docs.wto.org/imrd/directdoc.asp?DDFDocuments/u/G/TBTN13/RUS8.DOC")</f>
      </c>
      <c r="Q613" s="6">
        <f>HYPERLINK("https://docs.wto.org/imrd/directdoc.asp?DDFDocuments/v/G/TBTN13/RUS8.DOC", "https://docs.wto.org/imrd/directdoc.asp?DDFDocuments/v/G/TBTN13/RUS8.DOC")</f>
      </c>
      <c r="R613" s="0" t="s">
        <v>43</v>
      </c>
      <c r="S613" s="0" t="s">
        <v>42</v>
      </c>
      <c r="T613" s="0" t="s">
        <v>43</v>
      </c>
      <c r="U613" s="0" t="s">
        <v>42</v>
      </c>
      <c r="V613" s="0" t="s">
        <v>42</v>
      </c>
      <c r="W613" s="0" t="s">
        <v>42</v>
      </c>
      <c r="X613" s="0" t="s">
        <v>42</v>
      </c>
      <c r="Y613" s="2" t="s">
        <v>2820</v>
      </c>
      <c r="Z613" s="0" t="s">
        <v>36</v>
      </c>
      <c r="AA613" s="0" t="s">
        <v>36</v>
      </c>
      <c r="AB613" s="0" t="s">
        <v>36</v>
      </c>
      <c r="AC613" s="0" t="s">
        <v>36</v>
      </c>
      <c r="AD613" s="0" t="s">
        <v>36</v>
      </c>
      <c r="AE613" s="2" t="s">
        <v>36</v>
      </c>
    </row>
    <row r="614">
      <c r="A614" s="6" t="s">
        <v>31</v>
      </c>
      <c r="B614" s="7">
        <v>41332</v>
      </c>
      <c r="C614" s="9">
        <f>HYPERLINK("https://www.epingalert.org/en/Search?viewData= G/SPS/N/RUS/14"," G/SPS/N/RUS/14")</f>
      </c>
      <c r="D614" s="8" t="s">
        <v>2821</v>
      </c>
      <c r="E614" s="8" t="s">
        <v>2822</v>
      </c>
      <c r="F614" s="8" t="s">
        <v>2823</v>
      </c>
      <c r="G614" s="8" t="s">
        <v>2824</v>
      </c>
      <c r="H614" s="8" t="s">
        <v>36</v>
      </c>
      <c r="I614" s="8" t="s">
        <v>1328</v>
      </c>
      <c r="J614" s="8" t="s">
        <v>105</v>
      </c>
      <c r="K614" s="6"/>
      <c r="L614" s="7">
        <v>41365</v>
      </c>
      <c r="M614" s="6" t="s">
        <v>51</v>
      </c>
      <c r="N614" s="8" t="s">
        <v>2744</v>
      </c>
      <c r="O614" s="6">
        <f>HYPERLINK("https://docs.wto.org/imrd/directdoc.asp?DDFDocuments/t/G/SPS/NRUS14.pdf", "https://docs.wto.org/imrd/directdoc.asp?DDFDocuments/t/G/SPS/NRUS14.pdf")</f>
      </c>
      <c r="P614" s="6">
        <f>HYPERLINK("https://docs.wto.org/imrd/directdoc.asp?DDFDocuments/u/G/SPS/NRUS14.pdf", "https://docs.wto.org/imrd/directdoc.asp?DDFDocuments/u/G/SPS/NRUS14.pdf")</f>
      </c>
      <c r="Q614" s="6">
        <f>HYPERLINK("https://docs.wto.org/imrd/directdoc.asp?DDFDocuments/v/G/SPS/NRUS14.pdf", "https://docs.wto.org/imrd/directdoc.asp?DDFDocuments/v/G/SPS/NRUS14.pdf")</f>
      </c>
      <c r="R614" s="0" t="s">
        <v>36</v>
      </c>
      <c r="S614" s="0" t="s">
        <v>36</v>
      </c>
      <c r="T614" s="0" t="s">
        <v>36</v>
      </c>
      <c r="U614" s="0" t="s">
        <v>36</v>
      </c>
      <c r="V614" s="0" t="s">
        <v>36</v>
      </c>
      <c r="W614" s="0" t="s">
        <v>36</v>
      </c>
      <c r="X614" s="0" t="s">
        <v>36</v>
      </c>
      <c r="Y614" s="2" t="s">
        <v>36</v>
      </c>
      <c r="Z614" s="0" t="s">
        <v>42</v>
      </c>
      <c r="AA614" s="0" t="s">
        <v>42</v>
      </c>
      <c r="AB614" s="0" t="s">
        <v>42</v>
      </c>
      <c r="AC614" s="0" t="s">
        <v>43</v>
      </c>
      <c r="AD614" s="0" t="s">
        <v>107</v>
      </c>
      <c r="AE614" s="2"/>
    </row>
    <row r="615">
      <c r="A615" s="6" t="s">
        <v>31</v>
      </c>
      <c r="B615" s="7">
        <v>41331</v>
      </c>
      <c r="C615" s="9">
        <f>HYPERLINK("https://www.epingalert.org/en/Search?viewData= G/SPS/N/RUS/13"," G/SPS/N/RUS/13")</f>
      </c>
      <c r="D615" s="8" t="s">
        <v>2825</v>
      </c>
      <c r="E615" s="8" t="s">
        <v>2826</v>
      </c>
      <c r="F615" s="8" t="s">
        <v>2827</v>
      </c>
      <c r="G615" s="8" t="s">
        <v>2828</v>
      </c>
      <c r="H615" s="8" t="s">
        <v>36</v>
      </c>
      <c r="I615" s="8" t="s">
        <v>1328</v>
      </c>
      <c r="J615" s="8" t="s">
        <v>1562</v>
      </c>
      <c r="K615" s="6" t="s">
        <v>2829</v>
      </c>
      <c r="L615" s="7" t="s">
        <v>36</v>
      </c>
      <c r="M615" s="6" t="s">
        <v>40</v>
      </c>
      <c r="N615" s="8" t="s">
        <v>2830</v>
      </c>
      <c r="O615" s="6">
        <f>HYPERLINK("https://docs.wto.org/imrd/directdoc.asp?DDFDocuments/t/G/SPS/NRUS13.pdf", "https://docs.wto.org/imrd/directdoc.asp?DDFDocuments/t/G/SPS/NRUS13.pdf")</f>
      </c>
      <c r="P615" s="6">
        <f>HYPERLINK("https://docs.wto.org/imrd/directdoc.asp?DDFDocuments/u/G/SPS/NRUS13.pdf", "https://docs.wto.org/imrd/directdoc.asp?DDFDocuments/u/G/SPS/NRUS13.pdf")</f>
      </c>
      <c r="Q615" s="6">
        <f>HYPERLINK("https://docs.wto.org/imrd/directdoc.asp?DDFDocuments/v/G/SPS/NRUS13.pdf", "https://docs.wto.org/imrd/directdoc.asp?DDFDocuments/v/G/SPS/NRUS13.pdf")</f>
      </c>
      <c r="R615" s="0" t="s">
        <v>36</v>
      </c>
      <c r="S615" s="0" t="s">
        <v>36</v>
      </c>
      <c r="T615" s="0" t="s">
        <v>36</v>
      </c>
      <c r="U615" s="0" t="s">
        <v>36</v>
      </c>
      <c r="V615" s="0" t="s">
        <v>36</v>
      </c>
      <c r="W615" s="0" t="s">
        <v>36</v>
      </c>
      <c r="X615" s="0" t="s">
        <v>36</v>
      </c>
      <c r="Y615" s="2" t="s">
        <v>36</v>
      </c>
      <c r="Z615" s="0" t="s">
        <v>42</v>
      </c>
      <c r="AA615" s="0" t="s">
        <v>43</v>
      </c>
      <c r="AB615" s="0" t="s">
        <v>42</v>
      </c>
      <c r="AC615" s="0" t="s">
        <v>42</v>
      </c>
      <c r="AD615" s="0" t="s">
        <v>43</v>
      </c>
      <c r="AE615" s="2"/>
    </row>
    <row r="616">
      <c r="A616" s="6" t="s">
        <v>31</v>
      </c>
      <c r="B616" s="7">
        <v>41330</v>
      </c>
      <c r="C616" s="9">
        <f>HYPERLINK("https://www.epingalert.org/en/Search?viewData= G/SPS/N/RUS/12"," G/SPS/N/RUS/12")</f>
      </c>
      <c r="D616" s="8" t="s">
        <v>2831</v>
      </c>
      <c r="E616" s="8" t="s">
        <v>2832</v>
      </c>
      <c r="F616" s="8" t="s">
        <v>2833</v>
      </c>
      <c r="G616" s="8" t="s">
        <v>2834</v>
      </c>
      <c r="H616" s="8" t="s">
        <v>36</v>
      </c>
      <c r="I616" s="8" t="s">
        <v>332</v>
      </c>
      <c r="J616" s="8" t="s">
        <v>2835</v>
      </c>
      <c r="K616" s="6"/>
      <c r="L616" s="7">
        <v>41390</v>
      </c>
      <c r="M616" s="6" t="s">
        <v>51</v>
      </c>
      <c r="N616" s="8" t="s">
        <v>2836</v>
      </c>
      <c r="O616" s="6">
        <f>HYPERLINK("https://docs.wto.org/imrd/directdoc.asp?DDFDocuments/t/G/SPS/NRUS12.pdf", "https://docs.wto.org/imrd/directdoc.asp?DDFDocuments/t/G/SPS/NRUS12.pdf")</f>
      </c>
      <c r="P616" s="6">
        <f>HYPERLINK("https://docs.wto.org/imrd/directdoc.asp?DDFDocuments/u/G/SPS/NRUS12.pdf", "https://docs.wto.org/imrd/directdoc.asp?DDFDocuments/u/G/SPS/NRUS12.pdf")</f>
      </c>
      <c r="Q616" s="6">
        <f>HYPERLINK("https://docs.wto.org/imrd/directdoc.asp?DDFDocuments/v/G/SPS/NRUS12.pdf", "https://docs.wto.org/imrd/directdoc.asp?DDFDocuments/v/G/SPS/NRUS12.pdf")</f>
      </c>
      <c r="R616" s="0" t="s">
        <v>36</v>
      </c>
      <c r="S616" s="0" t="s">
        <v>36</v>
      </c>
      <c r="T616" s="0" t="s">
        <v>36</v>
      </c>
      <c r="U616" s="0" t="s">
        <v>36</v>
      </c>
      <c r="V616" s="0" t="s">
        <v>36</v>
      </c>
      <c r="W616" s="0" t="s">
        <v>36</v>
      </c>
      <c r="X616" s="0" t="s">
        <v>36</v>
      </c>
      <c r="Y616" s="2" t="s">
        <v>36</v>
      </c>
      <c r="Z616" s="0" t="s">
        <v>42</v>
      </c>
      <c r="AA616" s="0" t="s">
        <v>42</v>
      </c>
      <c r="AB616" s="0" t="s">
        <v>42</v>
      </c>
      <c r="AC616" s="0" t="s">
        <v>43</v>
      </c>
      <c r="AD616" s="0" t="s">
        <v>107</v>
      </c>
      <c r="AE616" s="2"/>
    </row>
    <row r="617">
      <c r="A617" s="6" t="s">
        <v>31</v>
      </c>
      <c r="B617" s="7">
        <v>41327</v>
      </c>
      <c r="C617" s="9">
        <f>HYPERLINK("https://www.epingalert.org/en/Search?viewData= G/SPS/N/RUS/11"," G/SPS/N/RUS/11")</f>
      </c>
      <c r="D617" s="8" t="s">
        <v>2837</v>
      </c>
      <c r="E617" s="8" t="s">
        <v>2838</v>
      </c>
      <c r="F617" s="8" t="s">
        <v>2839</v>
      </c>
      <c r="G617" s="8" t="s">
        <v>2840</v>
      </c>
      <c r="H617" s="8" t="s">
        <v>36</v>
      </c>
      <c r="I617" s="8" t="s">
        <v>2299</v>
      </c>
      <c r="J617" s="8" t="s">
        <v>2841</v>
      </c>
      <c r="K617" s="6" t="s">
        <v>2842</v>
      </c>
      <c r="L617" s="7" t="s">
        <v>36</v>
      </c>
      <c r="M617" s="6" t="s">
        <v>40</v>
      </c>
      <c r="N617" s="6"/>
      <c r="O617" s="6">
        <f>HYPERLINK("https://docs.wto.org/imrd/directdoc.asp?DDFDocuments/t/G/SPS/NRUS11.pdf", "https://docs.wto.org/imrd/directdoc.asp?DDFDocuments/t/G/SPS/NRUS11.pdf")</f>
      </c>
      <c r="P617" s="6">
        <f>HYPERLINK("https://docs.wto.org/imrd/directdoc.asp?DDFDocuments/u/G/SPS/NRUS11.pdf", "https://docs.wto.org/imrd/directdoc.asp?DDFDocuments/u/G/SPS/NRUS11.pdf")</f>
      </c>
      <c r="Q617" s="6">
        <f>HYPERLINK("https://docs.wto.org/imrd/directdoc.asp?DDFDocuments/v/G/SPS/NRUS11.pdf", "https://docs.wto.org/imrd/directdoc.asp?DDFDocuments/v/G/SPS/NRUS11.pdf")</f>
      </c>
      <c r="R617" s="0" t="s">
        <v>36</v>
      </c>
      <c r="S617" s="0" t="s">
        <v>36</v>
      </c>
      <c r="T617" s="0" t="s">
        <v>36</v>
      </c>
      <c r="U617" s="0" t="s">
        <v>36</v>
      </c>
      <c r="V617" s="0" t="s">
        <v>36</v>
      </c>
      <c r="W617" s="0" t="s">
        <v>36</v>
      </c>
      <c r="X617" s="0" t="s">
        <v>36</v>
      </c>
      <c r="Y617" s="2" t="s">
        <v>36</v>
      </c>
      <c r="Z617" s="0" t="s">
        <v>42</v>
      </c>
      <c r="AA617" s="0" t="s">
        <v>42</v>
      </c>
      <c r="AB617" s="0" t="s">
        <v>43</v>
      </c>
      <c r="AC617" s="0" t="s">
        <v>42</v>
      </c>
      <c r="AD617" s="0" t="s">
        <v>43</v>
      </c>
      <c r="AE617" s="2"/>
    </row>
    <row r="618">
      <c r="A618" s="6" t="s">
        <v>31</v>
      </c>
      <c r="B618" s="7">
        <v>41327</v>
      </c>
      <c r="C618" s="9">
        <f>HYPERLINK("https://www.epingalert.org/en/Search?viewData= G/SPS/N/RUS/10"," G/SPS/N/RUS/10")</f>
      </c>
      <c r="D618" s="8" t="s">
        <v>2843</v>
      </c>
      <c r="E618" s="8" t="s">
        <v>2844</v>
      </c>
      <c r="F618" s="8" t="s">
        <v>2845</v>
      </c>
      <c r="G618" s="8" t="s">
        <v>36</v>
      </c>
      <c r="H618" s="8" t="s">
        <v>36</v>
      </c>
      <c r="I618" s="8" t="s">
        <v>332</v>
      </c>
      <c r="J618" s="8" t="s">
        <v>1562</v>
      </c>
      <c r="K618" s="6"/>
      <c r="L618" s="7" t="s">
        <v>36</v>
      </c>
      <c r="M618" s="6" t="s">
        <v>51</v>
      </c>
      <c r="N618" s="8" t="s">
        <v>2846</v>
      </c>
      <c r="O618" s="6">
        <f>HYPERLINK("https://docs.wto.org/imrd/directdoc.asp?DDFDocuments/t/G/SPS/NRUS10.pdf", "https://docs.wto.org/imrd/directdoc.asp?DDFDocuments/t/G/SPS/NRUS10.pdf")</f>
      </c>
      <c r="P618" s="6">
        <f>HYPERLINK("https://docs.wto.org/imrd/directdoc.asp?DDFDocuments/u/G/SPS/NRUS10.pdf", "https://docs.wto.org/imrd/directdoc.asp?DDFDocuments/u/G/SPS/NRUS10.pdf")</f>
      </c>
      <c r="Q618" s="6">
        <f>HYPERLINK("https://docs.wto.org/imrd/directdoc.asp?DDFDocuments/v/G/SPS/NRUS10.pdf", "https://docs.wto.org/imrd/directdoc.asp?DDFDocuments/v/G/SPS/NRUS10.pdf")</f>
      </c>
      <c r="R618" s="0" t="s">
        <v>36</v>
      </c>
      <c r="S618" s="0" t="s">
        <v>36</v>
      </c>
      <c r="T618" s="0" t="s">
        <v>36</v>
      </c>
      <c r="U618" s="0" t="s">
        <v>36</v>
      </c>
      <c r="V618" s="0" t="s">
        <v>36</v>
      </c>
      <c r="W618" s="0" t="s">
        <v>36</v>
      </c>
      <c r="X618" s="0" t="s">
        <v>36</v>
      </c>
      <c r="Y618" s="2" t="s">
        <v>36</v>
      </c>
      <c r="Z618" s="0" t="s">
        <v>42</v>
      </c>
      <c r="AA618" s="0" t="s">
        <v>43</v>
      </c>
      <c r="AB618" s="0" t="s">
        <v>42</v>
      </c>
      <c r="AC618" s="0" t="s">
        <v>42</v>
      </c>
      <c r="AD618" s="0" t="s">
        <v>43</v>
      </c>
      <c r="AE618" s="2"/>
    </row>
    <row r="619">
      <c r="A619" s="6" t="s">
        <v>31</v>
      </c>
      <c r="B619" s="7">
        <v>41311</v>
      </c>
      <c r="C619" s="9">
        <f>HYPERLINK("https://www.epingalert.org/en/Search?viewData= G/SPS/N/RUS/9"," G/SPS/N/RUS/9")</f>
      </c>
      <c r="D619" s="8" t="s">
        <v>2441</v>
      </c>
      <c r="E619" s="8" t="s">
        <v>2847</v>
      </c>
      <c r="F619" s="8" t="s">
        <v>2848</v>
      </c>
      <c r="G619" s="8" t="s">
        <v>1302</v>
      </c>
      <c r="H619" s="8" t="s">
        <v>36</v>
      </c>
      <c r="I619" s="8" t="s">
        <v>36</v>
      </c>
      <c r="J619" s="8" t="s">
        <v>2443</v>
      </c>
      <c r="K619" s="6" t="s">
        <v>353</v>
      </c>
      <c r="L619" s="7" t="s">
        <v>36</v>
      </c>
      <c r="M619" s="6" t="s">
        <v>40</v>
      </c>
      <c r="N619" s="6"/>
      <c r="O619" s="6">
        <f>HYPERLINK("https://docs.wto.org/imrd/directdoc.asp?DDFDocuments/t/G/SPS/NRUS9.pdf", "https://docs.wto.org/imrd/directdoc.asp?DDFDocuments/t/G/SPS/NRUS9.pdf")</f>
      </c>
      <c r="P619" s="6">
        <f>HYPERLINK("https://docs.wto.org/imrd/directdoc.asp?DDFDocuments/u/G/SPS/NRUS9.pdf", "https://docs.wto.org/imrd/directdoc.asp?DDFDocuments/u/G/SPS/NRUS9.pdf")</f>
      </c>
      <c r="Q619" s="6">
        <f>HYPERLINK("https://docs.wto.org/imrd/directdoc.asp?DDFDocuments/v/G/SPS/NRUS9.pdf", "https://docs.wto.org/imrd/directdoc.asp?DDFDocuments/v/G/SPS/NRUS9.pdf")</f>
      </c>
      <c r="R619" s="0" t="s">
        <v>36</v>
      </c>
      <c r="S619" s="0" t="s">
        <v>36</v>
      </c>
      <c r="T619" s="0" t="s">
        <v>36</v>
      </c>
      <c r="U619" s="0" t="s">
        <v>36</v>
      </c>
      <c r="V619" s="0" t="s">
        <v>36</v>
      </c>
      <c r="W619" s="0" t="s">
        <v>36</v>
      </c>
      <c r="X619" s="0" t="s">
        <v>36</v>
      </c>
      <c r="Y619" s="2" t="s">
        <v>36</v>
      </c>
      <c r="Z619" s="0" t="s">
        <v>42</v>
      </c>
      <c r="AA619" s="0" t="s">
        <v>42</v>
      </c>
      <c r="AB619" s="0" t="s">
        <v>42</v>
      </c>
      <c r="AC619" s="0" t="s">
        <v>42</v>
      </c>
      <c r="AD619" s="0" t="s">
        <v>42</v>
      </c>
      <c r="AE619" s="2"/>
    </row>
    <row r="620">
      <c r="A620" s="6" t="s">
        <v>31</v>
      </c>
      <c r="B620" s="7">
        <v>41303</v>
      </c>
      <c r="C620" s="9">
        <f>HYPERLINK("https://www.epingalert.org/en/Search?viewData= G/SPS/N/RUS/8"," G/SPS/N/RUS/8")</f>
      </c>
      <c r="D620" s="8" t="s">
        <v>2849</v>
      </c>
      <c r="E620" s="8" t="s">
        <v>2850</v>
      </c>
      <c r="F620" s="8" t="s">
        <v>2851</v>
      </c>
      <c r="G620" s="8" t="s">
        <v>2852</v>
      </c>
      <c r="H620" s="8" t="s">
        <v>36</v>
      </c>
      <c r="I620" s="8" t="s">
        <v>1328</v>
      </c>
      <c r="J620" s="8" t="s">
        <v>1562</v>
      </c>
      <c r="K620" s="6" t="s">
        <v>371</v>
      </c>
      <c r="L620" s="7" t="s">
        <v>36</v>
      </c>
      <c r="M620" s="6" t="s">
        <v>40</v>
      </c>
      <c r="N620" s="6"/>
      <c r="O620" s="6">
        <f>HYPERLINK("https://docs.wto.org/imrd/directdoc.asp?DDFDocuments/t/G/SPS/NRUS8.pdf", "https://docs.wto.org/imrd/directdoc.asp?DDFDocuments/t/G/SPS/NRUS8.pdf")</f>
      </c>
      <c r="P620" s="6">
        <f>HYPERLINK("https://docs.wto.org/imrd/directdoc.asp?DDFDocuments/u/G/SPS/NRUS8.pdf", "https://docs.wto.org/imrd/directdoc.asp?DDFDocuments/u/G/SPS/NRUS8.pdf")</f>
      </c>
      <c r="Q620" s="6">
        <f>HYPERLINK("https://docs.wto.org/imrd/directdoc.asp?DDFDocuments/v/G/SPS/NRUS8.pdf", "https://docs.wto.org/imrd/directdoc.asp?DDFDocuments/v/G/SPS/NRUS8.pdf")</f>
      </c>
      <c r="R620" s="0" t="s">
        <v>36</v>
      </c>
      <c r="S620" s="0" t="s">
        <v>36</v>
      </c>
      <c r="T620" s="0" t="s">
        <v>36</v>
      </c>
      <c r="U620" s="0" t="s">
        <v>36</v>
      </c>
      <c r="V620" s="0" t="s">
        <v>36</v>
      </c>
      <c r="W620" s="0" t="s">
        <v>36</v>
      </c>
      <c r="X620" s="0" t="s">
        <v>36</v>
      </c>
      <c r="Y620" s="2" t="s">
        <v>36</v>
      </c>
      <c r="Z620" s="0" t="s">
        <v>42</v>
      </c>
      <c r="AA620" s="0" t="s">
        <v>42</v>
      </c>
      <c r="AB620" s="0" t="s">
        <v>42</v>
      </c>
      <c r="AC620" s="0" t="s">
        <v>43</v>
      </c>
      <c r="AD620" s="0" t="s">
        <v>107</v>
      </c>
      <c r="AE620" s="2"/>
    </row>
    <row r="621">
      <c r="A621" s="6" t="s">
        <v>31</v>
      </c>
      <c r="B621" s="7">
        <v>41285</v>
      </c>
      <c r="C621" s="9">
        <f>HYPERLINK("https://www.epingalert.org/en/Search?viewData= G/SPS/N/RUS/7"," G/SPS/N/RUS/7")</f>
      </c>
      <c r="D621" s="8" t="s">
        <v>2853</v>
      </c>
      <c r="E621" s="8" t="s">
        <v>2854</v>
      </c>
      <c r="F621" s="8" t="s">
        <v>2855</v>
      </c>
      <c r="G621" s="8" t="s">
        <v>2548</v>
      </c>
      <c r="H621" s="8" t="s">
        <v>36</v>
      </c>
      <c r="I621" s="8" t="s">
        <v>37</v>
      </c>
      <c r="J621" s="8" t="s">
        <v>2856</v>
      </c>
      <c r="K621" s="6" t="s">
        <v>426</v>
      </c>
      <c r="L621" s="7" t="s">
        <v>36</v>
      </c>
      <c r="M621" s="6" t="s">
        <v>40</v>
      </c>
      <c r="N621" s="8" t="s">
        <v>2857</v>
      </c>
      <c r="O621" s="6">
        <f>HYPERLINK("https://docs.wto.org/imrd/directdoc.asp?DDFDocuments/t/G/SPS/NRUS7.pdf", "https://docs.wto.org/imrd/directdoc.asp?DDFDocuments/t/G/SPS/NRUS7.pdf")</f>
      </c>
      <c r="P621" s="6">
        <f>HYPERLINK("https://docs.wto.org/imrd/directdoc.asp?DDFDocuments/u/G/SPS/NRUS7.pdf", "https://docs.wto.org/imrd/directdoc.asp?DDFDocuments/u/G/SPS/NRUS7.pdf")</f>
      </c>
      <c r="Q621" s="6">
        <f>HYPERLINK("https://docs.wto.org/imrd/directdoc.asp?DDFDocuments/v/G/SPS/NRUS7.pdf", "https://docs.wto.org/imrd/directdoc.asp?DDFDocuments/v/G/SPS/NRUS7.pdf")</f>
      </c>
      <c r="R621" s="0" t="s">
        <v>36</v>
      </c>
      <c r="S621" s="0" t="s">
        <v>36</v>
      </c>
      <c r="T621" s="0" t="s">
        <v>36</v>
      </c>
      <c r="U621" s="0" t="s">
        <v>36</v>
      </c>
      <c r="V621" s="0" t="s">
        <v>36</v>
      </c>
      <c r="W621" s="0" t="s">
        <v>36</v>
      </c>
      <c r="X621" s="0" t="s">
        <v>36</v>
      </c>
      <c r="Y621" s="2" t="s">
        <v>36</v>
      </c>
      <c r="Z621" s="0" t="s">
        <v>42</v>
      </c>
      <c r="AA621" s="0" t="s">
        <v>42</v>
      </c>
      <c r="AB621" s="0" t="s">
        <v>42</v>
      </c>
      <c r="AC621" s="0" t="s">
        <v>43</v>
      </c>
      <c r="AD621" s="0" t="s">
        <v>107</v>
      </c>
      <c r="AE621" s="2" t="s">
        <v>2858</v>
      </c>
    </row>
    <row r="622">
      <c r="A622" s="6" t="s">
        <v>31</v>
      </c>
      <c r="B622" s="7">
        <v>41278</v>
      </c>
      <c r="C622" s="9">
        <f>HYPERLINK("https://www.epingalert.org/en/Search?viewData= G/SPS/N/RUS/6"," G/SPS/N/RUS/6")</f>
      </c>
      <c r="D622" s="8" t="s">
        <v>2672</v>
      </c>
      <c r="E622" s="8" t="s">
        <v>2859</v>
      </c>
      <c r="F622" s="8" t="s">
        <v>2860</v>
      </c>
      <c r="G622" s="8" t="s">
        <v>2861</v>
      </c>
      <c r="H622" s="8" t="s">
        <v>36</v>
      </c>
      <c r="I622" s="8" t="s">
        <v>332</v>
      </c>
      <c r="J622" s="8" t="s">
        <v>2862</v>
      </c>
      <c r="K622" s="6"/>
      <c r="L622" s="7">
        <v>41338</v>
      </c>
      <c r="M622" s="6" t="s">
        <v>51</v>
      </c>
      <c r="N622" s="8" t="s">
        <v>2863</v>
      </c>
      <c r="O622" s="6">
        <f>HYPERLINK("https://docs.wto.org/imrd/directdoc.asp?DDFDocuments/t/G/SPS/NRUS6.pdf", "https://docs.wto.org/imrd/directdoc.asp?DDFDocuments/t/G/SPS/NRUS6.pdf")</f>
      </c>
      <c r="P622" s="6">
        <f>HYPERLINK("https://docs.wto.org/imrd/directdoc.asp?DDFDocuments/u/G/SPS/NRUS6.pdf", "https://docs.wto.org/imrd/directdoc.asp?DDFDocuments/u/G/SPS/NRUS6.pdf")</f>
      </c>
      <c r="Q622" s="6">
        <f>HYPERLINK("https://docs.wto.org/imrd/directdoc.asp?DDFDocuments/v/G/SPS/NRUS6.pdf", "https://docs.wto.org/imrd/directdoc.asp?DDFDocuments/v/G/SPS/NRUS6.pdf")</f>
      </c>
      <c r="R622" s="0" t="s">
        <v>36</v>
      </c>
      <c r="S622" s="0" t="s">
        <v>36</v>
      </c>
      <c r="T622" s="0" t="s">
        <v>36</v>
      </c>
      <c r="U622" s="0" t="s">
        <v>36</v>
      </c>
      <c r="V622" s="0" t="s">
        <v>36</v>
      </c>
      <c r="W622" s="0" t="s">
        <v>36</v>
      </c>
      <c r="X622" s="0" t="s">
        <v>36</v>
      </c>
      <c r="Y622" s="2" t="s">
        <v>36</v>
      </c>
      <c r="Z622" s="0" t="s">
        <v>43</v>
      </c>
      <c r="AA622" s="0" t="s">
        <v>42</v>
      </c>
      <c r="AB622" s="0" t="s">
        <v>42</v>
      </c>
      <c r="AC622" s="0" t="s">
        <v>42</v>
      </c>
      <c r="AD622" s="0" t="s">
        <v>43</v>
      </c>
      <c r="AE622" s="2"/>
    </row>
    <row r="623">
      <c r="A623" s="6" t="s">
        <v>31</v>
      </c>
      <c r="B623" s="7">
        <v>41264</v>
      </c>
      <c r="C623" s="9">
        <f>HYPERLINK("https://www.epingalert.org/en/Search?viewData= G/TBT/N/RUS/2"," G/TBT/N/RUS/2")</f>
      </c>
      <c r="D623" s="8" t="s">
        <v>2864</v>
      </c>
      <c r="E623" s="8" t="s">
        <v>2865</v>
      </c>
      <c r="F623" s="8" t="s">
        <v>2866</v>
      </c>
      <c r="G623" s="8" t="s">
        <v>36</v>
      </c>
      <c r="H623" s="8" t="s">
        <v>2867</v>
      </c>
      <c r="I623" s="8" t="s">
        <v>796</v>
      </c>
      <c r="J623" s="8" t="s">
        <v>58</v>
      </c>
      <c r="K623" s="6"/>
      <c r="L623" s="7">
        <v>41264</v>
      </c>
      <c r="M623" s="6" t="s">
        <v>51</v>
      </c>
      <c r="N623" s="6"/>
      <c r="O623" s="6">
        <f>HYPERLINK("https://docs.wto.org/imrd/directdoc.asp?DDFDocuments/t/G/TBTN12/RUS2.DOC", "https://docs.wto.org/imrd/directdoc.asp?DDFDocuments/t/G/TBTN12/RUS2.DOC")</f>
      </c>
      <c r="P623" s="6">
        <f>HYPERLINK("https://docs.wto.org/imrd/directdoc.asp?DDFDocuments/u/G/TBTN12/RUS2.DOC", "https://docs.wto.org/imrd/directdoc.asp?DDFDocuments/u/G/TBTN12/RUS2.DOC")</f>
      </c>
      <c r="Q623" s="6">
        <f>HYPERLINK("https://docs.wto.org/imrd/directdoc.asp?DDFDocuments/v/G/TBTN12/RUS2.DOC", "https://docs.wto.org/imrd/directdoc.asp?DDFDocuments/v/G/TBTN12/RUS2.DOC")</f>
      </c>
      <c r="R623" s="0" t="s">
        <v>43</v>
      </c>
      <c r="S623" s="0" t="s">
        <v>42</v>
      </c>
      <c r="T623" s="0" t="s">
        <v>42</v>
      </c>
      <c r="U623" s="0" t="s">
        <v>42</v>
      </c>
      <c r="V623" s="0" t="s">
        <v>42</v>
      </c>
      <c r="W623" s="0" t="s">
        <v>42</v>
      </c>
      <c r="X623" s="0" t="s">
        <v>42</v>
      </c>
      <c r="Y623" s="2" t="s">
        <v>2868</v>
      </c>
      <c r="Z623" s="0" t="s">
        <v>36</v>
      </c>
      <c r="AA623" s="0" t="s">
        <v>36</v>
      </c>
      <c r="AB623" s="0" t="s">
        <v>36</v>
      </c>
      <c r="AC623" s="0" t="s">
        <v>36</v>
      </c>
      <c r="AD623" s="0" t="s">
        <v>36</v>
      </c>
      <c r="AE623" s="2" t="s">
        <v>36</v>
      </c>
    </row>
    <row r="624">
      <c r="A624" s="6" t="s">
        <v>31</v>
      </c>
      <c r="B624" s="7">
        <v>41264</v>
      </c>
      <c r="C624" s="9">
        <f>HYPERLINK("https://www.epingalert.org/en/Search?viewData= G/SPS/N/RUS/4"," G/SPS/N/RUS/4")</f>
      </c>
      <c r="D624" s="8" t="s">
        <v>2869</v>
      </c>
      <c r="E624" s="8" t="s">
        <v>2870</v>
      </c>
      <c r="F624" s="8" t="s">
        <v>2871</v>
      </c>
      <c r="G624" s="8" t="s">
        <v>2872</v>
      </c>
      <c r="H624" s="8" t="s">
        <v>36</v>
      </c>
      <c r="I624" s="8" t="s">
        <v>475</v>
      </c>
      <c r="J624" s="8" t="s">
        <v>2873</v>
      </c>
      <c r="K624" s="6" t="s">
        <v>551</v>
      </c>
      <c r="L624" s="7" t="s">
        <v>36</v>
      </c>
      <c r="M624" s="6" t="s">
        <v>51</v>
      </c>
      <c r="N624" s="8" t="s">
        <v>2874</v>
      </c>
      <c r="O624" s="6">
        <f>HYPERLINK("https://docs.wto.org/imrd/directdoc.asp?DDFDocuments/t/G/SPS/NRUS4.pdf", "https://docs.wto.org/imrd/directdoc.asp?DDFDocuments/t/G/SPS/NRUS4.pdf")</f>
      </c>
      <c r="P624" s="6">
        <f>HYPERLINK("https://docs.wto.org/imrd/directdoc.asp?DDFDocuments/u/G/SPS/NRUS4.pdf", "https://docs.wto.org/imrd/directdoc.asp?DDFDocuments/u/G/SPS/NRUS4.pdf")</f>
      </c>
      <c r="Q624" s="6">
        <f>HYPERLINK("https://docs.wto.org/imrd/directdoc.asp?DDFDocuments/v/G/SPS/NRUS4.pdf", "https://docs.wto.org/imrd/directdoc.asp?DDFDocuments/v/G/SPS/NRUS4.pdf")</f>
      </c>
      <c r="R624" s="0" t="s">
        <v>36</v>
      </c>
      <c r="S624" s="0" t="s">
        <v>36</v>
      </c>
      <c r="T624" s="0" t="s">
        <v>36</v>
      </c>
      <c r="U624" s="0" t="s">
        <v>36</v>
      </c>
      <c r="V624" s="0" t="s">
        <v>36</v>
      </c>
      <c r="W624" s="0" t="s">
        <v>36</v>
      </c>
      <c r="X624" s="0" t="s">
        <v>36</v>
      </c>
      <c r="Y624" s="2" t="s">
        <v>36</v>
      </c>
      <c r="Z624" s="0" t="s">
        <v>42</v>
      </c>
      <c r="AA624" s="0" t="s">
        <v>43</v>
      </c>
      <c r="AB624" s="0" t="s">
        <v>42</v>
      </c>
      <c r="AC624" s="0" t="s">
        <v>42</v>
      </c>
      <c r="AD624" s="0" t="s">
        <v>43</v>
      </c>
      <c r="AE624" s="2"/>
    </row>
    <row r="625">
      <c r="A625" s="6" t="s">
        <v>31</v>
      </c>
      <c r="B625" s="7">
        <v>41264</v>
      </c>
      <c r="C625" s="9">
        <f>HYPERLINK("https://www.epingalert.org/en/Search?viewData= G/TBT/N/RUS/1"," G/TBT/N/RUS/1")</f>
      </c>
      <c r="D625" s="8" t="s">
        <v>2875</v>
      </c>
      <c r="E625" s="8" t="s">
        <v>2876</v>
      </c>
      <c r="F625" s="8" t="s">
        <v>2877</v>
      </c>
      <c r="G625" s="8" t="s">
        <v>36</v>
      </c>
      <c r="H625" s="8" t="s">
        <v>2878</v>
      </c>
      <c r="I625" s="8" t="s">
        <v>1637</v>
      </c>
      <c r="J625" s="8" t="s">
        <v>36</v>
      </c>
      <c r="K625" s="6"/>
      <c r="L625" s="7">
        <v>41064</v>
      </c>
      <c r="M625" s="6" t="s">
        <v>51</v>
      </c>
      <c r="N625" s="6"/>
      <c r="O625" s="6">
        <f>HYPERLINK("https://docs.wto.org/imrd/directdoc.asp?DDFDocuments/t/G/TBTN12/RUS1.DOC", "https://docs.wto.org/imrd/directdoc.asp?DDFDocuments/t/G/TBTN12/RUS1.DOC")</f>
      </c>
      <c r="P625" s="6">
        <f>HYPERLINK("https://docs.wto.org/imrd/directdoc.asp?DDFDocuments/u/G/TBTN12/RUS1.DOC", "https://docs.wto.org/imrd/directdoc.asp?DDFDocuments/u/G/TBTN12/RUS1.DOC")</f>
      </c>
      <c r="Q625" s="6">
        <f>HYPERLINK("https://docs.wto.org/imrd/directdoc.asp?DDFDocuments/v/G/TBTN12/RUS1.DOC", "https://docs.wto.org/imrd/directdoc.asp?DDFDocuments/v/G/TBTN12/RUS1.DOC")</f>
      </c>
      <c r="R625" s="0" t="s">
        <v>43</v>
      </c>
      <c r="S625" s="0" t="s">
        <v>42</v>
      </c>
      <c r="T625" s="0" t="s">
        <v>42</v>
      </c>
      <c r="U625" s="0" t="s">
        <v>42</v>
      </c>
      <c r="V625" s="0" t="s">
        <v>42</v>
      </c>
      <c r="W625" s="0" t="s">
        <v>42</v>
      </c>
      <c r="X625" s="0" t="s">
        <v>42</v>
      </c>
      <c r="Y625" s="2" t="s">
        <v>2879</v>
      </c>
      <c r="Z625" s="0" t="s">
        <v>36</v>
      </c>
      <c r="AA625" s="0" t="s">
        <v>36</v>
      </c>
      <c r="AB625" s="0" t="s">
        <v>36</v>
      </c>
      <c r="AC625" s="0" t="s">
        <v>36</v>
      </c>
      <c r="AD625" s="0" t="s">
        <v>36</v>
      </c>
      <c r="AE625" s="2" t="s">
        <v>36</v>
      </c>
    </row>
    <row r="626">
      <c r="A626" s="6" t="s">
        <v>31</v>
      </c>
      <c r="B626" s="7">
        <v>41264</v>
      </c>
      <c r="C626" s="9">
        <f>HYPERLINK("https://www.epingalert.org/en/Search?viewData= G/SPS/N/RUS/5"," G/SPS/N/RUS/5")</f>
      </c>
      <c r="D626" s="8" t="s">
        <v>2880</v>
      </c>
      <c r="E626" s="8" t="s">
        <v>2881</v>
      </c>
      <c r="F626" s="8" t="s">
        <v>2882</v>
      </c>
      <c r="G626" s="8" t="s">
        <v>2883</v>
      </c>
      <c r="H626" s="8" t="s">
        <v>36</v>
      </c>
      <c r="I626" s="8" t="s">
        <v>475</v>
      </c>
      <c r="J626" s="8" t="s">
        <v>2884</v>
      </c>
      <c r="K626" s="6" t="s">
        <v>2885</v>
      </c>
      <c r="L626" s="7" t="s">
        <v>36</v>
      </c>
      <c r="M626" s="6" t="s">
        <v>51</v>
      </c>
      <c r="N626" s="8" t="s">
        <v>2886</v>
      </c>
      <c r="O626" s="6">
        <f>HYPERLINK("https://docs.wto.org/imrd/directdoc.asp?DDFDocuments/t/G/SPS/NRUS5.pdf", "https://docs.wto.org/imrd/directdoc.asp?DDFDocuments/t/G/SPS/NRUS5.pdf")</f>
      </c>
      <c r="P626" s="6">
        <f>HYPERLINK("https://docs.wto.org/imrd/directdoc.asp?DDFDocuments/u/G/SPS/NRUS5.pdf", "https://docs.wto.org/imrd/directdoc.asp?DDFDocuments/u/G/SPS/NRUS5.pdf")</f>
      </c>
      <c r="Q626" s="6">
        <f>HYPERLINK("https://docs.wto.org/imrd/directdoc.asp?DDFDocuments/v/G/SPS/NRUS5.pdf", "https://docs.wto.org/imrd/directdoc.asp?DDFDocuments/v/G/SPS/NRUS5.pdf")</f>
      </c>
      <c r="R626" s="0" t="s">
        <v>36</v>
      </c>
      <c r="S626" s="0" t="s">
        <v>36</v>
      </c>
      <c r="T626" s="0" t="s">
        <v>36</v>
      </c>
      <c r="U626" s="0" t="s">
        <v>36</v>
      </c>
      <c r="V626" s="0" t="s">
        <v>36</v>
      </c>
      <c r="W626" s="0" t="s">
        <v>36</v>
      </c>
      <c r="X626" s="0" t="s">
        <v>36</v>
      </c>
      <c r="Y626" s="2" t="s">
        <v>36</v>
      </c>
      <c r="Z626" s="0" t="s">
        <v>42</v>
      </c>
      <c r="AA626" s="0" t="s">
        <v>43</v>
      </c>
      <c r="AB626" s="0" t="s">
        <v>42</v>
      </c>
      <c r="AC626" s="0" t="s">
        <v>42</v>
      </c>
      <c r="AD626" s="0" t="s">
        <v>43</v>
      </c>
      <c r="AE626" s="2"/>
    </row>
    <row r="627">
      <c r="A627" s="6" t="s">
        <v>31</v>
      </c>
      <c r="B627" s="7">
        <v>41262</v>
      </c>
      <c r="C627" s="9">
        <f>HYPERLINK("https://www.epingalert.org/en/Search?viewData= G/SPS/N/RUS/3"," G/SPS/N/RUS/3")</f>
      </c>
      <c r="D627" s="8" t="s">
        <v>2887</v>
      </c>
      <c r="E627" s="8" t="s">
        <v>2888</v>
      </c>
      <c r="F627" s="8" t="s">
        <v>2889</v>
      </c>
      <c r="G627" s="8" t="s">
        <v>2890</v>
      </c>
      <c r="H627" s="8" t="s">
        <v>36</v>
      </c>
      <c r="I627" s="8" t="s">
        <v>332</v>
      </c>
      <c r="J627" s="8" t="s">
        <v>2891</v>
      </c>
      <c r="K627" s="6" t="s">
        <v>984</v>
      </c>
      <c r="L627" s="7" t="s">
        <v>36</v>
      </c>
      <c r="M627" s="6" t="s">
        <v>40</v>
      </c>
      <c r="N627" s="8" t="s">
        <v>2892</v>
      </c>
      <c r="O627" s="6">
        <f>HYPERLINK("https://docs.wto.org/imrd/directdoc.asp?DDFDocuments/t/G/SPS/NRUS3.pdf", "https://docs.wto.org/imrd/directdoc.asp?DDFDocuments/t/G/SPS/NRUS3.pdf")</f>
      </c>
      <c r="P627" s="6">
        <f>HYPERLINK("https://docs.wto.org/imrd/directdoc.asp?DDFDocuments/u/G/SPS/NRUS3.pdf", "https://docs.wto.org/imrd/directdoc.asp?DDFDocuments/u/G/SPS/NRUS3.pdf")</f>
      </c>
      <c r="Q627" s="6">
        <f>HYPERLINK("https://docs.wto.org/imrd/directdoc.asp?DDFDocuments/v/G/SPS/NRUS3.pdf", "https://docs.wto.org/imrd/directdoc.asp?DDFDocuments/v/G/SPS/NRUS3.pdf")</f>
      </c>
      <c r="R627" s="0" t="s">
        <v>36</v>
      </c>
      <c r="S627" s="0" t="s">
        <v>36</v>
      </c>
      <c r="T627" s="0" t="s">
        <v>36</v>
      </c>
      <c r="U627" s="0" t="s">
        <v>36</v>
      </c>
      <c r="V627" s="0" t="s">
        <v>36</v>
      </c>
      <c r="W627" s="0" t="s">
        <v>36</v>
      </c>
      <c r="X627" s="0" t="s">
        <v>36</v>
      </c>
      <c r="Y627" s="2" t="s">
        <v>36</v>
      </c>
      <c r="Z627" s="0" t="s">
        <v>42</v>
      </c>
      <c r="AA627" s="0" t="s">
        <v>43</v>
      </c>
      <c r="AB627" s="0" t="s">
        <v>42</v>
      </c>
      <c r="AC627" s="0" t="s">
        <v>42</v>
      </c>
      <c r="AD627" s="0" t="s">
        <v>43</v>
      </c>
      <c r="AE627" s="2"/>
    </row>
    <row r="628">
      <c r="A628" s="6" t="s">
        <v>31</v>
      </c>
      <c r="B628" s="7">
        <v>41253</v>
      </c>
      <c r="C628" s="9">
        <f>HYPERLINK("https://www.epingalert.org/en/Search?viewData= G/SPS/N/RUS/1"," G/SPS/N/RUS/1")</f>
      </c>
      <c r="D628" s="8"/>
      <c r="E628" s="8" t="s">
        <v>2893</v>
      </c>
      <c r="F628" s="8"/>
      <c r="G628" s="8" t="s">
        <v>2548</v>
      </c>
      <c r="H628" s="8" t="s">
        <v>36</v>
      </c>
      <c r="I628" s="8" t="s">
        <v>36</v>
      </c>
      <c r="J628" s="8" t="s">
        <v>199</v>
      </c>
      <c r="K628" s="6"/>
      <c r="L628" s="7" t="s">
        <v>36</v>
      </c>
      <c r="M628" s="6" t="s">
        <v>40</v>
      </c>
      <c r="N628" s="6"/>
      <c r="O628" s="6">
        <f>HYPERLINK("https://docs.wto.org/imrd/directdoc.asp?DDFDocuments/t/G/SPS/NRUS1.pdf", "https://docs.wto.org/imrd/directdoc.asp?DDFDocuments/t/G/SPS/NRUS1.pdf")</f>
      </c>
      <c r="P628" s="6">
        <f>HYPERLINK("https://docs.wto.org/imrd/directdoc.asp?DDFDocuments/u/G/SPS/NRUS1.pdf", "https://docs.wto.org/imrd/directdoc.asp?DDFDocuments/u/G/SPS/NRUS1.pdf")</f>
      </c>
      <c r="Q628" s="6">
        <f>HYPERLINK("https://docs.wto.org/imrd/directdoc.asp?DDFDocuments/v/G/SPS/NRUS1.pdf", "https://docs.wto.org/imrd/directdoc.asp?DDFDocuments/v/G/SPS/NRUS1.pdf")</f>
      </c>
      <c r="R628" s="0" t="s">
        <v>36</v>
      </c>
      <c r="S628" s="0" t="s">
        <v>36</v>
      </c>
      <c r="T628" s="0" t="s">
        <v>36</v>
      </c>
      <c r="U628" s="0" t="s">
        <v>36</v>
      </c>
      <c r="V628" s="0" t="s">
        <v>36</v>
      </c>
      <c r="W628" s="0" t="s">
        <v>36</v>
      </c>
      <c r="X628" s="0" t="s">
        <v>36</v>
      </c>
      <c r="Y628" s="2" t="s">
        <v>36</v>
      </c>
      <c r="Z628" s="0" t="s">
        <v>42</v>
      </c>
      <c r="AA628" s="0" t="s">
        <v>42</v>
      </c>
      <c r="AB628" s="0" t="s">
        <v>42</v>
      </c>
      <c r="AC628" s="0" t="s">
        <v>42</v>
      </c>
      <c r="AD628" s="0" t="s">
        <v>42</v>
      </c>
      <c r="AE628" s="2"/>
    </row>
    <row r="629">
      <c r="A629" s="6" t="s">
        <v>31</v>
      </c>
      <c r="B629" s="7">
        <v>41253</v>
      </c>
      <c r="C629" s="9">
        <f>HYPERLINK("https://www.epingalert.org/en/Search?viewData= G/SPS/N/RUS/2"," G/SPS/N/RUS/2")</f>
      </c>
      <c r="D629" s="8"/>
      <c r="E629" s="8" t="s">
        <v>2894</v>
      </c>
      <c r="F629" s="8"/>
      <c r="G629" s="8" t="s">
        <v>2548</v>
      </c>
      <c r="H629" s="8" t="s">
        <v>36</v>
      </c>
      <c r="I629" s="8" t="s">
        <v>36</v>
      </c>
      <c r="J629" s="8" t="s">
        <v>199</v>
      </c>
      <c r="K629" s="6"/>
      <c r="L629" s="7" t="s">
        <v>36</v>
      </c>
      <c r="M629" s="6" t="s">
        <v>40</v>
      </c>
      <c r="N629" s="6"/>
      <c r="O629" s="6">
        <f>HYPERLINK("https://docs.wto.org/imrd/directdoc.asp?DDFDocuments/t/G/SPS/NRUS2.pdf", "https://docs.wto.org/imrd/directdoc.asp?DDFDocuments/t/G/SPS/NRUS2.pdf")</f>
      </c>
      <c r="P629" s="6">
        <f>HYPERLINK("https://docs.wto.org/imrd/directdoc.asp?DDFDocuments/u/G/SPS/NRUS2.pdf", "https://docs.wto.org/imrd/directdoc.asp?DDFDocuments/u/G/SPS/NRUS2.pdf")</f>
      </c>
      <c r="Q629" s="6">
        <f>HYPERLINK("https://docs.wto.org/imrd/directdoc.asp?DDFDocuments/v/G/SPS/NRUS2.pdf", "https://docs.wto.org/imrd/directdoc.asp?DDFDocuments/v/G/SPS/NRUS2.pdf")</f>
      </c>
      <c r="R629" s="0" t="s">
        <v>36</v>
      </c>
      <c r="S629" s="0" t="s">
        <v>36</v>
      </c>
      <c r="T629" s="0" t="s">
        <v>36</v>
      </c>
      <c r="U629" s="0" t="s">
        <v>36</v>
      </c>
      <c r="V629" s="0" t="s">
        <v>36</v>
      </c>
      <c r="W629" s="0" t="s">
        <v>36</v>
      </c>
      <c r="X629" s="0" t="s">
        <v>36</v>
      </c>
      <c r="Y629" s="2" t="s">
        <v>36</v>
      </c>
      <c r="Z629" s="0" t="s">
        <v>42</v>
      </c>
      <c r="AA629" s="0" t="s">
        <v>42</v>
      </c>
      <c r="AB629" s="0" t="s">
        <v>42</v>
      </c>
      <c r="AC629" s="0" t="s">
        <v>43</v>
      </c>
      <c r="AD629" s="0" t="s">
        <v>42</v>
      </c>
      <c r="AE629" s="2"/>
    </row>
    <row r="630">
      <c r="A630" s="6" t="s">
        <v>31</v>
      </c>
      <c r="B630" s="7">
        <v>41193</v>
      </c>
      <c r="C630" s="9">
        <f>HYPERLINK("https://www.epingalert.org/en/Search?viewData= G/TBT/2/Add.109"," G/TBT/2/Add.109")</f>
      </c>
      <c r="D630" s="8" t="s">
        <v>36</v>
      </c>
      <c r="E630" s="8" t="s">
        <v>36</v>
      </c>
      <c r="F630" s="8" t="s">
        <v>36</v>
      </c>
      <c r="G630" s="8" t="s">
        <v>36</v>
      </c>
      <c r="H630" s="8" t="s">
        <v>36</v>
      </c>
      <c r="I630" s="8" t="s">
        <v>36</v>
      </c>
      <c r="J630" s="8" t="s">
        <v>36</v>
      </c>
      <c r="K630" s="6"/>
      <c r="L630" s="7" t="s">
        <v>36</v>
      </c>
      <c r="M630" s="6" t="s">
        <v>2895</v>
      </c>
      <c r="N630" s="6"/>
      <c r="O630" s="6">
        <f>HYPERLINK("https://docs.wto.org/imrd/directdoc.asp?DDFDocuments/t/G/TBT/2A109.doc", "https://docs.wto.org/imrd/directdoc.asp?DDFDocuments/t/G/TBT/2A109.doc")</f>
      </c>
      <c r="P630" s="6">
        <f>HYPERLINK("https://docs.wto.org/imrd/directdoc.asp?DDFDocuments/u/G/TBT/2A109.doc", "https://docs.wto.org/imrd/directdoc.asp?DDFDocuments/u/G/TBT/2A109.doc")</f>
      </c>
      <c r="Q630" s="6">
        <f>HYPERLINK("https://docs.wto.org/imrd/directdoc.asp?DDFDocuments/v/G/TBT/2A109.doc", "https://docs.wto.org/imrd/directdoc.asp?DDFDocuments/v/G/TBT/2A109.doc")</f>
      </c>
      <c r="R630" s="0" t="s">
        <v>36</v>
      </c>
      <c r="S630" s="0" t="s">
        <v>36</v>
      </c>
      <c r="T630" s="0" t="s">
        <v>36</v>
      </c>
      <c r="U630" s="0" t="s">
        <v>36</v>
      </c>
      <c r="V630" s="0" t="s">
        <v>36</v>
      </c>
      <c r="W630" s="0" t="s">
        <v>36</v>
      </c>
      <c r="X630" s="0" t="s">
        <v>36</v>
      </c>
      <c r="Y630" s="2" t="s">
        <v>36</v>
      </c>
      <c r="Z630" s="0" t="s">
        <v>36</v>
      </c>
      <c r="AA630" s="0" t="s">
        <v>36</v>
      </c>
      <c r="AB630" s="0" t="s">
        <v>36</v>
      </c>
      <c r="AC630" s="0" t="s">
        <v>36</v>
      </c>
      <c r="AD630" s="0" t="s">
        <v>36</v>
      </c>
      <c r="AE630" s="2" t="s">
        <v>36</v>
      </c>
    </row>
  </sheetData>
  <headerFooter/>
</worksheet>
</file>
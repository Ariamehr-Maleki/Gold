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<sst xmlns="http://schemas.openxmlformats.org/spreadsheetml/2006/main" count="138" uniqueCount="138">
  <si>
    <t>Notifying Member</t>
  </si>
  <si>
    <t>Distribution date</t>
  </si>
  <si>
    <t>Document symbol</t>
  </si>
  <si>
    <t>Title</t>
  </si>
  <si>
    <t>Description</t>
  </si>
  <si>
    <t>Products covered</t>
  </si>
  <si>
    <t>HS code(s)</t>
  </si>
  <si>
    <t>ICS code(s)</t>
  </si>
  <si>
    <t>Objectives</t>
  </si>
  <si>
    <t>Keywords</t>
  </si>
  <si>
    <t>Specific regions or countries likely to be affected</t>
  </si>
  <si>
    <t>Final date for comments</t>
  </si>
  <si>
    <t>Notification type</t>
  </si>
  <si>
    <t>Notified document</t>
  </si>
  <si>
    <t>Link to notification(EN)</t>
  </si>
  <si>
    <t>Link to notification(FR)</t>
  </si>
  <si>
    <t>Link to notification(ES)</t>
  </si>
  <si>
    <t>Technical Regulation (Article 2.9.2)</t>
  </si>
  <si>
    <t>Technical Regulation - urgent (Article 2.10.1)</t>
  </si>
  <si>
    <t>Conformity Assessment Procedure (Article 5.6.2)</t>
  </si>
  <si>
    <t xml:space="preserve">Conformity Assessment Procedure - urgent  (Article 5.7.1)</t>
  </si>
  <si>
    <t>Technical Regulation - local government (Article 3.2)</t>
  </si>
  <si>
    <t>Conformity Assessment Procedure - local government (Article 7.2)</t>
  </si>
  <si>
    <t>Other</t>
  </si>
  <si>
    <t>Relevant documents</t>
  </si>
  <si>
    <t>Codex Alimentarius Commision</t>
  </si>
  <si>
    <t>World Organization for Animal Health (OIE)</t>
  </si>
  <si>
    <t>International Plant Protection Convention</t>
  </si>
  <si>
    <t>None</t>
  </si>
  <si>
    <t>Does this proposed regulation conform to the relevant international standard?</t>
  </si>
  <si>
    <t>If no, describe, whenever possible how and why it deviates from the international standard</t>
  </si>
  <si>
    <t>United States of America</t>
  </si>
  <si>
    <t>Hazard Communication Standard</t>
  </si>
  <si>
    <t xml:space="preserve">OSHA is correcting several inadvertent errors in its Hazard 
Communication Standard (HCS) which were published in the Federal 
Register on 20 May 2024 (notified as G/TBT/N/USA/1697/Add.4). The agency has identified several errors in 
the regulatory text and appendices to the HCS which pertain to the 
classification of hazardous chemicals and information presented on 
labels and Safety Data Sheets (SDSs). The agency believes these errors, 
although minor and primarily typographical in nature, should be 
addressed expeditiously to avoid confusion or unnecessary costs in the 
regulated community due to incorporation of errors on labels and SDSs. 
OSHA is continuing its review of the regulatory text and will issue 
another correction document to address additional minor errors at a 
later date.&gt;9 October 202489 Federal Register (FR) 81829, Title 29 Code of Federal Regulations (CFR) Part 1910_x000D_
https://www.govinfo.gov/content/pkg/FR-2024-10-09/html/2024-23144.htm_x000D_
https://www.govinfo.gov/content/pkg/FR-2024-10-09/pdf/2024-23144.pdfThis final rule; correction and technical amendment and previous actions notified under the symbol G/TBT/N/USA/1697 are identified by Docket Number OSHA-2019-0001. The Docket Folder is available on Regulations.gov at https://www.regulations.gov/docket/OSHA-2019-0001/document and provides access to primary and supporting documents as well as comments received. Documents are also accessible from Regulations.gov by searching the Docket Number.</t>
  </si>
  <si>
    <t>Chemicals</t>
  </si>
  <si>
    <t>29 - ORGANIC CHEMICALS; 29 - ORGANIC CHEMICALS; 29 - ORGANIC CHEMICALS</t>
  </si>
  <si>
    <t>13.020 - Environmental protection; 13.020 - Environmental protection; 13.020 - Environmental protection; 13.100 - Occupational safety. Industrial hygiene; 13.100 - Occupational safety. Industrial hygiene; 13.100 - Occupational safety. Industrial hygiene; 71.020 - Production in the chemical industry; 71.020 - Production in the chemical industry; 71.020 - Production in the chemical industry; 71.100 - Products of the chemical industry; 71.100 - Products of the chemical industry; 71.100 - Products of the chemical industry</t>
  </si>
  <si>
    <t>Protection of human health or safety (TBT); Harmonization (TBT)</t>
  </si>
  <si>
    <t/>
  </si>
  <si>
    <t>Corrigendum to Regular Notification</t>
  </si>
  <si>
    <d:r xmlns:d="http://schemas.openxmlformats.org/spreadsheetml/2006/main">
      <d:rPr>
        <d:sz val="11"/>
        <d:rFont val="Calibri"/>
      </d:rPr>
      <d:t xml:space="preserve">https://members.wto.org/crnattachments/2024/TBT/USA/24_06718_00_e.pdf</d:t>
    </d:r>
  </si>
  <si>
    <t>No</t>
  </si>
  <si>
    <t>Yes</t>
  </si>
  <si>
    <t>OSHA is amending the Hazard Communication Standard (HCS) to conform to the United Nations' Globally Harmonized System of Classification and Labelling of Chemicals (GHS), primarily Revision 7 (Rev. 7), address issues that arose during the implementation of the 2012 update to the HCS, and provide better alignment with other U.S. agencies and international trading partners, while enhancing the effectiveness of the standard. Consistent with Executive Order 13563 and the Regulatory Flexibility Act, which call for assessment and, where appropriate, modification and improvement of existing rules, OSHA has reviewed the existing HCS. The agency has determined that the revisions in this final rule will enhance the effectiveness of the HCS by ensuring employees are appropriately apprised of the chemical hazards to which they may be exposed, thus reducing the incidence of chemical-related occupational illnesses and injuries. The modifications to the standard include revised criteria for classification of certain health and physical hazards, revised provisions for updating labels, new labeling provisions for small containers, new provisions related to trade secrets, technical amendments related to the contents of safety data sheets (SDSs), and related revisions to definitions of terms used in the standard.This final rule is effective 19 July 2024. The incorporation by reference of certain publications listed in this final rule is approved by the Director of the Federal Register as of 19 July 2024. The incorporation by reference of certain other publications listed in the rule was approved by the Director as of 15 July 2019.Title 29 Code of Federal Regulations (CFR) Part 1910This final rule and previous actions notified under the symbol G/TBT/N/USA/1697 are identified by Docket Number OSHA-2019-0001. The Docket Folder is available on Regulations.gov at https://www.regulations.gov/docket/OSHA-2019-0001/document and provides access to primary and supporting documents as well as comments received. Documents are also accessible from Regulations.gov by searching the Docket Number.</t>
  </si>
  <si>
    <t>29 - ORGANIC CHEMICALS; 29 - ORGANIC CHEMICALS</t>
  </si>
  <si>
    <t>13.020 - Environmental protection; 13.020 - Environmental protection; 13.100 - Occupational safety. Industrial hygiene; 13.100 - Occupational safety. Industrial hygiene; 71.020 - Production in the chemical industry; 71.020 - Production in the chemical industry; 71.100 - Products of the chemical industry; 71.100 - Products of the chemical industry</t>
  </si>
  <si>
    <t>Addendum to Regular Notification</t>
  </si>
  <si>
    <d:r xmlns:d="http://schemas.openxmlformats.org/spreadsheetml/2006/main">
      <d:rPr>
        <d:sz val="11"/>
        <d:rFont val="Calibri"/>
      </d:rPr>
      <d:t xml:space="preserve">https://members.wto.org/crnattachments/2024/TBT/USA/final_measure/24_03319_00_e.pdf
https://members.wto.org/crnattachments/2024/TBT/USA/final_measure/24_03319_01_e.pdf
https://members.wto.org/crnattachments/2024/TBT/USA/final_measure/24_03319_02_e.pdf
89 Federal Register (FR) 44144
 Title 29 Code of Federal Regulations (CFR) Part 1910:
https://www.govinfo.gov/content/pkg/FR-2024-05-20/html/2024-08568.htm
https://www.govinfo.gov/content/pkg/FR-2024-05-20/pdf/2024-08568.pdf</d:t>
    </d:r>
  </si>
  <si>
    <t>TITLE: Hazard Communication StandardAGENCY: Occupational Safety and Health Administration (OSHA), LaborACTION: Proposed rule: Extension of period to submit a notice of intent to appear (NOITA) at informal hearingSUMMARY: The period for submitting a NOITA is being extended by 14 days from the date of publication of this document to allow stakeholders interested in attending the informal public hearing on the proposed rule "Hazard Communication Standard" additional time to prepare their submissions.DATES: NOITAs must be submitted 22 July 2021 in Docket Number OSHA-2019-0001.Informal public hearing: OSHA has scheduled an informal public hearing on the proposed rule to be held virtually via WebEx, beginning 21 September 2021, at 10:00 a.m., ET. If necessary, the hearing will continue from 9:30 a.m. until 5:00 p.m., ET, on subsequent days. Additional information on how to access the informal hearing will be posted when available at https://www.osha.gov/hazcom/rulemakingThis proposed rule: extension of period to submit a notice of intent to appear (NOITA) at informal hearing and previous actions notified under the symbol G/TBT/N/USA/1697 are identified by Docket Number OSHA-2019-0001. The Docket Folder is available on Regulations.gov at https://www.regulations.gov/docket/OSHA-2019-0001/document and provides access to primary and supporting documents as well as comments received. Documents are also accessible from Regulations.gov by searching the Docket Number. WTO Members and their stakeholders who intend to submit documentary evidence at the hearing are asked to submit this information to the USA TBT Enquiry Point. Testimony full-text as well as any documentary evidence received by the USA TBT Enquiry Point from WTO Members and their stakeholders will be shared with the regulator and will also be submitted to the Docket on Regulations.gov if received within the comment period.</t>
  </si>
  <si>
    <d:r xmlns:d="http://schemas.openxmlformats.org/spreadsheetml/2006/main">
      <d:rPr>
        <d:sz val="11"/>
        <d:rFont val="Calibri"/>
      </d:rPr>
      <d:t xml:space="preserve">https://members.wto.org/crnattachments/2021/TBT/USA/21_4581_00_e.pdf</d:t>
    </d:r>
  </si>
  <si>
    <t>TITLE: Hazard Communication StandardAGENCY: Occupational Safety and Health Administration (OSHA), LaborACTION: Proposed rule; notice of informal hearingSUMMARY: OSHA is scheduling an informal public hearing on its proposed rule "Hazard Communication Standard." The public hearing will begin 21 September 2021 at 10:00 a.m., Eastern Time (ET). The proposed rule was published in the Federal Register on 16 February 2021. The initial public comment period was to end 19 April 2021, but was extended to 19 May 2021, in response to requests from the public.DATES: Informal public hearing: The hearing will begin 21 September 2021, at 10:00 a.m., ET, and will be held virtually using WebEx. If necessary, the hearing will continue from 9:30 a.m. until 5:00 p.m., ET, on subsequent days. Additional information on how to access the informal hearing will be posted when available at https://www.osha.gov/hazcom/rulemaking. To testify or question witnesses at the hearing, interested persons must electronically submit their notice by 18 June 2021. In addition, those who request more than ten minutes for their presentation at the informal hearing and those who intend to submit documentary evidence at the hearing must submit the full text of their testimony, as well as a copy of any documentary evidence, no later than 21 August 2021.This proposed rule; notice of informal hearing and previous actions notified under the symbol G/TBT/N/USA/1697 are identified by Docket Number OSHA-2019-0001. The Docket Folder is available on Regulations.gov at https://www.regulations.gov/docket/OSHA-2019-0001/document and provides access to primary and supporting documents as well as comments received. Documents are also accessible from Regulations.gov by searching the Docket Number. WTO Members and their stakeholders who intend to submit documentary evidence at the hearing are asked to submit this information to the USA TBT Enquiry Point. Testimony full-text as well as any documentary evidence received by the USA TBT Enquiry Point from WTO Members and their stakeholders will be shared with the regulator and will also be submitted to the Docketon Regulations.gov if received within the comment period.</t>
  </si>
  <si>
    <t>29 - ORGANIC CHEMICALS</t>
  </si>
  <si>
    <t>13.020 - Environmental protection; 13.100 - Occupational safety. Industrial hygiene; 71.020 - Production in the chemical industry; 71.100 - Products of the chemical industry</t>
  </si>
  <si>
    <d:r xmlns:d="http://schemas.openxmlformats.org/spreadsheetml/2006/main">
      <d:rPr>
        <d:sz val="11"/>
        <d:rFont val="Calibri"/>
      </d:rPr>
      <d:t xml:space="preserve">https://members.wto.org/crnattachments/2021/TBT/USA/21_3608_00_e.pdf</d:t>
    </d:r>
  </si>
  <si>
    <t>Hazard Communication StandardAGENCY: Occupational Safety and Health Administration (OSHA), LaborACTION: Proposed rule; extension of comment periodSUMMARY: The period for submitting public comments is being extended by 30 days to allow stakeholders interested in the proposed rule additional time to review the proposed rule and collect information and data necessary for comment.DATES: The comment period for the proposed rule that published at 86 FR 9576 on 16 February 2021, is extended. Comments on the NPRM (including requests for hearing) and other information must be submitted by 19 May 2021.Informal public hearing: OSHA will schedule an informal public hearing on the proposed rule if requested during the comment period. If a hearing is requested, the location and date of the hearing, procedures for interested parties to notify the agency of their intention to participate, and procedures for participants to submit their testimony and documentary evidence will be announced in the Federal Register.This proposed rule; extension of comment period is identified by Docket Number OSHA-2019-0001. The Docket Folder is available on Regulations.gov at https://www.regulations.gov/docket/OSHA-2019-0001/document and provides access to primary and supporting documents as well as comments received. Documents are also accessible from Regulations.gov by searching the Docket Number. WTO Members and their stakeholders are asked to submit comments to the USA TBT Enquiry Point. Comments received by the USA TBT Enquiry Point from WTO Members and their stakeholders will be shared with the regulator and will also be submitted to the Docket on Regulations.gov if received within the comment period.</t>
  </si>
  <si>
    <d:r xmlns:d="http://schemas.openxmlformats.org/spreadsheetml/2006/main">
      <d:rPr>
        <d:sz val="11"/>
        <d:rFont val="Calibri"/>
      </d:rPr>
      <d:t xml:space="preserve">https://members.wto.org/crnattachments/2021/TBT/USA/21_2636_00_e.pdf</d:t>
    </d:r>
  </si>
  <si>
    <t>Proposed rule; request for comments - OSHA is proposing through this notice of proposed rulemaking (NPRM) to modify the Hazard Communication Standard (HCS) to conform to the United Nations' Globally Harmonized System of Classification and Labelling of Chemicals (GHS) Revision 7 (GHS, Rev. 7), to address issues that arose during the implementation of the 2012 update to the HCS, and provide better alignment with other U.S. agencies and international trading partners, without lowering overall protections of the standard. OSHA has preliminarily determined that the proposed revisions to the HCS will reduce costs and burdens while also improving the quality and consistency of information provided to employers and employees regarding chemical hazards and associated protective measures. Consistent with the Executive order entitled "Improving Regulation and Regulatory Review" (18 January 2011) and section 3(a) of the Regulatory Flexibility Act, which call for assessment and, where appropriate, modification and improvement of existing rules to minimize any significant economic impact upon a substantial number of small entities, OSHA has reviewed the existing HCS. The agency has preliminarily determined that the proposed revisions will enhance the effectiveness of the HCS by ensuring employees are appropriately apprised of the chemical hazards to which they may be exposed, thus reducing the incidence of chemical-related occupational illnesses and injuries. The proposed modifications to the standard include revised criteria for classification of certain health and physical hazards, revised provisions for updating labels, new labeling provisions for small containers, technical amendments related to the contents of safety data sheets (SDSs), and related revisions to definitions of terms used in the standard.</t>
  </si>
  <si>
    <t>Regular notification</t>
  </si>
  <si>
    <d:r xmlns:d="http://schemas.openxmlformats.org/spreadsheetml/2006/main">
      <d:rPr>
        <d:sz val="11"/>
        <d:rFont val="Calibri"/>
      </d:rPr>
      <d:t xml:space="preserve">https://members.wto.org/crnattachments/2021/TBT/USA/21_1192_00_e.pdf
https://members.wto.org/crnattachments/2021/TBT/USA/21_1192_01_e.pdf
https://members.wto.org/crnattachments/2021/TBT/USA/21_1192_02_e.pdf
https://members.wto.org/crnattachments/2021/TBT/USA/21_1192_03_e.pdf
https://members.wto.org/crnattachments/2021/TBT/USA/21_1192_04_e.pdf</d:t>
    </d:r>
  </si>
  <si>
    <t xml:space="preserve">86 Federal Register (FR) 9576, 16 February 2021; Title 29 Code of Federal Regulations (CFR) Part 1910:_x000D_
https://www.govinfo.gov/content/pkg/FR-2021-02-16/html/2020-28987.htm_x000D_
https://www.govinfo.gov/content/pkg/FR-2021-02-16/pdf/2020-28987.pdfThis proposed rule; request for comments is identified by Docket Number OSHA-2019-0001. The Docket Folder is available on Regulations.gov at https://www.regulations.gov/docket?D=OSHA-2019-0001 and provides access to primary and supporting documents as well as comments received. Documents are also accessible from Regulations.gov by searching the Docket Number. WTO Members and their stakeholders are asked to submit comments to the USA TBT Enquiry Point. Comments received by the USA TBT Enquiry Point from WTO Members and their stakeholders will be shared with the regulator and will also be submitted to the Docket on Regulations.gov if received within the comment period.G/TBT/N/USA/216 and the subsequent addendum and corrigendumRelevant actions notified under the symbol G/TBT/N/USA/216 are identified by docket number OSHA-H022K-2006-0062.  The Docket Folder is available on Regulations.gov at https://www.regulations.gov/docket?D=OSHA-H022K-2006-0062and provides access to primary and supporting documents as well as comments received. Documents are also accessible from Regulations.gov by searching the docket number.</t>
  </si>
  <si>
    <t>Food Additive Regulations; Synthetic Flavoring Agents and Adjuvants; Confirmation of Effective Date</t>
  </si>
  <si>
    <t xml:space="preserve">The Food and Drug Administration (FDA or we) is responding to the submission styled as an objection submitted by Earthjustice on behalf of Breast Cancer Prevention Partners, Center for Environmental Health, Center for Food Safety, Center for Science in the Public Interest, Environmental Defense Fund, Environmental Working Group, and the Natural Resources Defense Council, on the final rule that amended the food additive regulations to no longer authorize the use of benzophenone, ethyl acrylate, eugenyl methyl ether, myrcene, pulegone, and pyridine as synthetic flavoring substances for use in food. The final rule also amended the food additive regulations to no longer provide for the use of benzophenone as a plasticizer in rubber articles intended for repeated use in contact with food. After reviewing the submission, we have concluded that the submission we received is not an objection and consequently does not provide a basis for modifying the regulations._x000D_
Effective date of final rule published in the Federal Register of 9 October 2018 (83 FR 50490) confirmed: 9 October 2018.</t>
  </si>
  <si>
    <t xml:space="preserve">HS Code(s): 29; ICS Code(s): 67  Synthetic flavoring food additives</t>
  </si>
  <si>
    <t>67 - FOOD TECHNOLOGY; 67 - FOOD TECHNOLOGY</t>
  </si>
  <si>
    <t>Food safety (SPS); Food safety (SPS)</t>
  </si>
  <si>
    <t>Food additives; Adoption/publication/entry into force of reg.; Human health; Food safety; Food additives; Human health; Food safety</t>
  </si>
  <si>
    <t>Food Additives Permitted for Direct Addition to Food for Human Consumption; Styrene; Final Rule</t>
  </si>
  <si>
    <t xml:space="preserve">The Food and Drug Administration (FDA) is amending the food additive regulations to no longer provide for the use of styrene as a flavoring substance and adjuvant for use in food because these uses have been abandoned. FDA is taking this action in response to a food additive petition submitted by the Styrene Information and Research Center (SIRC).The rule is effective 9 October 2018._x000D_
Text is available at: https://www.gpo.gov/fdsys/pkg/FR-2018-10-09/pdf/2018-21808.pdf</t>
  </si>
  <si>
    <t>29 - ELECTRICAL ENGINEERING; 67 - FOOD TECHNOLOGY</t>
  </si>
  <si>
    <t>Food safety (SPS)</t>
  </si>
  <si>
    <t>Adoption/publication/entry into force of reg.</t>
  </si>
  <si>
    <t>Listing of Color Additives Exempt From Certification; Spirulina Extract; Confirmation of Effective Date</t>
  </si>
  <si>
    <t>The Food and Drug Administration is confirming the effective date of 3 August 2017 for the final rule that appeared in the Federal Register of 3 July 2017, and that amended the color additive regulations to provide for the expanded safe use of spirulina extract to seasonally color hard-boiled shell eggs at levels consistent with good manufacturing practice.</t>
  </si>
  <si>
    <t>29 - ORGANIC CHEMICALS; 04 - DAIRY PRODUCE; BIRDS' EGGS; NATURAL HONEY; EDIBLE PRODUCTS OF ANIMAL ORIGIN, NOT ELSEWHERE SPECIFIED OR INCLUDED</t>
  </si>
  <si>
    <t>67 - FOOD TECHNOLOGY</t>
  </si>
  <si>
    <t>Listing of Color Additives Exempt From Certification; Spirulina Extract; Final Rule</t>
  </si>
  <si>
    <t xml:space="preserve">The Food and Drug Administration (FDA) is amending the color additive regulations to provide for the expanded safe use of spirulina extract to seasonally color hard-boiled shell eggs at levels consistent with good manufacturing practice (GMP). This action is in response to a color additive petition (CAP) filed by McCormick &amp; Company, Inc. (McCormick).The rule is effective 3 August 2017._x000D_
The text is available at https://www.gpo.gov/fdsys/pkg/FR-2017-07-03/pdf/2017-13867.pdfhttp://members.wto.org/crnattachments/2017/SPS/USA/17_3119_00_e.pdf</t>
  </si>
  <si>
    <t>McCormick &amp; Company, Inc.; Filing of Color Additive Petition; Notice of Petition</t>
  </si>
  <si>
    <t>The Food and Drug Administration has filed a petition, submitted by McCormick &amp; Company, Inc., proposing that the color additive regulations be amended to provide for the safe use of spirulina extract to color shell eggs at levels consistent with good manufacturing practice.</t>
  </si>
  <si>
    <t>HS Codes: 29, 04; ICS Codes: 67</t>
  </si>
  <si>
    <t>Food safety; Human health; Food additives</t>
  </si>
  <si>
    <d:r xmlns:d="http://schemas.openxmlformats.org/spreadsheetml/2006/main">
      <d:rPr>
        <d:sz val="11"/>
        <d:rFont val="Calibri"/>
      </d:rPr>
      <d:t xml:space="preserve">http://members.wto.org/crnattachments/2016/SPS/USA/16_3936_00_e.pdf
https://www.gpo.gov/fdsys/pkg/FR-2016-09-16/pdf/2016-22289.pdf</d:t>
    </d:r>
  </si>
  <si>
    <t>Not applicable</t>
  </si>
  <si>
    <t>Styrene Information and Research Center; Filing of Food Additive Petition; Notice of Petition</t>
  </si>
  <si>
    <t>The Food and Drug Administration has filed a petition, submitted by the Styrene Information and Research Center (SIRC), requesting that we amend our food additive regulations to no longer provide for the use of styrene as a synthetic flavoring substance and adjuvant in food because these uses of styrene have been abandoned.</t>
  </si>
  <si>
    <t>HS Code(s): 29; ICS Code(s): 67; Synthetic flavoring food additives</t>
  </si>
  <si>
    <t>Human health; Food safety; Food additives</t>
  </si>
  <si>
    <d:r xmlns:d="http://schemas.openxmlformats.org/spreadsheetml/2006/main">
      <d:rPr>
        <d:sz val="11"/>
        <d:rFont val="Calibri"/>
      </d:rPr>
      <d:t xml:space="preserve">https://www.gpo.gov/fdsys/pkg/FR-2016-06-15/pdf/2016-14107.pdf</d:t>
    </d:r>
  </si>
  <si>
    <t>Center for Science in the Public Interest, Natural Resources Defense Council, Center for Food Safety, Consumers Union, Improving Kids' Environment, Center for Environmental Health, Environmental Working Group, Environmental Defense Fund, and James Huff; Filing of Food Additive Petition; Extension of Comment Period</t>
  </si>
  <si>
    <t xml:space="preserve">The Food and Drug Administration (FDA) is extending the comment period for the notice of filing. In the notice, FDA requested comments on a filed food additive petition, submitted by the Center for Science in the Public Interest, Natural Resources Defense Council, Center for Food Safety, Consumers Union, Improving Kids' Environment, Center for Environmental Health, Environmental Working Group, Environmental Defense Fund, and James Huff, proposing that the food additive regulations be amended to no longer authorize the use of seven listed synthetic flavoring food additives and to establish zero tolerances for the additives. FDA is taking this action in response to a request for an extension to allow interested persons additional time to submit comments._x000D_
The notice of filing was published on 4 January 2016 (81 FR 42)._x000D_
Text is available at https://www.gpo.gov/fdsys/pkg/FR-2016-02-23/pdf/2016-03708.pdf.</t>
  </si>
  <si>
    <t>Food safety; Human health; Food additives; Modification of final date for comments</t>
  </si>
  <si>
    <t>Center for Science in the Public Interest, Natural Resources Defense Council, Center for Food Safety, Consumers Union, Improving Kids' Environment, Center for Environmental Health, Environmental Working Group, Environmental Defense Fund, and James Huff; Filing of Food Additive Petition; Notice of Petition</t>
  </si>
  <si>
    <t xml:space="preserve">The Food and Drug Administration has filed a petition, submitted by the Center for Science in the Public Interest, Natural Resources Defense Council, Center for Food Safety, Consumers Union, Improving Kids' Environment, Center for Environmental Health, Environmental Working Group, Environmental Defense Fund, and James Huff, proposing that the food additive regulations be amended to no longer authorize the use of seven listed synthetic flavoring food additives and to establish zero tolerances for the additives._x000D_
The food additive petition was filed on 17 August 2015.</t>
  </si>
  <si>
    <d:r xmlns:d="http://schemas.openxmlformats.org/spreadsheetml/2006/main">
      <d:rPr>
        <d:sz val="11"/>
        <d:rFont val="Calibri"/>
      </d:rPr>
      <d:t xml:space="preserve">https://www.gpo.gov/fdsys/pkg/FR-2016-01-04/pdf/2015-33011.pdf</d:t>
    </d:r>
  </si>
  <si>
    <t xml:space="preserve">TITLE:  _x0009_Polychlorinated Biphenyls (PCBs); Reassessment of Use Authorizations; Extension of Comment Period and Additional Public Meetings ;
 ;
AGENCY:  Environmental Protection Agency (EPA) ;
 ;
ACTION:  Advance notice of proposed rulemaking; extension of comment period and additional public meetings_x0009__x0009__x0009_ ;
 ;
SUMMARY:  EPA issued an advance notice of proposed rulemaking (ANPRM) in the Federal Register of April 7, 2010, concerning the reassessment of the use authorizations for PCBs. This document extends the comment period for 45 days, from July 6, 2010, to August 20, 2010. This extension is necessary to provide the public with an opportunity to provide additional and more thorough comments. Also, EPA is holding two additional public meetings to enable additional public comment on the ANPRM during the comment period extension. ;
 ;
Comments, identified by docket identification (ID) number EPA-HQ-OPPT-2009-0757, must be received on or before August 20, 2010. ;
 ;
Meetings will be held on July 22, 2010, from 9 a.m. until the last speaker has spoken or until 1 p.m., in San Francisco, CA and on July 29, 2010, from 6 p.m. to 9 p.m., in New York, NY. Requests to participate in a meeting must be received 10 days prior to the date of the meeting. To request accommodation of a disability, please contact the technical person listed under FOR FURTHER INFORMATON CONTACT, preferably at least 10 days prior to the meeting, to give EPA as much time as possible to process your request. ;
 ;
Follow the detailed instructions as provided under ADDRESSES in the Federal Register document of April 7, 2010, for submission of comments. The July 22, 2010 meeting will held in the Hawaii/Palau Room, First Floor Conference Room, 75 Hawthorne St., San Francisco, CA 94105 and the July 29, 2010 meeting will be held in the Empire Room at the  ;
Hilton Times Square, 234 West 42\nd\ St., New York, NY 10036. Requests to participate in the meeting, identified by docket ID number EPA-HQ-OPPT-2009-0757, may be submitted to the technical person listed under FOR FURTHER INFORMATION CONTACT. ;
 ;
FOR FURTHER INFORMATION CONTACT:  ;
John H. Smith ;
National Program Chemicals Division, ;
Office of Pollution Prevention and Toxics ;
Environmental Protection Agency ;
1200 Pennsylvania Ave., NW. ;
Washington, DC 20460-0001 ;
Telephone number: (202) 566-0512 ;
E-mail address: smith.johnh@epa.gov ;
 ;
 ;
URLs: ;
http://edocket.access.gpo.gov/2010/2010-14522.htm ;
http://edocket.access.gpo.gov/2010/pdf/2010-14522.pdf ;
 ;
</t>
  </si>
  <si>
    <t>Polychlorinated Biphenyls (PCBs) (HS Chapter 29; ICS: 13.020, 71.080</t>
  </si>
  <si>
    <t>13.020 - Environmental protection; 71.080 - Organic chemicals</t>
  </si>
  <si>
    <t>Protection of human health or safety (TBT); Protection of the environment (TBT)</t>
  </si>
  <si>
    <t>Polychlorinated Biphenyls (PCBs); Reassessment of Use Authorizations (23 pages, in English)</t>
  </si>
  <si>
    <t>EPA is issuing an ANPRM for the use and distribution in commerce of certain classes of PCBs and PCB items and certain other areas of the PCB regulations under the Toxic Substances Control Act (TSCA). EPA is reassessing its TSCA PCB use and distribution in commerce regulations to address: The use, distribution in commerce, marking, and storage for reuse of liquid PCBs in electric and non-electric equipment; the use of the 50 parts per million (ppm) level for excluded PCB products; the use of non-liquid PCBs; the use and distribution in commerce of PCBs in porous surfaces; and the marking of PCB articles in use. Also in this document, EPA is also reassessing the definitions of “excluded manufacturing process,” “quantifiable level/level of detection,” and “recycled PCBs.” EPA is soliciting comments on these and other areas of the PCB use regulations. EPA is not soliciting comments on the PCB disposal regulations in this document.</t>
  </si>
  <si>
    <t>75 Federal Register (FR) 17645, 7 April 2010; Title 40 Code of Federal Regulations (CFR) Part 761. Will appear in the Federal Register when adopted.</t>
  </si>
  <si>
    <t xml:space="preserve">TITLE: Hazard Communication; Correction ;
 ;
AGENCY:  Occupational Safety and Health Administration (OSHA), Department of Labor ;
 ;
ACTION:  Proposed rule: correction ;
 ;
SUMMARY:  This document corrects the OSHA Hazard Communication standard  ;
proposed rule and request for comment, published in the Federal Register of September 30, 2009. This notice corrects eight errors, four in the preamble and four that appear in Appendix A: Table A.1.1, Table A.1.2, Table A.2.3, and Table A7.1. ;
 ;
Full text:  ;
http://edocket.access.gpo.gov/2009/E9-26579.htm ;
http://edocket.access.gpo.gov/2009/pdf/E9-26579.pdf ;
 ;
</t>
  </si>
  <si>
    <t>Chemicals (HS:  Chapter 29 ) (ICS:  13, 71)</t>
  </si>
  <si>
    <t>13 - ENVIRONMENT. HEALTH PROTECTION. SAFETY; 71 - CHEMICAL TECHNOLOGY</t>
  </si>
  <si>
    <t xml:space="preserve">TITLE:  _x0009_Hazard Communication; Proposed Rule ;
 ;
AGENCY:  Occupational Safety and Health Administration (OSHA), Department of Labor ;
 ;
ACTION:  Proposed  Rule ;
 ;
SUMMARY: OSHA is proposing to modify its existing Hazard Communication  ;
Standard (HCS) to conform with the United Nations' (UN) Globally Harmonized System of Classification and Labelling of Chemicals (GHS). OSHA has made a preliminary determination that the proposed modifications will improve the quality and consistency of information provided to employers and employees regarding chemical hazards and associated protective measures. The Agency anticipates this improved information will enhance the effectiveness of the HCS in ensuring that employees are apprised of the chemical hazards to which they may be exposed, and in reducing the incidence of chemical-related occupational illnesses and injuries. The proposed modifications to the standard include revised criteria for classification of chemical hazards; revised labeling provisions that include requirements for use of standardized signal words, pictograms, hazard statements, and precautionary statements; a specified format for safety data sheets; and related revisions to definitions of terms used in the standard, requirements for employee training on labels and safety data sheets. OSHA is also proposing to modify provisions of a number of other standards, including standards for flammable and combustible liquids, process safety management, and most substance-specific health standards, to ensure consistency with the modified HCS requirements. ;
 ;
COMMENT DEADLINE:  29 December 2009 ;
 ;
FOR FURTHER INFORMATION CONTACT:   ;
Maureen O'Donnell  ;
Directorate of Standards and Guidance ;
OSHA ;
U.S. Department of Labor ;
200 Constitution Avenue, NW, Room N-3718 ;
Washington DC 20210 USA  ;
T: (202) 693-1950 ;
 ;
Full text: ;
http://edocket.access.gpo.gov/2009/E9-22483.htm ;
http://edocket.access.gpo.gov/2009/pdf/E9-22483.pdf ;
</t>
  </si>
  <si>
    <t xml:space="preserve">TITLE: National Volatile Organic Compound Emission Standards for Aerosol Coatings ;
 ;
AGENCY: Environmental Protection Agency ;
 ;
ACTION:  Final rule ;
 ;
SUMMARY:  This action amends the National Volatile Organic Compound  ;
Emission Standards for Aerosol Coatings (aerosol coatings reactivity rule), which establishes national reactivity-based emission standards for the aerosol coatings category (aerosol spray paints) under section 183(e) of the Clean Air Act. These amendments add compounds and associated reactivity factors to Table 2--Reactivity Factors based on petitions EPA received from regulated entities, and clarify which volatile organic compounds are to be quantified in compliance determinations. Additionally, this final rule makes certain changes related to the notice required for a company to certify that it will assume the responsibility for compliance with recordkeeping and reporting requirements for a regulated entity, and it also addresses which party is liable following such a certification. Further, in this action we make minor revisions and corrections to the aerosol coatings reactivity rule. Finally, in this action we are extending the deadline for submitting the initial notifications required in one section of the aerosol coatings regulations for 30 days, until 31 July 2009. ;
 ;
Effective Date: This final rule is effective 23 June 2009 ;
 ;
For further information contact:   ;
Ms. J. Kaye Whitfield ;
U.S. EPA, Office of Air Quality Planning and Standards, Sector Policies and  ;
Programs Division, Natural Resources and Commerce Group (E143-03) ;
Research Triangle Park, NC 27711 USA ;
Tel:  919-541-2509 ;
Fax: 919-541-3470  ;
Email: whitfield.kaye@epa.gov ;
 ;
Full text: ;
http://edocket.access.gpo.gov/2009/E9-14580.htm ;
http://edocket.access.gpo.gov/2009/pdf/E9-14580.pdf ;
</t>
  </si>
  <si>
    <t>Aerosol spray coatings (HS:  29;  ICS:  87.040, 87.060, 71.100, 71.080, 13.020)</t>
  </si>
  <si>
    <t>13.020 - Environmental protection; 13.020 - Environmental protection; 71.080 - Organic chemicals; 71.080 - Organic chemicals; 71.100 - Products of the chemical industry; 71.100 - Products of the chemical industry; 87.040 - Paints and varnishes; 87.040 - Paints and varnishes; 87.060 - Paint ingredients; 87.060 - Paint ingredients</t>
  </si>
  <si>
    <t xml:space="preserve">Title:  National Volatile Organic Compound Emission Standards for Aerosol Coatings ;
 ;
AGENCY: Environmental Protection Agency (EPA) ;
 ;
ACTION:  Proposed Rule ;
 ;
SUMMARY:  EPA is proposing to amend the National Volatile Organic Compound Emission Standards for Aerosol Coatings (aerosol coatings reactivity rule), which establishes national reactivity-based emission standards for the aerosol coatings category (aerosol spray paints) under section 183(e) of the Clean Air Act. This proposed action amends Table 2A of the aerosol coatings reactivity rule by adding compounds and associated reactivity factors based on petitions we received; and by clarifying which volatile organic compounds are to be quantified in compliance determinations. Additionally, we are proposing certain changes related to the notice required for a company to certify that it will assume the responsibility for compliance with record keeping and reporting requirements for a regulated entity, and taking comment on whether to change who is liable following such certification. This action also proposes minor revisions and corrections to the aerosol coatings reactivity rule. ;
 ;
DATES: Comments must be received on or before 4 May 2009, unless a public hearing is requested by 13 April 2009. If a hearing is requested on the proposed rule, written comments must be received by 18 May 2009. ;
 ;
Contact:   ;
Ms. J. Kaye Whitfield ;
U.S. EPA, Office of Air Quality Planning and Standards, Sector Policies and Programs Division, Natural Resources and Commerce Group (E143-03) ;
Research Triangle Park, NC 27711 USA ;
T: 919-541-2509 ;
Fax: 919-541-3470 ;
Email: whitfield.kaye@epa.gov ;
 ;
Full text at: ;
http://edocket.access.gpo.gov/2009/E9-7300.htm ;
http://edocket.access.gpo.gov/2009/pdf/E9-7300.pdf ;
</t>
  </si>
  <si>
    <t>13.020 - Environmental protection; 71.080 - Organic chemicals; 71.100 - Products of the chemical industry; 87.040 - Paints and varnishes; 87.060 - Paint ingredients</t>
  </si>
  <si>
    <t xml:space="preserve">Title:  National Volatile Organic Compound Emission Standards for Aerosol Coatings ;
 ;
AGENCY: Environmental Protection Agency (EPA) ;
 ;
ACTION:  Final Rule ;
 ;
SUMMARY:  EPA published a direct final rule and parallel proposal on 7 November 2008 (73 FR 66184) to amend the national volatile organic compound (VOC) emission standards for aerosol coatings, which EPA promulgated on 24 March 2008 (73 FR 15604), by extending the compliance date and changing the submittal date for initial notification reports. Because EPA received an adverse comment during the comment period on the direct final rule and parallel proposal, in this action EPA is withdrawing the direct final rule and issuing a final rule based on the notice of proposed rulemaking after considering the comment. ;
 ;
DATES: This final rule revision is effective 24 December 2008 ;
 ;
Contact:   ;
Ms. J. Kaye Whitfield ;
U.S. EPA, Office of Air Quality Planning and Standards, Sector Policies and Programs Division, Natural Resources and Commerce Group (E143-03) ;
Research Triangle Park, NC 27711 USA ;
T: 919-541-2509 ;
Fax: 919-541-3470 ;
e-mail: whitfield.kaye@epa.gov ;
 ;
Full text at: ;
http://edocket.access.gpo.gov/2008/E8-30699.htm ;
http://edocket.access.gpo.gov/2008/pdf/E8-30699.pdf ;
</t>
  </si>
  <si>
    <t xml:space="preserve">Title:  National Volatile Organic Compound Emission Standards for Aerosol Coatings ;
 ;
AGENCY: Environmental Protection Agency (EPA) ;
 ;
ACTION:  Direct Final Rule ;
 ;
SUMMARY:  EPA is taking direct final action on the National Volatile Organic Compound Emission Standards for Aerosol Coatings, which establishes national reactivity-based emission standards for the aerosol coatings category (aerosol spray paints) under the Clean Air Act (CAA). EPA is moving the applicability and compliance dates for aerosol coatings from 1 January 2009, to 1 July 1 2009. EPA is also making initial notifications required due on the compliance date, as opposed to 90 days in advance of the compliance date. ;
 ;
Effective Date:  1 July 2009 ;
 ;
Comment deadline: 8 December 2008 ;
 ;
 ;
 ;
 ;
 ;
 ;
</t>
  </si>
  <si>
    <t xml:space="preserve">Title:  National Volatile Organic Compound Emission Standards for Aerosol Coatings ;
 ;
AGENCY: Environmental Protection Agency (EPA) ;
 ;
ACTION:  Proposed Rule ;
 ;
SUMMARY:  EPA is proposing to amend the National Volatile Organic  ;
Compound Emission Standards for Aerosol Coatings, which establishes  ;
national reactivity-based emission standards for the aerosol coatings  ;
category (aerosol spray paints) under the Clean Air Act (CAA). In this  ;
Rules and Regulations section of this Federal Register, we are  ;
making these same amendments as a direct final rule, without a prior  ;
proposed rule. If we receive no adverse comment, we will not take  ;
further action on this proposed rule. ;
 ;
Comment deadline: 8 December 2008 ;
</t>
  </si>
  <si>
    <t>Testing of Certain High Production Volume Chemicals; Second Group of Chemicals; Proposed Rule _x000B_(30 pages, in English).</t>
  </si>
  <si>
    <t>EPA is proposing a test rule under section 4(a)(1)(B) of the Toxic Substances Control Act (TSCA) to require manufacturers, importers, and processors of nineteen high production volume (HPV) chemical substances to conduct testing to obtain screening level data for health and environmental effects and chemical fate.</t>
  </si>
  <si>
    <t>HPV chemicals (HS: 29) (ICS: 19, 71.080)</t>
  </si>
  <si>
    <t>19 - TESTING; 71.080 - Organic chemicals</t>
  </si>
  <si>
    <t xml:space="preserve">Notice of Intent to Adopt Regulations and to Revise the State Implementation Plan for Air Quality (2 pages, in  English).</t>
  </si>
  <si>
    <t xml:space="preserve">The State of Connecticut intends to limit emissions of volatile organic compounds (VOCs) from the use of adhesives, sealants, primers and solvents.  The proposed regulation achieves VOC reductions through sale and manufacture restrictions that limit the VOC content of specified adhesives, sealants and primers sold in the State of Connecticut and use restrictions that apply primarily to commercial/industrial operations. All interested persons are invited to comment on the proposal</t>
  </si>
  <si>
    <t>Adhesives, sealants, primers, solvents (HS:  29;  ICS:  13.020)</t>
  </si>
  <si>
    <t>13.020 - Environmental protection</t>
  </si>
  <si>
    <t>Control of Volatile Organic Compounds from Consumer Products. Proposed Rule Number: 2007-P155 (40 pages, in English).</t>
  </si>
  <si>
    <t xml:space="preserve">The Maine Department of Environmental Protection is proposing to adopt amendments to Ch. 152 intended to address volatile organic compound (VOC) emissions from consumer products.  The proposed amendments will add approximately 18 categories of regulated consumer products and will place limits on certain toxic compounds in some consumer product categories.  The amendments also modify the date-coding requirements.</t>
  </si>
  <si>
    <t>HS:  Chapter 29;   ICS:  13.020</t>
  </si>
  <si>
    <t>National Volatile Organic Compound Emission Standards for Aerosol Coatings; Proposed Rule (41 pages, in English)</t>
  </si>
  <si>
    <t xml:space="preserve">Proposes a national reactivity-based volatile organic compound (VOC) emissions regulation for the aerosol coatings (aerosol spray paints) category under section 183(e) of the Clean Air Act (CAA).  The proposed standards implement section 183(e) of the CAA, as amended in 1990, which requires the Administrator to control VOC emissions from certain categories of consumer and commercial products for purposes of minimizing VOC emissions contributing to ozone formation and causing non-attainment.  This regulation will establish a nationwide reactivity-based standard for aerosol coatings. States have promulgated rules for the aerosol coatings category based upon reductions of VOC by mass; however, the Agency believes that a national rule based upon the relative reactivity approach may achieve more reduction in ozone formation than can be achieved by a mass-based approach for this specific product category.  EPA believes that this rule will better control a product's contribution to ozone formation by encouraging the use of less reactive VOC ingredients, rather than treating all VOC in a product alike through the traditional mass-based approach.  EPA is also proposing to revise EPA's regulatory definition of VOC exempt compounds for purposes of this regulation in order to account for all the reactive compounds in aerosol coatings that contribute to ozone formation.  Therefore, compounds that would not be VOC under the otherwise applicable definition will count towards a product's reactivity limits under this proposed regulation.  The initial listing of product categories and schedule for regulation was published on March 23, 1995 (60 FR 15264).  This proposed action announces EPA's final decision to list aerosol coatings for regulation under group III of the consumer and commercial product category for which regulations are mandated under section 183 (e) of the Act.</t>
  </si>
  <si>
    <t xml:space="preserve">Notice of Proposed Rulemaking  (212 pages, in English)</t>
  </si>
  <si>
    <t xml:space="preserve">The District of Columbia is proposing to amend Chapter 7 of Subtitle A: Air Quality, of Title 20 (Environment) of the District of Columbia Municipal Regulations (DCMR).  The proposed rules are necessary to further reduce volatile organic compound (VOC) emissions in the District.  The District originally adopted the OTC VOC model rules in April 2004 and first amended them in December 2004.  This proposed rulemaking adds new sections to the VOC rules and amends many of the current sections.  Specifically, section 708 is being repealed since all of the standards in that section have been addressed with more detail in sections 753 through 756.  In addition this rulemaking proposes new VOC standards for certain consumer products, new VOC standards for adhesives and sealants, and adds approximately 39 definitions to section 799.</t>
  </si>
  <si>
    <t>Volatile Organic Compound (VOC) Emissions  (HS:  Chapter 29;  ICS:  13.020)</t>
  </si>
  <si>
    <t>310 CMR 7.25 Universal Best Available Controls for Consumer and Commercial Products (52 pages, in English).</t>
  </si>
  <si>
    <t xml:space="preserve">Massachusetts Department of Environmental Protection is proposing to amend the requirements for the control of volatile organic compound emissions in the use of consumer and commercial products, as they are defined in Title I Part D Subpart 2 Section 183(e)(1)(B) of the federal Clean Air Act.  The requirements include volatile organic compound emission standards, specific exemptions, and requirements for labelling, compliance certification, and testing.  310 CMR 7.25 (1) through (8) contain general provisions, and are followed by specific control requirements.</t>
  </si>
  <si>
    <t>Volatile Organic Compound (VOC) Emissions  (HS:  29;  ICS:  13.020)</t>
  </si>
  <si>
    <t>Hazard Communication (10 pages, in English).</t>
  </si>
  <si>
    <t xml:space="preserve">Advance Notice of Proposed Rulelmaking (ANPRM). OSHA, other Federal agencies, and stakeholder representatives have participated in long-term international negotiations to develop a Globally Harmonized System of Classification and Labeling of Chemicals (GHS).  The GHS has been adopted by the United Nations, and there is an international goal for as many countries as possible to implement the GHS by 2008.  The GHS includes harmonized provisions for classification of chemicals for their health, physical, and environmental effects, as well as for labels on containers and safety data sheets (SDS). Adoption of the GHS by OSHA would require modifications to the Agency's Hazard Communication Standard (HCS).  For example, an order of information would be established for safety data sheets.  In this notice, OSHA is providing further information about the GHS, the benefits of adopting it, and its potential impact on the HCS. OSHA is seeking input from the public on a number of issues related to implementation of the GHS.  The Agency is simultaneously announcing the availability of a new guide on its Web site at http://www.osha.gov/ that describes the GHS.</t>
  </si>
  <si>
    <t>National Emission Standards for Hazardous Air Pollutants: Miscellaneous Organic Chemical Manufacturing (6 pages, in English).</t>
  </si>
  <si>
    <t xml:space="preserve">On10 November 2003, EPA promulgated national emission standards for hazardous air pollutants (NESHAP) for miscellaneous organic chemical manufacturing under the authority of section 112 of the Clean Air Act (CAA).  This action proposes clarifications to the compliance requirements for flares and the alternative standard, which limits the outlet concentration to 20 parts per million.  This action proposes an expansion of the scope of the vapor balancing alternative for storage tanks, modifications to the procedures for correcting measured concentrations at the outlet of combustion devices to account for supplemental gases, and clarification of the signature requirements for the notification of compliance status report.  This action also proposes revisions of several referencing and drafting errors.  In the Rules and Regulations section of this Federal Register, we are taking direct final action on the proposed amendments because we view the amendments as noncontroversial and anticipate no adverse comments.  We have explained our reasons for the amendments in the preamble to the direct final rule.  If we receive no adverse comments, we will take no further action on the proposed amendments.  If we receive adverse comments, we will withdraw only those provisions on which we received significant adverse comments.  We will publish a timely withdrawal in the Federal Register indicating which provisions will become effective and which provisions are being withdrawn.  If part or all of the direct final rule in the Rules and Regulations section of today's Federal Register is withdrawn, all comments pertaining to the withdrawn provisions will be addressed in a subsequent final rule based on the proposed amendments.  We will not institute a second comment period before taking the subsequent final action. Any parties interested in commenting must do so at this time.</t>
  </si>
  <si>
    <t>Air Pollutants  (HS:  Chapter:  29;  ICS:  13.040)</t>
  </si>
  <si>
    <t>13.040 - Air quality</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</si>
</sst>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AE33"/>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col min="12" max="12" width="30" customWidth="1" style="4"/>
    <col min="13" max="13" width="100" customWidth="1"/>
    <col min="14" max="14" width="100" customWidth="1"/>
    <col min="15" max="15" width="100" customWidth="1"/>
    <col min="16" max="16" width="100" customWidth="1"/>
    <col min="17" max="17" width="100" customWidth="1"/>
    <col min="18" max="18" width="100" customWidth="1"/>
    <col min="19" max="19" width="100" customWidth="1"/>
    <col min="20" max="20" width="100" customWidth="1"/>
    <col min="21" max="21" width="100" customWidth="1"/>
    <col min="22" max="22" width="100" customWidth="1"/>
    <col min="23" max="23" width="100" customWidth="1"/>
    <col min="24" max="24" width="100" customWidth="1"/>
    <col min="25" max="25" width="100" customWidth="1" style="2"/>
    <col min="26" max="26" width="100" customWidth="1"/>
    <col min="27" max="27" width="100" customWidth="1"/>
    <col min="28" max="28" width="100" customWidth="1"/>
    <col min="29" max="29" width="100" customWidth="1"/>
    <col min="30" max="30" width="100" customWidth="1"/>
    <col min="31" max="31" width="100" customWidth="1" style="2"/>
  </cols>
  <sheetData>
    <row r="1" ht="30" customHeight="1">
      <c r="A1" s="1" t="s">
        <v>0</v>
      </c>
      <c r="B1" s="5" t="s">
        <v>1</v>
      </c>
      <c r="C1" s="1" t="s">
        <v>2</v>
      </c>
      <c r="D1" s="3" t="s">
        <v>3</v>
      </c>
      <c r="E1" s="3" t="s">
        <v>4</v>
      </c>
      <c r="F1" s="3" t="s">
        <v>5</v>
      </c>
      <c r="G1" s="3" t="s">
        <v>6</v>
      </c>
      <c r="H1" s="3" t="s">
        <v>7</v>
      </c>
      <c r="I1" s="3" t="s">
        <v>8</v>
      </c>
      <c r="J1" s="3" t="s">
        <v>9</v>
      </c>
      <c r="K1" s="1" t="s">
        <v>10</v>
      </c>
      <c r="L1" s="5" t="s">
        <v>11</v>
      </c>
      <c r="M1" s="1" t="s">
        <v>12</v>
      </c>
      <c r="N1" s="1" t="s">
        <v>13</v>
      </c>
      <c r="O1" s="1" t="s">
        <v>14</v>
      </c>
      <c r="P1" s="1" t="s">
        <v>15</v>
      </c>
      <c r="Q1" s="1" t="s">
        <v>16</v>
      </c>
      <c r="R1" s="1" t="s">
        <v>17</v>
      </c>
      <c r="S1" s="1" t="s">
        <v>18</v>
      </c>
      <c r="T1" s="1" t="s">
        <v>19</v>
      </c>
      <c r="U1" s="1" t="s">
        <v>20</v>
      </c>
      <c r="V1" s="1" t="s">
        <v>21</v>
      </c>
      <c r="W1" s="1" t="s">
        <v>22</v>
      </c>
      <c r="X1" s="1" t="s">
        <v>23</v>
      </c>
      <c r="Y1" s="3" t="s">
        <v>24</v>
      </c>
      <c r="Z1" s="1" t="s">
        <v>25</v>
      </c>
      <c r="AA1" s="1" t="s">
        <v>26</v>
      </c>
      <c r="AB1" s="1" t="s">
        <v>27</v>
      </c>
      <c r="AC1" s="1" t="s">
        <v>28</v>
      </c>
      <c r="AD1" s="1" t="s">
        <v>29</v>
      </c>
      <c r="AE1" s="3" t="s">
        <v>30</v>
      </c>
    </row>
    <row r="2">
      <c r="A2" s="6" t="s">
        <v>31</v>
      </c>
      <c r="B2" s="7">
        <v>45575</v>
      </c>
      <c r="C2" s="9">
        <f>HYPERLINK("https://www.epingalert.org/en/Search?viewData= G/TBT/N/USA/1697/Add.4/Corr.1"," G/TBT/N/USA/1697/Add.4/Corr.1")</f>
      </c>
      <c r="D2" s="8" t="s">
        <v>32</v>
      </c>
      <c r="E2" s="8" t="s">
        <v>33</v>
      </c>
      <c r="F2" s="8" t="s">
        <v>34</v>
      </c>
      <c r="G2" s="8" t="s">
        <v>35</v>
      </c>
      <c r="H2" s="8" t="s">
        <v>36</v>
      </c>
      <c r="I2" s="8" t="s">
        <v>37</v>
      </c>
      <c r="J2" s="8" t="s">
        <v>38</v>
      </c>
      <c r="K2" s="6"/>
      <c r="L2" s="7" t="s">
        <v>38</v>
      </c>
      <c r="M2" s="6" t="s">
        <v>39</v>
      </c>
      <c r="N2" s="8" t="s">
        <v>40</v>
      </c>
      <c r="O2" s="6">
        <f>HYPERLINK("https://docs.wto.org/imrd/directdoc.asp?DDFDocuments/t/G/TBTN21/USA1697A4C1.DOCX", "https://docs.wto.org/imrd/directdoc.asp?DDFDocuments/t/G/TBTN21/USA1697A4C1.DOCX")</f>
      </c>
      <c r="P2" s="6">
        <f>HYPERLINK("https://docs.wto.org/imrd/directdoc.asp?DDFDocuments/u/G/TBTN21/USA1697A4C1.DOCX", "https://docs.wto.org/imrd/directdoc.asp?DDFDocuments/u/G/TBTN21/USA1697A4C1.DOCX")</f>
      </c>
      <c r="Q2" s="6">
        <f>HYPERLINK("https://docs.wto.org/imrd/directdoc.asp?DDFDocuments/v/G/TBTN21/USA1697A4C1.DOCX", "https://docs.wto.org/imrd/directdoc.asp?DDFDocuments/v/G/TBTN21/USA1697A4C1.DOCX")</f>
      </c>
      <c r="R2" s="0" t="s">
        <v>41</v>
      </c>
      <c r="S2" s="0" t="s">
        <v>41</v>
      </c>
      <c r="T2" s="0" t="s">
        <v>41</v>
      </c>
      <c r="U2" s="0" t="s">
        <v>41</v>
      </c>
      <c r="V2" s="0" t="s">
        <v>41</v>
      </c>
      <c r="W2" s="0" t="s">
        <v>41</v>
      </c>
      <c r="X2" s="0" t="s">
        <v>42</v>
      </c>
      <c r="Y2" s="2" t="s">
        <v>38</v>
      </c>
      <c r="Z2" s="0" t="s">
        <v>38</v>
      </c>
      <c r="AA2" s="0" t="s">
        <v>38</v>
      </c>
      <c r="AB2" s="0" t="s">
        <v>38</v>
      </c>
      <c r="AC2" s="0" t="s">
        <v>38</v>
      </c>
      <c r="AD2" s="0" t="s">
        <v>38</v>
      </c>
      <c r="AE2" s="2" t="s">
        <v>38</v>
      </c>
    </row>
    <row r="3">
      <c r="A3" s="6" t="s">
        <v>31</v>
      </c>
      <c r="B3" s="7">
        <v>45433</v>
      </c>
      <c r="C3" s="9">
        <f>HYPERLINK("https://www.epingalert.org/en/Search?viewData= G/TBT/N/USA/1697/Add.4"," G/TBT/N/USA/1697/Add.4")</f>
      </c>
      <c r="D3" s="8" t="s">
        <v>32</v>
      </c>
      <c r="E3" s="8" t="s">
        <v>43</v>
      </c>
      <c r="F3" s="8" t="s">
        <v>34</v>
      </c>
      <c r="G3" s="8" t="s">
        <v>44</v>
      </c>
      <c r="H3" s="8" t="s">
        <v>45</v>
      </c>
      <c r="I3" s="8" t="s">
        <v>37</v>
      </c>
      <c r="J3" s="8" t="s">
        <v>38</v>
      </c>
      <c r="K3" s="6"/>
      <c r="L3" s="7" t="s">
        <v>38</v>
      </c>
      <c r="M3" s="6" t="s">
        <v>46</v>
      </c>
      <c r="N3" s="8" t="s">
        <v>47</v>
      </c>
      <c r="O3" s="6">
        <f>HYPERLINK("https://docs.wto.org/imrd/directdoc.asp?DDFDocuments/t/G/TBTN21/USA1697A4.DOCX", "https://docs.wto.org/imrd/directdoc.asp?DDFDocuments/t/G/TBTN21/USA1697A4.DOCX")</f>
      </c>
      <c r="P3" s="6">
        <f>HYPERLINK("https://docs.wto.org/imrd/directdoc.asp?DDFDocuments/u/G/TBTN21/USA1697A4.DOCX", "https://docs.wto.org/imrd/directdoc.asp?DDFDocuments/u/G/TBTN21/USA1697A4.DOCX")</f>
      </c>
      <c r="Q3" s="6">
        <f>HYPERLINK("https://docs.wto.org/imrd/directdoc.asp?DDFDocuments/v/G/TBTN21/USA1697A4.DOCX", "https://docs.wto.org/imrd/directdoc.asp?DDFDocuments/v/G/TBTN21/USA1697A4.DOCX")</f>
      </c>
      <c r="R3" s="0" t="s">
        <v>41</v>
      </c>
      <c r="S3" s="0" t="s">
        <v>41</v>
      </c>
      <c r="T3" s="0" t="s">
        <v>41</v>
      </c>
      <c r="U3" s="0" t="s">
        <v>41</v>
      </c>
      <c r="V3" s="0" t="s">
        <v>41</v>
      </c>
      <c r="W3" s="0" t="s">
        <v>41</v>
      </c>
      <c r="X3" s="0" t="s">
        <v>42</v>
      </c>
      <c r="Y3" s="2" t="s">
        <v>38</v>
      </c>
      <c r="Z3" s="0" t="s">
        <v>38</v>
      </c>
      <c r="AA3" s="0" t="s">
        <v>38</v>
      </c>
      <c r="AB3" s="0" t="s">
        <v>38</v>
      </c>
      <c r="AC3" s="0" t="s">
        <v>38</v>
      </c>
      <c r="AD3" s="0" t="s">
        <v>38</v>
      </c>
      <c r="AE3" s="2" t="s">
        <v>38</v>
      </c>
    </row>
    <row r="4">
      <c r="A4" s="6" t="s">
        <v>31</v>
      </c>
      <c r="B4" s="7">
        <v>44386</v>
      </c>
      <c r="C4" s="9">
        <f>HYPERLINK("https://www.epingalert.org/en/Search?viewData= G/TBT/N/USA/1697/Add.3"," G/TBT/N/USA/1697/Add.3")</f>
      </c>
      <c r="D4" s="8" t="s">
        <v>32</v>
      </c>
      <c r="E4" s="8" t="s">
        <v>48</v>
      </c>
      <c r="F4" s="8" t="s">
        <v>34</v>
      </c>
      <c r="G4" s="8" t="s">
        <v>44</v>
      </c>
      <c r="H4" s="8" t="s">
        <v>45</v>
      </c>
      <c r="I4" s="8" t="s">
        <v>37</v>
      </c>
      <c r="J4" s="8" t="s">
        <v>38</v>
      </c>
      <c r="K4" s="6"/>
      <c r="L4" s="7">
        <v>44399</v>
      </c>
      <c r="M4" s="6" t="s">
        <v>46</v>
      </c>
      <c r="N4" s="8" t="s">
        <v>49</v>
      </c>
      <c r="O4" s="6">
        <f>HYPERLINK("https://docs.wto.org/imrd/directdoc.asp?DDFDocuments/t/G/TBTN21/USA1697A3.DOCX", "https://docs.wto.org/imrd/directdoc.asp?DDFDocuments/t/G/TBTN21/USA1697A3.DOCX")</f>
      </c>
      <c r="P4" s="6">
        <f>HYPERLINK("https://docs.wto.org/imrd/directdoc.asp?DDFDocuments/u/G/TBTN21/USA1697A3.DOCX", "https://docs.wto.org/imrd/directdoc.asp?DDFDocuments/u/G/TBTN21/USA1697A3.DOCX")</f>
      </c>
      <c r="Q4" s="6">
        <f>HYPERLINK("https://docs.wto.org/imrd/directdoc.asp?DDFDocuments/v/G/TBTN21/USA1697A3.DOCX", "https://docs.wto.org/imrd/directdoc.asp?DDFDocuments/v/G/TBTN21/USA1697A3.DOCX")</f>
      </c>
      <c r="R4" s="0" t="s">
        <v>41</v>
      </c>
      <c r="S4" s="0" t="s">
        <v>41</v>
      </c>
      <c r="T4" s="0" t="s">
        <v>41</v>
      </c>
      <c r="U4" s="0" t="s">
        <v>41</v>
      </c>
      <c r="V4" s="0" t="s">
        <v>41</v>
      </c>
      <c r="W4" s="0" t="s">
        <v>41</v>
      </c>
      <c r="X4" s="0" t="s">
        <v>42</v>
      </c>
      <c r="Y4" s="2" t="s">
        <v>38</v>
      </c>
      <c r="Z4" s="0" t="s">
        <v>38</v>
      </c>
      <c r="AA4" s="0" t="s">
        <v>38</v>
      </c>
      <c r="AB4" s="0" t="s">
        <v>38</v>
      </c>
      <c r="AC4" s="0" t="s">
        <v>38</v>
      </c>
      <c r="AD4" s="0" t="s">
        <v>38</v>
      </c>
      <c r="AE4" s="2" t="s">
        <v>38</v>
      </c>
    </row>
    <row r="5">
      <c r="A5" s="6" t="s">
        <v>31</v>
      </c>
      <c r="B5" s="7">
        <v>44342</v>
      </c>
      <c r="C5" s="9">
        <f>HYPERLINK("https://www.epingalert.org/en/Search?viewData= G/TBT/N/USA/1697/Add.2"," G/TBT/N/USA/1697/Add.2")</f>
      </c>
      <c r="D5" s="8" t="s">
        <v>32</v>
      </c>
      <c r="E5" s="8" t="s">
        <v>50</v>
      </c>
      <c r="F5" s="8" t="s">
        <v>34</v>
      </c>
      <c r="G5" s="8" t="s">
        <v>51</v>
      </c>
      <c r="H5" s="8" t="s">
        <v>52</v>
      </c>
      <c r="I5" s="8" t="s">
        <v>37</v>
      </c>
      <c r="J5" s="8" t="s">
        <v>38</v>
      </c>
      <c r="K5" s="6"/>
      <c r="L5" s="7" t="s">
        <v>38</v>
      </c>
      <c r="M5" s="6" t="s">
        <v>46</v>
      </c>
      <c r="N5" s="8" t="s">
        <v>53</v>
      </c>
      <c r="O5" s="6">
        <f>HYPERLINK("https://docs.wto.org/imrd/directdoc.asp?DDFDocuments/t/G/TBTN21/USA1697A2.DOCX", "https://docs.wto.org/imrd/directdoc.asp?DDFDocuments/t/G/TBTN21/USA1697A2.DOCX")</f>
      </c>
      <c r="P5" s="6">
        <f>HYPERLINK("https://docs.wto.org/imrd/directdoc.asp?DDFDocuments/u/G/TBTN21/USA1697A2.DOCX", "https://docs.wto.org/imrd/directdoc.asp?DDFDocuments/u/G/TBTN21/USA1697A2.DOCX")</f>
      </c>
      <c r="Q5" s="6">
        <f>HYPERLINK("https://docs.wto.org/imrd/directdoc.asp?DDFDocuments/v/G/TBTN21/USA1697A2.DOCX", "https://docs.wto.org/imrd/directdoc.asp?DDFDocuments/v/G/TBTN21/USA1697A2.DOCX")</f>
      </c>
      <c r="R5" s="0" t="s">
        <v>41</v>
      </c>
      <c r="S5" s="0" t="s">
        <v>41</v>
      </c>
      <c r="T5" s="0" t="s">
        <v>41</v>
      </c>
      <c r="U5" s="0" t="s">
        <v>41</v>
      </c>
      <c r="V5" s="0" t="s">
        <v>41</v>
      </c>
      <c r="W5" s="0" t="s">
        <v>41</v>
      </c>
      <c r="X5" s="0" t="s">
        <v>42</v>
      </c>
      <c r="Y5" s="2" t="s">
        <v>38</v>
      </c>
      <c r="Z5" s="0" t="s">
        <v>38</v>
      </c>
      <c r="AA5" s="0" t="s">
        <v>38</v>
      </c>
      <c r="AB5" s="0" t="s">
        <v>38</v>
      </c>
      <c r="AC5" s="0" t="s">
        <v>38</v>
      </c>
      <c r="AD5" s="0" t="s">
        <v>38</v>
      </c>
      <c r="AE5" s="2" t="s">
        <v>38</v>
      </c>
    </row>
    <row r="6">
      <c r="A6" s="6" t="s">
        <v>31</v>
      </c>
      <c r="B6" s="7">
        <v>44299</v>
      </c>
      <c r="C6" s="9">
        <f>HYPERLINK("https://www.epingalert.org/en/Search?viewData= G/TBT/N/USA/1697/Add.1"," G/TBT/N/USA/1697/Add.1")</f>
      </c>
      <c r="D6" s="8" t="s">
        <v>32</v>
      </c>
      <c r="E6" s="8" t="s">
        <v>54</v>
      </c>
      <c r="F6" s="8" t="s">
        <v>34</v>
      </c>
      <c r="G6" s="8" t="s">
        <v>44</v>
      </c>
      <c r="H6" s="8" t="s">
        <v>45</v>
      </c>
      <c r="I6" s="8" t="s">
        <v>37</v>
      </c>
      <c r="J6" s="8" t="s">
        <v>38</v>
      </c>
      <c r="K6" s="6"/>
      <c r="L6" s="7">
        <v>44335</v>
      </c>
      <c r="M6" s="6" t="s">
        <v>46</v>
      </c>
      <c r="N6" s="8" t="s">
        <v>55</v>
      </c>
      <c r="O6" s="6">
        <f>HYPERLINK("https://docs.wto.org/imrd/directdoc.asp?DDFDocuments/t/G/TBTN21/USA1697A1.DOCX", "https://docs.wto.org/imrd/directdoc.asp?DDFDocuments/t/G/TBTN21/USA1697A1.DOCX")</f>
      </c>
      <c r="P6" s="6">
        <f>HYPERLINK("https://docs.wto.org/imrd/directdoc.asp?DDFDocuments/u/G/TBTN21/USA1697A1.DOCX", "https://docs.wto.org/imrd/directdoc.asp?DDFDocuments/u/G/TBTN21/USA1697A1.DOCX")</f>
      </c>
      <c r="Q6" s="6">
        <f>HYPERLINK("https://docs.wto.org/imrd/directdoc.asp?DDFDocuments/v/G/TBTN21/USA1697A1.DOCX", "https://docs.wto.org/imrd/directdoc.asp?DDFDocuments/v/G/TBTN21/USA1697A1.DOCX")</f>
      </c>
      <c r="R6" s="0" t="s">
        <v>41</v>
      </c>
      <c r="S6" s="0" t="s">
        <v>41</v>
      </c>
      <c r="T6" s="0" t="s">
        <v>41</v>
      </c>
      <c r="U6" s="0" t="s">
        <v>41</v>
      </c>
      <c r="V6" s="0" t="s">
        <v>41</v>
      </c>
      <c r="W6" s="0" t="s">
        <v>41</v>
      </c>
      <c r="X6" s="0" t="s">
        <v>42</v>
      </c>
      <c r="Y6" s="2" t="s">
        <v>38</v>
      </c>
      <c r="Z6" s="0" t="s">
        <v>38</v>
      </c>
      <c r="AA6" s="0" t="s">
        <v>38</v>
      </c>
      <c r="AB6" s="0" t="s">
        <v>38</v>
      </c>
      <c r="AC6" s="0" t="s">
        <v>38</v>
      </c>
      <c r="AD6" s="0" t="s">
        <v>38</v>
      </c>
      <c r="AE6" s="2" t="s">
        <v>38</v>
      </c>
    </row>
    <row r="7">
      <c r="A7" s="6" t="s">
        <v>31</v>
      </c>
      <c r="B7" s="7">
        <v>44245</v>
      </c>
      <c r="C7" s="9">
        <f>HYPERLINK("https://www.epingalert.org/en/Search?viewData= G/TBT/N/USA/1697"," G/TBT/N/USA/1697")</f>
      </c>
      <c r="D7" s="8" t="s">
        <v>32</v>
      </c>
      <c r="E7" s="8" t="s">
        <v>56</v>
      </c>
      <c r="F7" s="8" t="s">
        <v>34</v>
      </c>
      <c r="G7" s="8" t="s">
        <v>51</v>
      </c>
      <c r="H7" s="8" t="s">
        <v>52</v>
      </c>
      <c r="I7" s="8" t="s">
        <v>37</v>
      </c>
      <c r="J7" s="8" t="s">
        <v>38</v>
      </c>
      <c r="K7" s="6"/>
      <c r="L7" s="7">
        <v>44305</v>
      </c>
      <c r="M7" s="6" t="s">
        <v>57</v>
      </c>
      <c r="N7" s="8" t="s">
        <v>58</v>
      </c>
      <c r="O7" s="6">
        <f>HYPERLINK("https://docs.wto.org/imrd/directdoc.asp?DDFDocuments/t/G/TBTN21/USA1697.DOCX", "https://docs.wto.org/imrd/directdoc.asp?DDFDocuments/t/G/TBTN21/USA1697.DOCX")</f>
      </c>
      <c r="P7" s="6">
        <f>HYPERLINK("https://docs.wto.org/imrd/directdoc.asp?DDFDocuments/u/G/TBTN21/USA1697.DOCX", "https://docs.wto.org/imrd/directdoc.asp?DDFDocuments/u/G/TBTN21/USA1697.DOCX")</f>
      </c>
      <c r="Q7" s="6">
        <f>HYPERLINK("https://docs.wto.org/imrd/directdoc.asp?DDFDocuments/v/G/TBTN21/USA1697.DOCX", "https://docs.wto.org/imrd/directdoc.asp?DDFDocuments/v/G/TBTN21/USA1697.DOCX")</f>
      </c>
      <c r="R7" s="0" t="s">
        <v>41</v>
      </c>
      <c r="S7" s="0" t="s">
        <v>41</v>
      </c>
      <c r="T7" s="0" t="s">
        <v>41</v>
      </c>
      <c r="U7" s="0" t="s">
        <v>41</v>
      </c>
      <c r="V7" s="0" t="s">
        <v>41</v>
      </c>
      <c r="W7" s="0" t="s">
        <v>41</v>
      </c>
      <c r="X7" s="0" t="s">
        <v>42</v>
      </c>
      <c r="Y7" s="2" t="s">
        <v>59</v>
      </c>
      <c r="Z7" s="0" t="s">
        <v>38</v>
      </c>
      <c r="AA7" s="0" t="s">
        <v>38</v>
      </c>
      <c r="AB7" s="0" t="s">
        <v>38</v>
      </c>
      <c r="AC7" s="0" t="s">
        <v>38</v>
      </c>
      <c r="AD7" s="0" t="s">
        <v>38</v>
      </c>
      <c r="AE7" s="2" t="s">
        <v>38</v>
      </c>
    </row>
    <row r="8">
      <c r="A8" s="6" t="s">
        <v>31</v>
      </c>
      <c r="B8" s="7">
        <v>43865</v>
      </c>
      <c r="C8" s="9">
        <f>HYPERLINK("https://www.epingalert.org/en/Search?viewData= G/SPS/N/USA/2810/Add.2"," G/SPS/N/USA/2810/Add.2")</f>
      </c>
      <c r="D8" s="8" t="s">
        <v>60</v>
      </c>
      <c r="E8" s="8" t="s">
        <v>61</v>
      </c>
      <c r="F8" s="8" t="s">
        <v>62</v>
      </c>
      <c r="G8" s="8" t="s">
        <v>44</v>
      </c>
      <c r="H8" s="8" t="s">
        <v>63</v>
      </c>
      <c r="I8" s="8" t="s">
        <v>64</v>
      </c>
      <c r="J8" s="8" t="s">
        <v>65</v>
      </c>
      <c r="K8" s="6"/>
      <c r="L8" s="7" t="s">
        <v>38</v>
      </c>
      <c r="M8" s="6" t="s">
        <v>46</v>
      </c>
      <c r="N8" s="6"/>
      <c r="O8" s="6">
        <f>HYPERLINK("https://docs.wto.org/imrd/directdoc.asp?DDFDocuments/t/G/SPS/NUSA2810A2.DOCX", "https://docs.wto.org/imrd/directdoc.asp?DDFDocuments/t/G/SPS/NUSA2810A2.DOCX")</f>
      </c>
      <c r="P8" s="6">
        <f>HYPERLINK("https://docs.wto.org/imrd/directdoc.asp?DDFDocuments/u/G/SPS/NUSA2810A2.DOCX", "https://docs.wto.org/imrd/directdoc.asp?DDFDocuments/u/G/SPS/NUSA2810A2.DOCX")</f>
      </c>
      <c r="Q8" s="6">
        <f>HYPERLINK("https://docs.wto.org/imrd/directdoc.asp?DDFDocuments/v/G/SPS/NUSA2810A2.DOCX", "https://docs.wto.org/imrd/directdoc.asp?DDFDocuments/v/G/SPS/NUSA2810A2.DOCX")</f>
      </c>
      <c r="R8" s="0" t="s">
        <v>38</v>
      </c>
      <c r="S8" s="0" t="s">
        <v>38</v>
      </c>
      <c r="T8" s="0" t="s">
        <v>38</v>
      </c>
      <c r="U8" s="0" t="s">
        <v>38</v>
      </c>
      <c r="V8" s="0" t="s">
        <v>38</v>
      </c>
      <c r="W8" s="0" t="s">
        <v>38</v>
      </c>
      <c r="X8" s="0" t="s">
        <v>38</v>
      </c>
      <c r="Y8" s="2" t="s">
        <v>38</v>
      </c>
      <c r="Z8" s="0" t="s">
        <v>38</v>
      </c>
      <c r="AA8" s="0" t="s">
        <v>38</v>
      </c>
      <c r="AB8" s="0" t="s">
        <v>38</v>
      </c>
      <c r="AC8" s="0" t="s">
        <v>38</v>
      </c>
      <c r="AD8" s="0" t="s">
        <v>38</v>
      </c>
      <c r="AE8" s="2" t="s">
        <v>38</v>
      </c>
    </row>
    <row r="9">
      <c r="A9" s="6" t="s">
        <v>31</v>
      </c>
      <c r="B9" s="7">
        <v>43388</v>
      </c>
      <c r="C9" s="9">
        <f>HYPERLINK("https://www.epingalert.org/en/Search?viewData= G/SPS/N/USA/2865/Add.1"," G/SPS/N/USA/2865/Add.1")</f>
      </c>
      <c r="D9" s="8" t="s">
        <v>66</v>
      </c>
      <c r="E9" s="8" t="s">
        <v>67</v>
      </c>
      <c r="F9" s="8"/>
      <c r="G9" s="8" t="s">
        <v>51</v>
      </c>
      <c r="H9" s="8" t="s">
        <v>68</v>
      </c>
      <c r="I9" s="8" t="s">
        <v>69</v>
      </c>
      <c r="J9" s="8" t="s">
        <v>70</v>
      </c>
      <c r="K9" s="6"/>
      <c r="L9" s="7" t="s">
        <v>38</v>
      </c>
      <c r="M9" s="6" t="s">
        <v>46</v>
      </c>
      <c r="N9" s="6"/>
      <c r="O9" s="6">
        <f>HYPERLINK("https://docs.wto.org/imrd/directdoc.asp?DDFDocuments/t/G/SPS/NUSA2865A1.DOCX", "https://docs.wto.org/imrd/directdoc.asp?DDFDocuments/t/G/SPS/NUSA2865A1.DOCX")</f>
      </c>
      <c r="P9" s="6">
        <f>HYPERLINK("https://docs.wto.org/imrd/directdoc.asp?DDFDocuments/u/G/SPS/NUSA2865A1.DOCX", "https://docs.wto.org/imrd/directdoc.asp?DDFDocuments/u/G/SPS/NUSA2865A1.DOCX")</f>
      </c>
      <c r="Q9" s="6">
        <f>HYPERLINK("https://docs.wto.org/imrd/directdoc.asp?DDFDocuments/v/G/SPS/NUSA2865A1.DOCX", "https://docs.wto.org/imrd/directdoc.asp?DDFDocuments/v/G/SPS/NUSA2865A1.DOCX")</f>
      </c>
      <c r="R9" s="0" t="s">
        <v>38</v>
      </c>
      <c r="S9" s="0" t="s">
        <v>38</v>
      </c>
      <c r="T9" s="0" t="s">
        <v>38</v>
      </c>
      <c r="U9" s="0" t="s">
        <v>38</v>
      </c>
      <c r="V9" s="0" t="s">
        <v>38</v>
      </c>
      <c r="W9" s="0" t="s">
        <v>38</v>
      </c>
      <c r="X9" s="0" t="s">
        <v>38</v>
      </c>
      <c r="Y9" s="2" t="s">
        <v>38</v>
      </c>
      <c r="Z9" s="0" t="s">
        <v>38</v>
      </c>
      <c r="AA9" s="0" t="s">
        <v>38</v>
      </c>
      <c r="AB9" s="0" t="s">
        <v>38</v>
      </c>
      <c r="AC9" s="0" t="s">
        <v>38</v>
      </c>
      <c r="AD9" s="0" t="s">
        <v>38</v>
      </c>
      <c r="AE9" s="2" t="s">
        <v>38</v>
      </c>
    </row>
    <row r="10">
      <c r="A10" s="6" t="s">
        <v>31</v>
      </c>
      <c r="B10" s="7">
        <v>43000</v>
      </c>
      <c r="C10" s="9">
        <f>HYPERLINK("https://www.epingalert.org/en/Search?viewData= G/SPS/N/USA/2891/Add.2"," G/SPS/N/USA/2891/Add.2")</f>
      </c>
      <c r="D10" s="8" t="s">
        <v>71</v>
      </c>
      <c r="E10" s="8" t="s">
        <v>72</v>
      </c>
      <c r="F10" s="8"/>
      <c r="G10" s="8" t="s">
        <v>73</v>
      </c>
      <c r="H10" s="8" t="s">
        <v>74</v>
      </c>
      <c r="I10" s="8" t="s">
        <v>69</v>
      </c>
      <c r="J10" s="8" t="s">
        <v>70</v>
      </c>
      <c r="K10" s="6"/>
      <c r="L10" s="7" t="s">
        <v>38</v>
      </c>
      <c r="M10" s="6" t="s">
        <v>46</v>
      </c>
      <c r="N10" s="6"/>
      <c r="O10" s="6">
        <f>HYPERLINK("https://docs.wto.org/imrd/directdoc.asp?DDFDocuments/t/G/SPS/NUSA2891A2.DOCX", "https://docs.wto.org/imrd/directdoc.asp?DDFDocuments/t/G/SPS/NUSA2891A2.DOCX")</f>
      </c>
      <c r="P10" s="6">
        <f>HYPERLINK("https://docs.wto.org/imrd/directdoc.asp?DDFDocuments/u/G/SPS/NUSA2891A2.DOCX", "https://docs.wto.org/imrd/directdoc.asp?DDFDocuments/u/G/SPS/NUSA2891A2.DOCX")</f>
      </c>
      <c r="Q10" s="6">
        <f>HYPERLINK("https://docs.wto.org/imrd/directdoc.asp?DDFDocuments/v/G/SPS/NUSA2891A2.DOCX", "https://docs.wto.org/imrd/directdoc.asp?DDFDocuments/v/G/SPS/NUSA2891A2.DOCX")</f>
      </c>
      <c r="R10" s="0" t="s">
        <v>38</v>
      </c>
      <c r="S10" s="0" t="s">
        <v>38</v>
      </c>
      <c r="T10" s="0" t="s">
        <v>38</v>
      </c>
      <c r="U10" s="0" t="s">
        <v>38</v>
      </c>
      <c r="V10" s="0" t="s">
        <v>38</v>
      </c>
      <c r="W10" s="0" t="s">
        <v>38</v>
      </c>
      <c r="X10" s="0" t="s">
        <v>38</v>
      </c>
      <c r="Y10" s="2" t="s">
        <v>38</v>
      </c>
      <c r="Z10" s="0" t="s">
        <v>38</v>
      </c>
      <c r="AA10" s="0" t="s">
        <v>38</v>
      </c>
      <c r="AB10" s="0" t="s">
        <v>38</v>
      </c>
      <c r="AC10" s="0" t="s">
        <v>38</v>
      </c>
      <c r="AD10" s="0" t="s">
        <v>38</v>
      </c>
      <c r="AE10" s="2" t="s">
        <v>38</v>
      </c>
    </row>
    <row r="11">
      <c r="A11" s="6" t="s">
        <v>31</v>
      </c>
      <c r="B11" s="7">
        <v>42926</v>
      </c>
      <c r="C11" s="9">
        <f>HYPERLINK("https://www.epingalert.org/en/Search?viewData= G/SPS/N/USA/2891/Add.1"," G/SPS/N/USA/2891/Add.1")</f>
      </c>
      <c r="D11" s="8" t="s">
        <v>75</v>
      </c>
      <c r="E11" s="8" t="s">
        <v>76</v>
      </c>
      <c r="F11" s="8"/>
      <c r="G11" s="8" t="s">
        <v>73</v>
      </c>
      <c r="H11" s="8" t="s">
        <v>74</v>
      </c>
      <c r="I11" s="8" t="s">
        <v>69</v>
      </c>
      <c r="J11" s="8" t="s">
        <v>70</v>
      </c>
      <c r="K11" s="6"/>
      <c r="L11" s="7" t="s">
        <v>38</v>
      </c>
      <c r="M11" s="6" t="s">
        <v>46</v>
      </c>
      <c r="N11" s="6"/>
      <c r="O11" s="6">
        <f>HYPERLINK("https://docs.wto.org/imrd/directdoc.asp?DDFDocuments/t/G/SPS/NUSA2891A1.pdf", "https://docs.wto.org/imrd/directdoc.asp?DDFDocuments/t/G/SPS/NUSA2891A1.pdf")</f>
      </c>
      <c r="P11" s="6">
        <f>HYPERLINK("https://docs.wto.org/imrd/directdoc.asp?DDFDocuments/u/G/SPS/NUSA2891A1.pdf", "https://docs.wto.org/imrd/directdoc.asp?DDFDocuments/u/G/SPS/NUSA2891A1.pdf")</f>
      </c>
      <c r="Q11" s="6">
        <f>HYPERLINK("https://docs.wto.org/imrd/directdoc.asp?DDFDocuments/v/G/SPS/NUSA2891A1.pdf", "https://docs.wto.org/imrd/directdoc.asp?DDFDocuments/v/G/SPS/NUSA2891A1.pdf")</f>
      </c>
      <c r="R11" s="0" t="s">
        <v>38</v>
      </c>
      <c r="S11" s="0" t="s">
        <v>38</v>
      </c>
      <c r="T11" s="0" t="s">
        <v>38</v>
      </c>
      <c r="U11" s="0" t="s">
        <v>38</v>
      </c>
      <c r="V11" s="0" t="s">
        <v>38</v>
      </c>
      <c r="W11" s="0" t="s">
        <v>38</v>
      </c>
      <c r="X11" s="0" t="s">
        <v>38</v>
      </c>
      <c r="Y11" s="2" t="s">
        <v>38</v>
      </c>
      <c r="Z11" s="0" t="s">
        <v>38</v>
      </c>
      <c r="AA11" s="0" t="s">
        <v>38</v>
      </c>
      <c r="AB11" s="0" t="s">
        <v>38</v>
      </c>
      <c r="AC11" s="0" t="s">
        <v>38</v>
      </c>
      <c r="AD11" s="0" t="s">
        <v>38</v>
      </c>
      <c r="AE11" s="2" t="s">
        <v>38</v>
      </c>
    </row>
    <row r="12">
      <c r="A12" s="6" t="s">
        <v>31</v>
      </c>
      <c r="B12" s="7">
        <v>42632</v>
      </c>
      <c r="C12" s="9">
        <f>HYPERLINK("https://www.epingalert.org/en/Search?viewData= G/SPS/N/USA/2891"," G/SPS/N/USA/2891")</f>
      </c>
      <c r="D12" s="8" t="s">
        <v>77</v>
      </c>
      <c r="E12" s="8" t="s">
        <v>78</v>
      </c>
      <c r="F12" s="8" t="s">
        <v>79</v>
      </c>
      <c r="G12" s="8" t="s">
        <v>73</v>
      </c>
      <c r="H12" s="8" t="s">
        <v>74</v>
      </c>
      <c r="I12" s="8" t="s">
        <v>69</v>
      </c>
      <c r="J12" s="8" t="s">
        <v>80</v>
      </c>
      <c r="K12" s="6"/>
      <c r="L12" s="7" t="s">
        <v>38</v>
      </c>
      <c r="M12" s="6" t="s">
        <v>57</v>
      </c>
      <c r="N12" s="8" t="s">
        <v>81</v>
      </c>
      <c r="O12" s="6">
        <f>HYPERLINK("https://docs.wto.org/imrd/directdoc.asp?DDFDocuments/t/G/SPS/NUSA2891.pdf", "https://docs.wto.org/imrd/directdoc.asp?DDFDocuments/t/G/SPS/NUSA2891.pdf")</f>
      </c>
      <c r="P12" s="6">
        <f>HYPERLINK("https://docs.wto.org/imrd/directdoc.asp?DDFDocuments/u/G/SPS/NUSA2891.pdf", "https://docs.wto.org/imrd/directdoc.asp?DDFDocuments/u/G/SPS/NUSA2891.pdf")</f>
      </c>
      <c r="Q12" s="6">
        <f>HYPERLINK("https://docs.wto.org/imrd/directdoc.asp?DDFDocuments/v/G/SPS/NUSA2891.pdf", "https://docs.wto.org/imrd/directdoc.asp?DDFDocuments/v/G/SPS/NUSA2891.pdf")</f>
      </c>
      <c r="R12" s="0" t="s">
        <v>38</v>
      </c>
      <c r="S12" s="0" t="s">
        <v>38</v>
      </c>
      <c r="T12" s="0" t="s">
        <v>38</v>
      </c>
      <c r="U12" s="0" t="s">
        <v>38</v>
      </c>
      <c r="V12" s="0" t="s">
        <v>38</v>
      </c>
      <c r="W12" s="0" t="s">
        <v>38</v>
      </c>
      <c r="X12" s="0" t="s">
        <v>38</v>
      </c>
      <c r="Y12" s="2" t="s">
        <v>38</v>
      </c>
      <c r="Z12" s="0" t="s">
        <v>41</v>
      </c>
      <c r="AA12" s="0" t="s">
        <v>41</v>
      </c>
      <c r="AB12" s="0" t="s">
        <v>41</v>
      </c>
      <c r="AC12" s="0" t="s">
        <v>42</v>
      </c>
      <c r="AD12" s="0" t="s">
        <v>82</v>
      </c>
      <c r="AE12" s="2"/>
    </row>
    <row r="13">
      <c r="A13" s="6" t="s">
        <v>31</v>
      </c>
      <c r="B13" s="7">
        <v>42537</v>
      </c>
      <c r="C13" s="9">
        <f>HYPERLINK("https://www.epingalert.org/en/Search?viewData= G/SPS/N/USA/2865"," G/SPS/N/USA/2865")</f>
      </c>
      <c r="D13" s="8" t="s">
        <v>83</v>
      </c>
      <c r="E13" s="8" t="s">
        <v>84</v>
      </c>
      <c r="F13" s="8" t="s">
        <v>85</v>
      </c>
      <c r="G13" s="8" t="s">
        <v>51</v>
      </c>
      <c r="H13" s="8" t="s">
        <v>74</v>
      </c>
      <c r="I13" s="8" t="s">
        <v>69</v>
      </c>
      <c r="J13" s="8" t="s">
        <v>86</v>
      </c>
      <c r="K13" s="6"/>
      <c r="L13" s="7">
        <v>42597</v>
      </c>
      <c r="M13" s="6" t="s">
        <v>57</v>
      </c>
      <c r="N13" s="8" t="s">
        <v>87</v>
      </c>
      <c r="O13" s="6">
        <f>HYPERLINK("https://docs.wto.org/imrd/directdoc.asp?DDFDocuments/t/G/SPS/NUSA2865.pdf", "https://docs.wto.org/imrd/directdoc.asp?DDFDocuments/t/G/SPS/NUSA2865.pdf")</f>
      </c>
      <c r="P13" s="6">
        <f>HYPERLINK("https://docs.wto.org/imrd/directdoc.asp?DDFDocuments/u/G/SPS/NUSA2865.pdf", "https://docs.wto.org/imrd/directdoc.asp?DDFDocuments/u/G/SPS/NUSA2865.pdf")</f>
      </c>
      <c r="Q13" s="6">
        <f>HYPERLINK("https://docs.wto.org/imrd/directdoc.asp?DDFDocuments/v/G/SPS/NUSA2865.pdf", "https://docs.wto.org/imrd/directdoc.asp?DDFDocuments/v/G/SPS/NUSA2865.pdf")</f>
      </c>
      <c r="R13" s="0" t="s">
        <v>38</v>
      </c>
      <c r="S13" s="0" t="s">
        <v>38</v>
      </c>
      <c r="T13" s="0" t="s">
        <v>38</v>
      </c>
      <c r="U13" s="0" t="s">
        <v>38</v>
      </c>
      <c r="V13" s="0" t="s">
        <v>38</v>
      </c>
      <c r="W13" s="0" t="s">
        <v>38</v>
      </c>
      <c r="X13" s="0" t="s">
        <v>38</v>
      </c>
      <c r="Y13" s="2" t="s">
        <v>38</v>
      </c>
      <c r="Z13" s="0" t="s">
        <v>41</v>
      </c>
      <c r="AA13" s="0" t="s">
        <v>41</v>
      </c>
      <c r="AB13" s="0" t="s">
        <v>41</v>
      </c>
      <c r="AC13" s="0" t="s">
        <v>42</v>
      </c>
      <c r="AD13" s="0" t="s">
        <v>82</v>
      </c>
      <c r="AE13" s="2"/>
    </row>
    <row r="14">
      <c r="A14" s="6" t="s">
        <v>31</v>
      </c>
      <c r="B14" s="7">
        <v>42425</v>
      </c>
      <c r="C14" s="9">
        <f>HYPERLINK("https://www.epingalert.org/en/Search?viewData= G/SPS/N/USA/2810/Add.1"," G/SPS/N/USA/2810/Add.1")</f>
      </c>
      <c r="D14" s="8" t="s">
        <v>88</v>
      </c>
      <c r="E14" s="8" t="s">
        <v>89</v>
      </c>
      <c r="F14" s="8"/>
      <c r="G14" s="8" t="s">
        <v>51</v>
      </c>
      <c r="H14" s="8" t="s">
        <v>74</v>
      </c>
      <c r="I14" s="8" t="s">
        <v>69</v>
      </c>
      <c r="J14" s="8" t="s">
        <v>90</v>
      </c>
      <c r="K14" s="6"/>
      <c r="L14" s="7">
        <v>42493</v>
      </c>
      <c r="M14" s="6" t="s">
        <v>46</v>
      </c>
      <c r="N14" s="6"/>
      <c r="O14" s="6">
        <f>HYPERLINK("https://docs.wto.org/imrd/directdoc.asp?DDFDocuments/t/G/SPS/NUSA2810A1.pdf", "https://docs.wto.org/imrd/directdoc.asp?DDFDocuments/t/G/SPS/NUSA2810A1.pdf")</f>
      </c>
      <c r="P14" s="6">
        <f>HYPERLINK("https://docs.wto.org/imrd/directdoc.asp?DDFDocuments/u/G/SPS/NUSA2810A1.pdf", "https://docs.wto.org/imrd/directdoc.asp?DDFDocuments/u/G/SPS/NUSA2810A1.pdf")</f>
      </c>
      <c r="Q14" s="6">
        <f>HYPERLINK("https://docs.wto.org/imrd/directdoc.asp?DDFDocuments/v/G/SPS/NUSA2810A1.pdf", "https://docs.wto.org/imrd/directdoc.asp?DDFDocuments/v/G/SPS/NUSA2810A1.pdf")</f>
      </c>
      <c r="R14" s="0" t="s">
        <v>38</v>
      </c>
      <c r="S14" s="0" t="s">
        <v>38</v>
      </c>
      <c r="T14" s="0" t="s">
        <v>38</v>
      </c>
      <c r="U14" s="0" t="s">
        <v>38</v>
      </c>
      <c r="V14" s="0" t="s">
        <v>38</v>
      </c>
      <c r="W14" s="0" t="s">
        <v>38</v>
      </c>
      <c r="X14" s="0" t="s">
        <v>38</v>
      </c>
      <c r="Y14" s="2" t="s">
        <v>38</v>
      </c>
      <c r="Z14" s="0" t="s">
        <v>38</v>
      </c>
      <c r="AA14" s="0" t="s">
        <v>38</v>
      </c>
      <c r="AB14" s="0" t="s">
        <v>38</v>
      </c>
      <c r="AC14" s="0" t="s">
        <v>38</v>
      </c>
      <c r="AD14" s="0" t="s">
        <v>38</v>
      </c>
      <c r="AE14" s="2" t="s">
        <v>38</v>
      </c>
    </row>
    <row r="15">
      <c r="A15" s="6" t="s">
        <v>31</v>
      </c>
      <c r="B15" s="7">
        <v>42375</v>
      </c>
      <c r="C15" s="9">
        <f>HYPERLINK("https://www.epingalert.org/en/Search?viewData= G/SPS/N/USA/2810"," G/SPS/N/USA/2810")</f>
      </c>
      <c r="D15" s="8" t="s">
        <v>91</v>
      </c>
      <c r="E15" s="8" t="s">
        <v>92</v>
      </c>
      <c r="F15" s="8" t="s">
        <v>62</v>
      </c>
      <c r="G15" s="8" t="s">
        <v>51</v>
      </c>
      <c r="H15" s="8" t="s">
        <v>74</v>
      </c>
      <c r="I15" s="8" t="s">
        <v>69</v>
      </c>
      <c r="J15" s="8" t="s">
        <v>80</v>
      </c>
      <c r="K15" s="6"/>
      <c r="L15" s="7">
        <v>42433</v>
      </c>
      <c r="M15" s="6" t="s">
        <v>57</v>
      </c>
      <c r="N15" s="8" t="s">
        <v>93</v>
      </c>
      <c r="O15" s="6">
        <f>HYPERLINK("https://docs.wto.org/imrd/directdoc.asp?DDFDocuments/t/G/SPS/NUSA2810.DOC", "https://docs.wto.org/imrd/directdoc.asp?DDFDocuments/t/G/SPS/NUSA2810.DOC")</f>
      </c>
      <c r="P15" s="6">
        <f>HYPERLINK("https://docs.wto.org/imrd/directdoc.asp?DDFDocuments/u/G/SPS/NUSA2810.DOC", "https://docs.wto.org/imrd/directdoc.asp?DDFDocuments/u/G/SPS/NUSA2810.DOC")</f>
      </c>
      <c r="Q15" s="6">
        <f>HYPERLINK("https://docs.wto.org/imrd/directdoc.asp?DDFDocuments/v/G/SPS/NUSA2810.DOC", "https://docs.wto.org/imrd/directdoc.asp?DDFDocuments/v/G/SPS/NUSA2810.DOC")</f>
      </c>
      <c r="R15" s="0" t="s">
        <v>38</v>
      </c>
      <c r="S15" s="0" t="s">
        <v>38</v>
      </c>
      <c r="T15" s="0" t="s">
        <v>38</v>
      </c>
      <c r="U15" s="0" t="s">
        <v>38</v>
      </c>
      <c r="V15" s="0" t="s">
        <v>38</v>
      </c>
      <c r="W15" s="0" t="s">
        <v>38</v>
      </c>
      <c r="X15" s="0" t="s">
        <v>38</v>
      </c>
      <c r="Y15" s="2" t="s">
        <v>38</v>
      </c>
      <c r="Z15" s="0" t="s">
        <v>41</v>
      </c>
      <c r="AA15" s="0" t="s">
        <v>41</v>
      </c>
      <c r="AB15" s="0" t="s">
        <v>41</v>
      </c>
      <c r="AC15" s="0" t="s">
        <v>42</v>
      </c>
      <c r="AD15" s="0" t="s">
        <v>82</v>
      </c>
      <c r="AE15" s="2"/>
    </row>
    <row r="16">
      <c r="A16" s="6" t="s">
        <v>31</v>
      </c>
      <c r="B16" s="7">
        <v>40352</v>
      </c>
      <c r="C16" s="9">
        <f>HYPERLINK("https://www.epingalert.org/en/Search?viewData= G/TBT/N/USA/536/Add.1"," G/TBT/N/USA/536/Add.1")</f>
      </c>
      <c r="D16" s="8" t="s">
        <v>94</v>
      </c>
      <c r="E16" s="8"/>
      <c r="F16" s="8" t="s">
        <v>95</v>
      </c>
      <c r="G16" s="8" t="s">
        <v>44</v>
      </c>
      <c r="H16" s="8" t="s">
        <v>96</v>
      </c>
      <c r="I16" s="8" t="s">
        <v>97</v>
      </c>
      <c r="J16" s="8" t="s">
        <v>38</v>
      </c>
      <c r="K16" s="6"/>
      <c r="L16" s="7" t="s">
        <v>38</v>
      </c>
      <c r="M16" s="6" t="s">
        <v>46</v>
      </c>
      <c r="N16" s="6"/>
      <c r="O16" s="6">
        <f>HYPERLINK("https://docs.wto.org/imrd/directdoc.asp?DDFDocuments/t/G/Tbtn10/USA536A1.DOC", "https://docs.wto.org/imrd/directdoc.asp?DDFDocuments/t/G/Tbtn10/USA536A1.DOC")</f>
      </c>
      <c r="P16" s="6">
        <f>HYPERLINK("https://docs.wto.org/imrd/directdoc.asp?DDFDocuments/u/G/Tbtn10/USA536A1.DOC", "https://docs.wto.org/imrd/directdoc.asp?DDFDocuments/u/G/Tbtn10/USA536A1.DOC")</f>
      </c>
      <c r="Q16" s="6">
        <f>HYPERLINK("https://docs.wto.org/imrd/directdoc.asp?DDFDocuments/v/G/Tbtn10/USA536A1.DOC", "https://docs.wto.org/imrd/directdoc.asp?DDFDocuments/v/G/Tbtn10/USA536A1.DOC")</f>
      </c>
      <c r="R16" s="0" t="s">
        <v>42</v>
      </c>
      <c r="S16" s="0" t="s">
        <v>41</v>
      </c>
      <c r="T16" s="0" t="s">
        <v>41</v>
      </c>
      <c r="U16" s="0" t="s">
        <v>41</v>
      </c>
      <c r="V16" s="0" t="s">
        <v>41</v>
      </c>
      <c r="W16" s="0" t="s">
        <v>41</v>
      </c>
      <c r="X16" s="0" t="s">
        <v>41</v>
      </c>
      <c r="Y16" s="2" t="s">
        <v>38</v>
      </c>
      <c r="Z16" s="0" t="s">
        <v>38</v>
      </c>
      <c r="AA16" s="0" t="s">
        <v>38</v>
      </c>
      <c r="AB16" s="0" t="s">
        <v>38</v>
      </c>
      <c r="AC16" s="0" t="s">
        <v>38</v>
      </c>
      <c r="AD16" s="0" t="s">
        <v>38</v>
      </c>
      <c r="AE16" s="2" t="s">
        <v>38</v>
      </c>
    </row>
    <row r="17">
      <c r="A17" s="6" t="s">
        <v>31</v>
      </c>
      <c r="B17" s="7">
        <v>40287</v>
      </c>
      <c r="C17" s="9">
        <f>HYPERLINK("https://www.epingalert.org/en/Search?viewData= G/TBT/N/USA/536"," G/TBT/N/USA/536")</f>
      </c>
      <c r="D17" s="8" t="s">
        <v>98</v>
      </c>
      <c r="E17" s="8" t="s">
        <v>99</v>
      </c>
      <c r="F17" s="8" t="s">
        <v>95</v>
      </c>
      <c r="G17" s="8" t="s">
        <v>51</v>
      </c>
      <c r="H17" s="8" t="s">
        <v>96</v>
      </c>
      <c r="I17" s="8" t="s">
        <v>97</v>
      </c>
      <c r="J17" s="8" t="s">
        <v>38</v>
      </c>
      <c r="K17" s="6"/>
      <c r="L17" s="7">
        <v>40347</v>
      </c>
      <c r="M17" s="6" t="s">
        <v>57</v>
      </c>
      <c r="N17" s="6"/>
      <c r="O17" s="6">
        <f>HYPERLINK("https://docs.wto.org/imrd/directdoc.asp?DDFDocuments/t/G/Tbtn10/USA536.DOC", "https://docs.wto.org/imrd/directdoc.asp?DDFDocuments/t/G/Tbtn10/USA536.DOC")</f>
      </c>
      <c r="P17" s="6">
        <f>HYPERLINK("https://docs.wto.org/imrd/directdoc.asp?DDFDocuments/u/G/Tbtn10/USA536.DOC", "https://docs.wto.org/imrd/directdoc.asp?DDFDocuments/u/G/Tbtn10/USA536.DOC")</f>
      </c>
      <c r="Q17" s="6">
        <f>HYPERLINK("https://docs.wto.org/imrd/directdoc.asp?DDFDocuments/v/G/Tbtn10/USA536.DOC", "https://docs.wto.org/imrd/directdoc.asp?DDFDocuments/v/G/Tbtn10/USA536.DOC")</f>
      </c>
      <c r="R17" s="0" t="s">
        <v>42</v>
      </c>
      <c r="S17" s="0" t="s">
        <v>41</v>
      </c>
      <c r="T17" s="0" t="s">
        <v>41</v>
      </c>
      <c r="U17" s="0" t="s">
        <v>41</v>
      </c>
      <c r="V17" s="0" t="s">
        <v>41</v>
      </c>
      <c r="W17" s="0" t="s">
        <v>41</v>
      </c>
      <c r="X17" s="0" t="s">
        <v>41</v>
      </c>
      <c r="Y17" s="2" t="s">
        <v>100</v>
      </c>
      <c r="Z17" s="0" t="s">
        <v>38</v>
      </c>
      <c r="AA17" s="0" t="s">
        <v>38</v>
      </c>
      <c r="AB17" s="0" t="s">
        <v>38</v>
      </c>
      <c r="AC17" s="0" t="s">
        <v>38</v>
      </c>
      <c r="AD17" s="0" t="s">
        <v>38</v>
      </c>
      <c r="AE17" s="2" t="s">
        <v>38</v>
      </c>
    </row>
    <row r="18">
      <c r="A18" s="6" t="s">
        <v>31</v>
      </c>
      <c r="B18" s="7">
        <v>40127</v>
      </c>
      <c r="C18" s="9">
        <f>HYPERLINK("https://www.epingalert.org/en/Search?viewData= G/TBT/N/USA/216/Add.1/Corr.1"," G/TBT/N/USA/216/Add.1/Corr.1")</f>
      </c>
      <c r="D18" s="8" t="s">
        <v>101</v>
      </c>
      <c r="E18" s="8"/>
      <c r="F18" s="8" t="s">
        <v>102</v>
      </c>
      <c r="G18" s="8" t="s">
        <v>44</v>
      </c>
      <c r="H18" s="8" t="s">
        <v>103</v>
      </c>
      <c r="I18" s="8" t="s">
        <v>38</v>
      </c>
      <c r="J18" s="8" t="s">
        <v>38</v>
      </c>
      <c r="K18" s="6"/>
      <c r="L18" s="7" t="s">
        <v>38</v>
      </c>
      <c r="M18" s="6" t="s">
        <v>39</v>
      </c>
      <c r="N18" s="6"/>
      <c r="O18" s="6">
        <f>HYPERLINK("https://docs.wto.org/imrd/directdoc.asp?DDFDocuments/t/G/Tbtn06/USA216A1C1.DOC", "https://docs.wto.org/imrd/directdoc.asp?DDFDocuments/t/G/Tbtn06/USA216A1C1.DOC")</f>
      </c>
      <c r="P18" s="6">
        <f>HYPERLINK("https://docs.wto.org/imrd/directdoc.asp?DDFDocuments/u/G/Tbtn06/USA216A1C1.DOC", "https://docs.wto.org/imrd/directdoc.asp?DDFDocuments/u/G/Tbtn06/USA216A1C1.DOC")</f>
      </c>
      <c r="Q18" s="6">
        <f>HYPERLINK("https://docs.wto.org/imrd/directdoc.asp?DDFDocuments/v/G/Tbtn06/USA216A1C1.DOC", "https://docs.wto.org/imrd/directdoc.asp?DDFDocuments/v/G/Tbtn06/USA216A1C1.DOC")</f>
      </c>
      <c r="R18" s="0" t="s">
        <v>42</v>
      </c>
      <c r="S18" s="0" t="s">
        <v>41</v>
      </c>
      <c r="T18" s="0" t="s">
        <v>41</v>
      </c>
      <c r="U18" s="0" t="s">
        <v>41</v>
      </c>
      <c r="V18" s="0" t="s">
        <v>41</v>
      </c>
      <c r="W18" s="0" t="s">
        <v>41</v>
      </c>
      <c r="X18" s="0" t="s">
        <v>41</v>
      </c>
      <c r="Y18" s="2" t="s">
        <v>38</v>
      </c>
      <c r="Z18" s="0" t="s">
        <v>38</v>
      </c>
      <c r="AA18" s="0" t="s">
        <v>38</v>
      </c>
      <c r="AB18" s="0" t="s">
        <v>38</v>
      </c>
      <c r="AC18" s="0" t="s">
        <v>38</v>
      </c>
      <c r="AD18" s="0" t="s">
        <v>38</v>
      </c>
      <c r="AE18" s="2" t="s">
        <v>38</v>
      </c>
    </row>
    <row r="19">
      <c r="A19" s="6" t="s">
        <v>31</v>
      </c>
      <c r="B19" s="7">
        <v>40093</v>
      </c>
      <c r="C19" s="9">
        <f>HYPERLINK("https://www.epingalert.org/en/Search?viewData= G/TBT/N/USA/216/Add.1"," G/TBT/N/USA/216/Add.1")</f>
      </c>
      <c r="D19" s="8" t="s">
        <v>104</v>
      </c>
      <c r="E19" s="8"/>
      <c r="F19" s="8" t="s">
        <v>102</v>
      </c>
      <c r="G19" s="8" t="s">
        <v>44</v>
      </c>
      <c r="H19" s="8" t="s">
        <v>103</v>
      </c>
      <c r="I19" s="8" t="s">
        <v>38</v>
      </c>
      <c r="J19" s="8" t="s">
        <v>38</v>
      </c>
      <c r="K19" s="6"/>
      <c r="L19" s="7" t="s">
        <v>38</v>
      </c>
      <c r="M19" s="6" t="s">
        <v>46</v>
      </c>
      <c r="N19" s="6"/>
      <c r="O19" s="6">
        <f>HYPERLINK("https://docs.wto.org/imrd/directdoc.asp?DDFDocuments/t/G/Tbtn06/USA216A1.DOC", "https://docs.wto.org/imrd/directdoc.asp?DDFDocuments/t/G/Tbtn06/USA216A1.DOC")</f>
      </c>
      <c r="P19" s="6">
        <f>HYPERLINK("https://docs.wto.org/imrd/directdoc.asp?DDFDocuments/u/G/Tbtn06/USA216A1.DOC", "https://docs.wto.org/imrd/directdoc.asp?DDFDocuments/u/G/Tbtn06/USA216A1.DOC")</f>
      </c>
      <c r="Q19" s="6">
        <f>HYPERLINK("https://docs.wto.org/imrd/directdoc.asp?DDFDocuments/v/G/Tbtn06/USA216A1.DOC", "https://docs.wto.org/imrd/directdoc.asp?DDFDocuments/v/G/Tbtn06/USA216A1.DOC")</f>
      </c>
      <c r="R19" s="0" t="s">
        <v>42</v>
      </c>
      <c r="S19" s="0" t="s">
        <v>41</v>
      </c>
      <c r="T19" s="0" t="s">
        <v>41</v>
      </c>
      <c r="U19" s="0" t="s">
        <v>41</v>
      </c>
      <c r="V19" s="0" t="s">
        <v>41</v>
      </c>
      <c r="W19" s="0" t="s">
        <v>41</v>
      </c>
      <c r="X19" s="0" t="s">
        <v>41</v>
      </c>
      <c r="Y19" s="2" t="s">
        <v>38</v>
      </c>
      <c r="Z19" s="0" t="s">
        <v>38</v>
      </c>
      <c r="AA19" s="0" t="s">
        <v>38</v>
      </c>
      <c r="AB19" s="0" t="s">
        <v>38</v>
      </c>
      <c r="AC19" s="0" t="s">
        <v>38</v>
      </c>
      <c r="AD19" s="0" t="s">
        <v>38</v>
      </c>
      <c r="AE19" s="2" t="s">
        <v>38</v>
      </c>
    </row>
    <row r="20">
      <c r="A20" s="6" t="s">
        <v>31</v>
      </c>
      <c r="B20" s="7">
        <v>39995</v>
      </c>
      <c r="C20" s="9">
        <f>HYPERLINK("https://www.epingalert.org/en/Search?viewData= G/TBT/N/USA/284/Add.6"," G/TBT/N/USA/284/Add.6")</f>
      </c>
      <c r="D20" s="8" t="s">
        <v>105</v>
      </c>
      <c r="E20" s="8"/>
      <c r="F20" s="8" t="s">
        <v>106</v>
      </c>
      <c r="G20" s="8" t="s">
        <v>44</v>
      </c>
      <c r="H20" s="8" t="s">
        <v>107</v>
      </c>
      <c r="I20" s="8" t="s">
        <v>38</v>
      </c>
      <c r="J20" s="8" t="s">
        <v>38</v>
      </c>
      <c r="K20" s="6"/>
      <c r="L20" s="7" t="s">
        <v>38</v>
      </c>
      <c r="M20" s="6" t="s">
        <v>46</v>
      </c>
      <c r="N20" s="6"/>
      <c r="O20" s="6">
        <f>HYPERLINK("https://docs.wto.org/imrd/directdoc.asp?DDFDocuments/t/G/Tbtn07/USA284A6.pdf", "https://docs.wto.org/imrd/directdoc.asp?DDFDocuments/t/G/Tbtn07/USA284A6.pdf")</f>
      </c>
      <c r="P20" s="6">
        <f>HYPERLINK("https://docs.wto.org/imrd/directdoc.asp?DDFDocuments/u/G/Tbtn07/USA284A6.pdf", "https://docs.wto.org/imrd/directdoc.asp?DDFDocuments/u/G/Tbtn07/USA284A6.pdf")</f>
      </c>
      <c r="Q20" s="6">
        <f>HYPERLINK("https://docs.wto.org/imrd/directdoc.asp?DDFDocuments/v/G/Tbtn07/USA284A6.pdf", "https://docs.wto.org/imrd/directdoc.asp?DDFDocuments/v/G/Tbtn07/USA284A6.pdf")</f>
      </c>
      <c r="R20" s="0" t="s">
        <v>42</v>
      </c>
      <c r="S20" s="0" t="s">
        <v>41</v>
      </c>
      <c r="T20" s="0" t="s">
        <v>41</v>
      </c>
      <c r="U20" s="0" t="s">
        <v>41</v>
      </c>
      <c r="V20" s="0" t="s">
        <v>41</v>
      </c>
      <c r="W20" s="0" t="s">
        <v>41</v>
      </c>
      <c r="X20" s="0" t="s">
        <v>41</v>
      </c>
      <c r="Y20" s="2" t="s">
        <v>38</v>
      </c>
      <c r="Z20" s="0" t="s">
        <v>38</v>
      </c>
      <c r="AA20" s="0" t="s">
        <v>38</v>
      </c>
      <c r="AB20" s="0" t="s">
        <v>38</v>
      </c>
      <c r="AC20" s="0" t="s">
        <v>38</v>
      </c>
      <c r="AD20" s="0" t="s">
        <v>38</v>
      </c>
      <c r="AE20" s="2" t="s">
        <v>38</v>
      </c>
    </row>
    <row r="21">
      <c r="A21" s="6" t="s">
        <v>31</v>
      </c>
      <c r="B21" s="7">
        <v>39911</v>
      </c>
      <c r="C21" s="9">
        <f>HYPERLINK("https://www.epingalert.org/en/Search?viewData= G/TBT/N/USA/284/Add.5"," G/TBT/N/USA/284/Add.5")</f>
      </c>
      <c r="D21" s="8" t="s">
        <v>108</v>
      </c>
      <c r="E21" s="8"/>
      <c r="F21" s="8" t="s">
        <v>106</v>
      </c>
      <c r="G21" s="8" t="s">
        <v>51</v>
      </c>
      <c r="H21" s="8" t="s">
        <v>109</v>
      </c>
      <c r="I21" s="8" t="s">
        <v>38</v>
      </c>
      <c r="J21" s="8" t="s">
        <v>38</v>
      </c>
      <c r="K21" s="6"/>
      <c r="L21" s="7" t="s">
        <v>38</v>
      </c>
      <c r="M21" s="6" t="s">
        <v>46</v>
      </c>
      <c r="N21" s="6"/>
      <c r="O21" s="6">
        <f>HYPERLINK("https://docs.wto.org/imrd/directdoc.asp?DDFDocuments/t/G/Tbtn07/USA284A5.pdf", "https://docs.wto.org/imrd/directdoc.asp?DDFDocuments/t/G/Tbtn07/USA284A5.pdf")</f>
      </c>
      <c r="P21" s="6">
        <f>HYPERLINK("https://docs.wto.org/imrd/directdoc.asp?DDFDocuments/u/G/Tbtn07/USA284A5.pdf", "https://docs.wto.org/imrd/directdoc.asp?DDFDocuments/u/G/Tbtn07/USA284A5.pdf")</f>
      </c>
      <c r="Q21" s="6">
        <f>HYPERLINK("https://docs.wto.org/imrd/directdoc.asp?DDFDocuments/v/G/Tbtn07/USA284A5.pdf", "https://docs.wto.org/imrd/directdoc.asp?DDFDocuments/v/G/Tbtn07/USA284A5.pdf")</f>
      </c>
      <c r="R21" s="0" t="s">
        <v>42</v>
      </c>
      <c r="S21" s="0" t="s">
        <v>41</v>
      </c>
      <c r="T21" s="0" t="s">
        <v>41</v>
      </c>
      <c r="U21" s="0" t="s">
        <v>41</v>
      </c>
      <c r="V21" s="0" t="s">
        <v>41</v>
      </c>
      <c r="W21" s="0" t="s">
        <v>41</v>
      </c>
      <c r="X21" s="0" t="s">
        <v>41</v>
      </c>
      <c r="Y21" s="2" t="s">
        <v>38</v>
      </c>
      <c r="Z21" s="0" t="s">
        <v>38</v>
      </c>
      <c r="AA21" s="0" t="s">
        <v>38</v>
      </c>
      <c r="AB21" s="0" t="s">
        <v>38</v>
      </c>
      <c r="AC21" s="0" t="s">
        <v>38</v>
      </c>
      <c r="AD21" s="0" t="s">
        <v>38</v>
      </c>
      <c r="AE21" s="2" t="s">
        <v>38</v>
      </c>
    </row>
    <row r="22">
      <c r="A22" s="6" t="s">
        <v>31</v>
      </c>
      <c r="B22" s="7">
        <v>39827</v>
      </c>
      <c r="C22" s="9">
        <f>HYPERLINK("https://www.epingalert.org/en/Search?viewData= G/TBT/N/USA/284/Add.4"," G/TBT/N/USA/284/Add.4")</f>
      </c>
      <c r="D22" s="8" t="s">
        <v>110</v>
      </c>
      <c r="E22" s="8"/>
      <c r="F22" s="8" t="s">
        <v>106</v>
      </c>
      <c r="G22" s="8" t="s">
        <v>51</v>
      </c>
      <c r="H22" s="8" t="s">
        <v>109</v>
      </c>
      <c r="I22" s="8" t="s">
        <v>38</v>
      </c>
      <c r="J22" s="8" t="s">
        <v>38</v>
      </c>
      <c r="K22" s="6"/>
      <c r="L22" s="7" t="s">
        <v>38</v>
      </c>
      <c r="M22" s="6" t="s">
        <v>46</v>
      </c>
      <c r="N22" s="6"/>
      <c r="O22" s="6">
        <f>HYPERLINK("https://docs.wto.org/imrd/directdoc.asp?DDFDocuments/t/G/Tbtn07/USA284A4.pdf", "https://docs.wto.org/imrd/directdoc.asp?DDFDocuments/t/G/Tbtn07/USA284A4.pdf")</f>
      </c>
      <c r="P22" s="6">
        <f>HYPERLINK("https://docs.wto.org/imrd/directdoc.asp?DDFDocuments/u/G/Tbtn07/USA284A4.pdf", "https://docs.wto.org/imrd/directdoc.asp?DDFDocuments/u/G/Tbtn07/USA284A4.pdf")</f>
      </c>
      <c r="Q22" s="6">
        <f>HYPERLINK("https://docs.wto.org/imrd/directdoc.asp?DDFDocuments/v/G/Tbtn07/USA284A4.pdf", "https://docs.wto.org/imrd/directdoc.asp?DDFDocuments/v/G/Tbtn07/USA284A4.pdf")</f>
      </c>
      <c r="R22" s="0" t="s">
        <v>42</v>
      </c>
      <c r="S22" s="0" t="s">
        <v>41</v>
      </c>
      <c r="T22" s="0" t="s">
        <v>41</v>
      </c>
      <c r="U22" s="0" t="s">
        <v>41</v>
      </c>
      <c r="V22" s="0" t="s">
        <v>41</v>
      </c>
      <c r="W22" s="0" t="s">
        <v>41</v>
      </c>
      <c r="X22" s="0" t="s">
        <v>41</v>
      </c>
      <c r="Y22" s="2" t="s">
        <v>38</v>
      </c>
      <c r="Z22" s="0" t="s">
        <v>38</v>
      </c>
      <c r="AA22" s="0" t="s">
        <v>38</v>
      </c>
      <c r="AB22" s="0" t="s">
        <v>38</v>
      </c>
      <c r="AC22" s="0" t="s">
        <v>38</v>
      </c>
      <c r="AD22" s="0" t="s">
        <v>38</v>
      </c>
      <c r="AE22" s="2" t="s">
        <v>38</v>
      </c>
    </row>
    <row r="23">
      <c r="A23" s="6" t="s">
        <v>31</v>
      </c>
      <c r="B23" s="7">
        <v>39771</v>
      </c>
      <c r="C23" s="9">
        <f>HYPERLINK("https://www.epingalert.org/en/Search?viewData= G/TBT/N/USA/284/Add.2"," G/TBT/N/USA/284/Add.2")</f>
      </c>
      <c r="D23" s="8" t="s">
        <v>111</v>
      </c>
      <c r="E23" s="8"/>
      <c r="F23" s="8" t="s">
        <v>106</v>
      </c>
      <c r="G23" s="8" t="s">
        <v>44</v>
      </c>
      <c r="H23" s="8" t="s">
        <v>107</v>
      </c>
      <c r="I23" s="8" t="s">
        <v>38</v>
      </c>
      <c r="J23" s="8" t="s">
        <v>38</v>
      </c>
      <c r="K23" s="6"/>
      <c r="L23" s="7" t="s">
        <v>38</v>
      </c>
      <c r="M23" s="6" t="s">
        <v>46</v>
      </c>
      <c r="N23" s="6"/>
      <c r="O23" s="6">
        <f>HYPERLINK("https://docs.wto.org/imrd/directdoc.asp?DDFDocuments/t/G/Tbtn07/USA284A2.pdf", "https://docs.wto.org/imrd/directdoc.asp?DDFDocuments/t/G/Tbtn07/USA284A2.pdf")</f>
      </c>
      <c r="P23" s="6">
        <f>HYPERLINK("https://docs.wto.org/imrd/directdoc.asp?DDFDocuments/u/G/Tbtn07/USA284A2.pdf", "https://docs.wto.org/imrd/directdoc.asp?DDFDocuments/u/G/Tbtn07/USA284A2.pdf")</f>
      </c>
      <c r="Q23" s="6">
        <f>HYPERLINK("https://docs.wto.org/imrd/directdoc.asp?DDFDocuments/v/G/Tbtn07/USA284A2.pdf", "https://docs.wto.org/imrd/directdoc.asp?DDFDocuments/v/G/Tbtn07/USA284A2.pdf")</f>
      </c>
      <c r="R23" s="0" t="s">
        <v>42</v>
      </c>
      <c r="S23" s="0" t="s">
        <v>41</v>
      </c>
      <c r="T23" s="0" t="s">
        <v>41</v>
      </c>
      <c r="U23" s="0" t="s">
        <v>41</v>
      </c>
      <c r="V23" s="0" t="s">
        <v>41</v>
      </c>
      <c r="W23" s="0" t="s">
        <v>41</v>
      </c>
      <c r="X23" s="0" t="s">
        <v>41</v>
      </c>
      <c r="Y23" s="2" t="s">
        <v>38</v>
      </c>
      <c r="Z23" s="0" t="s">
        <v>38</v>
      </c>
      <c r="AA23" s="0" t="s">
        <v>38</v>
      </c>
      <c r="AB23" s="0" t="s">
        <v>38</v>
      </c>
      <c r="AC23" s="0" t="s">
        <v>38</v>
      </c>
      <c r="AD23" s="0" t="s">
        <v>38</v>
      </c>
      <c r="AE23" s="2" t="s">
        <v>38</v>
      </c>
    </row>
    <row r="24">
      <c r="A24" s="6" t="s">
        <v>31</v>
      </c>
      <c r="B24" s="7">
        <v>39771</v>
      </c>
      <c r="C24" s="9">
        <f>HYPERLINK("https://www.epingalert.org/en/Search?viewData= G/TBT/N/USA/284/Add.3"," G/TBT/N/USA/284/Add.3")</f>
      </c>
      <c r="D24" s="8" t="s">
        <v>112</v>
      </c>
      <c r="E24" s="8"/>
      <c r="F24" s="8" t="s">
        <v>106</v>
      </c>
      <c r="G24" s="8" t="s">
        <v>44</v>
      </c>
      <c r="H24" s="8" t="s">
        <v>107</v>
      </c>
      <c r="I24" s="8" t="s">
        <v>38</v>
      </c>
      <c r="J24" s="8" t="s">
        <v>38</v>
      </c>
      <c r="K24" s="6"/>
      <c r="L24" s="7" t="s">
        <v>38</v>
      </c>
      <c r="M24" s="6" t="s">
        <v>46</v>
      </c>
      <c r="N24" s="6"/>
      <c r="O24" s="6">
        <f>HYPERLINK("https://docs.wto.org/imrd/directdoc.asp?DDFDocuments/t/G/Tbtn07/USA284A3.pdf", "https://docs.wto.org/imrd/directdoc.asp?DDFDocuments/t/G/Tbtn07/USA284A3.pdf")</f>
      </c>
      <c r="P24" s="6">
        <f>HYPERLINK("https://docs.wto.org/imrd/directdoc.asp?DDFDocuments/u/G/Tbtn07/USA284A3.pdf", "https://docs.wto.org/imrd/directdoc.asp?DDFDocuments/u/G/Tbtn07/USA284A3.pdf")</f>
      </c>
      <c r="Q24" s="6">
        <f>HYPERLINK("https://docs.wto.org/imrd/directdoc.asp?DDFDocuments/v/G/Tbtn07/USA284A3.pdf", "https://docs.wto.org/imrd/directdoc.asp?DDFDocuments/v/G/Tbtn07/USA284A3.pdf")</f>
      </c>
      <c r="R24" s="0" t="s">
        <v>42</v>
      </c>
      <c r="S24" s="0" t="s">
        <v>41</v>
      </c>
      <c r="T24" s="0" t="s">
        <v>41</v>
      </c>
      <c r="U24" s="0" t="s">
        <v>41</v>
      </c>
      <c r="V24" s="0" t="s">
        <v>41</v>
      </c>
      <c r="W24" s="0" t="s">
        <v>41</v>
      </c>
      <c r="X24" s="0" t="s">
        <v>41</v>
      </c>
      <c r="Y24" s="2" t="s">
        <v>38</v>
      </c>
      <c r="Z24" s="0" t="s">
        <v>38</v>
      </c>
      <c r="AA24" s="0" t="s">
        <v>38</v>
      </c>
      <c r="AB24" s="0" t="s">
        <v>38</v>
      </c>
      <c r="AC24" s="0" t="s">
        <v>38</v>
      </c>
      <c r="AD24" s="0" t="s">
        <v>38</v>
      </c>
      <c r="AE24" s="2" t="s">
        <v>38</v>
      </c>
    </row>
    <row r="25">
      <c r="A25" s="6" t="s">
        <v>31</v>
      </c>
      <c r="B25" s="7">
        <v>39661</v>
      </c>
      <c r="C25" s="9">
        <f>HYPERLINK("https://www.epingalert.org/en/Search?viewData= G/TBT/N/USA/407"," G/TBT/N/USA/407")</f>
      </c>
      <c r="D25" s="8" t="s">
        <v>113</v>
      </c>
      <c r="E25" s="8" t="s">
        <v>114</v>
      </c>
      <c r="F25" s="8" t="s">
        <v>115</v>
      </c>
      <c r="G25" s="8" t="s">
        <v>51</v>
      </c>
      <c r="H25" s="8" t="s">
        <v>116</v>
      </c>
      <c r="I25" s="8" t="s">
        <v>38</v>
      </c>
      <c r="J25" s="8" t="s">
        <v>38</v>
      </c>
      <c r="K25" s="6"/>
      <c r="L25" s="7" t="s">
        <v>38</v>
      </c>
      <c r="M25" s="6" t="s">
        <v>57</v>
      </c>
      <c r="N25" s="6"/>
      <c r="O25" s="6">
        <f>HYPERLINK("https://docs.wto.org/imrd/directdoc.asp?DDFDocuments/t/G/Tbtn08/USA407.DOC", "https://docs.wto.org/imrd/directdoc.asp?DDFDocuments/t/G/Tbtn08/USA407.DOC")</f>
      </c>
      <c r="P25" s="6">
        <f>HYPERLINK("https://docs.wto.org/imrd/directdoc.asp?DDFDocuments/u/G/Tbtn08/USA407.DOC", "https://docs.wto.org/imrd/directdoc.asp?DDFDocuments/u/G/Tbtn08/USA407.DOC")</f>
      </c>
      <c r="Q25" s="6">
        <f>HYPERLINK("https://docs.wto.org/imrd/directdoc.asp?DDFDocuments/v/G/Tbtn08/USA407.DOC", "https://docs.wto.org/imrd/directdoc.asp?DDFDocuments/v/G/Tbtn08/USA407.DOC")</f>
      </c>
      <c r="R25" s="0" t="s">
        <v>42</v>
      </c>
      <c r="S25" s="0" t="s">
        <v>41</v>
      </c>
      <c r="T25" s="0" t="s">
        <v>41</v>
      </c>
      <c r="U25" s="0" t="s">
        <v>41</v>
      </c>
      <c r="V25" s="0" t="s">
        <v>41</v>
      </c>
      <c r="W25" s="0" t="s">
        <v>41</v>
      </c>
      <c r="X25" s="0" t="s">
        <v>41</v>
      </c>
      <c r="Y25" s="2"/>
      <c r="Z25" s="0" t="s">
        <v>38</v>
      </c>
      <c r="AA25" s="0" t="s">
        <v>38</v>
      </c>
      <c r="AB25" s="0" t="s">
        <v>38</v>
      </c>
      <c r="AC25" s="0" t="s">
        <v>38</v>
      </c>
      <c r="AD25" s="0" t="s">
        <v>38</v>
      </c>
      <c r="AE25" s="2" t="s">
        <v>38</v>
      </c>
    </row>
    <row r="26">
      <c r="A26" s="6" t="s">
        <v>31</v>
      </c>
      <c r="B26" s="7">
        <v>39539</v>
      </c>
      <c r="C26" s="9">
        <f>HYPERLINK("https://www.epingalert.org/en/Search?viewData= G/TBT/N/USA/284/Add.1"," G/TBT/N/USA/284/Add.1")</f>
      </c>
      <c r="D26" s="8"/>
      <c r="E26" s="8"/>
      <c r="F26" s="8" t="s">
        <v>106</v>
      </c>
      <c r="G26" s="8" t="s">
        <v>44</v>
      </c>
      <c r="H26" s="8" t="s">
        <v>107</v>
      </c>
      <c r="I26" s="8" t="s">
        <v>38</v>
      </c>
      <c r="J26" s="8" t="s">
        <v>38</v>
      </c>
      <c r="K26" s="6"/>
      <c r="L26" s="7" t="s">
        <v>38</v>
      </c>
      <c r="M26" s="6" t="s">
        <v>46</v>
      </c>
      <c r="N26" s="6"/>
      <c r="O26" s="6">
        <f>HYPERLINK("https://docs.wto.org/imrd/directdoc.asp?DDFDocuments/t/G/Tbtn07/USA284A1.pdf", "https://docs.wto.org/imrd/directdoc.asp?DDFDocuments/t/G/Tbtn07/USA284A1.pdf")</f>
      </c>
      <c r="P26" s="6">
        <f>HYPERLINK("https://docs.wto.org/imrd/directdoc.asp?DDFDocuments/u/G/Tbtn07/USA284A1.pdf", "https://docs.wto.org/imrd/directdoc.asp?DDFDocuments/u/G/Tbtn07/USA284A1.pdf")</f>
      </c>
      <c r="Q26" s="6">
        <f>HYPERLINK("https://docs.wto.org/imrd/directdoc.asp?DDFDocuments/v/G/Tbtn07/USA284A1.pdf", "https://docs.wto.org/imrd/directdoc.asp?DDFDocuments/v/G/Tbtn07/USA284A1.pdf")</f>
      </c>
      <c r="R26" s="0" t="s">
        <v>42</v>
      </c>
      <c r="S26" s="0" t="s">
        <v>41</v>
      </c>
      <c r="T26" s="0" t="s">
        <v>41</v>
      </c>
      <c r="U26" s="0" t="s">
        <v>41</v>
      </c>
      <c r="V26" s="0" t="s">
        <v>41</v>
      </c>
      <c r="W26" s="0" t="s">
        <v>41</v>
      </c>
      <c r="X26" s="0" t="s">
        <v>41</v>
      </c>
      <c r="Y26" s="2" t="s">
        <v>38</v>
      </c>
      <c r="Z26" s="0" t="s">
        <v>38</v>
      </c>
      <c r="AA26" s="0" t="s">
        <v>38</v>
      </c>
      <c r="AB26" s="0" t="s">
        <v>38</v>
      </c>
      <c r="AC26" s="0" t="s">
        <v>38</v>
      </c>
      <c r="AD26" s="0" t="s">
        <v>38</v>
      </c>
      <c r="AE26" s="2" t="s">
        <v>38</v>
      </c>
    </row>
    <row r="27">
      <c r="A27" s="6" t="s">
        <v>31</v>
      </c>
      <c r="B27" s="7">
        <v>39352</v>
      </c>
      <c r="C27" s="9">
        <f>HYPERLINK("https://www.epingalert.org/en/Search?viewData= G/TBT/N/USA/299"," G/TBT/N/USA/299")</f>
      </c>
      <c r="D27" s="8" t="s">
        <v>117</v>
      </c>
      <c r="E27" s="8" t="s">
        <v>118</v>
      </c>
      <c r="F27" s="8" t="s">
        <v>119</v>
      </c>
      <c r="G27" s="8" t="s">
        <v>51</v>
      </c>
      <c r="H27" s="8" t="s">
        <v>120</v>
      </c>
      <c r="I27" s="8" t="s">
        <v>38</v>
      </c>
      <c r="J27" s="8" t="s">
        <v>38</v>
      </c>
      <c r="K27" s="6"/>
      <c r="L27" s="7" t="s">
        <v>38</v>
      </c>
      <c r="M27" s="6" t="s">
        <v>57</v>
      </c>
      <c r="N27" s="6"/>
      <c r="O27" s="6">
        <f>HYPERLINK("https://docs.wto.org/imrd/directdoc.asp?DDFDocuments/t/G/Tbtn07/USA299.pdf", "https://docs.wto.org/imrd/directdoc.asp?DDFDocuments/t/G/Tbtn07/USA299.pdf")</f>
      </c>
      <c r="P27" s="6">
        <f>HYPERLINK("https://docs.wto.org/imrd/directdoc.asp?DDFDocuments/u/G/Tbtn07/USA299.pdf", "https://docs.wto.org/imrd/directdoc.asp?DDFDocuments/u/G/Tbtn07/USA299.pdf")</f>
      </c>
      <c r="Q27" s="6">
        <f>HYPERLINK("https://docs.wto.org/imrd/directdoc.asp?DDFDocuments/v/G/Tbtn07/USA299.pdf", "https://docs.wto.org/imrd/directdoc.asp?DDFDocuments/v/G/Tbtn07/USA299.pdf")</f>
      </c>
      <c r="R27" s="0" t="s">
        <v>41</v>
      </c>
      <c r="S27" s="0" t="s">
        <v>41</v>
      </c>
      <c r="T27" s="0" t="s">
        <v>41</v>
      </c>
      <c r="U27" s="0" t="s">
        <v>41</v>
      </c>
      <c r="V27" s="0" t="s">
        <v>42</v>
      </c>
      <c r="W27" s="0" t="s">
        <v>41</v>
      </c>
      <c r="X27" s="0" t="s">
        <v>41</v>
      </c>
      <c r="Y27" s="2"/>
      <c r="Z27" s="0" t="s">
        <v>38</v>
      </c>
      <c r="AA27" s="0" t="s">
        <v>38</v>
      </c>
      <c r="AB27" s="0" t="s">
        <v>38</v>
      </c>
      <c r="AC27" s="0" t="s">
        <v>38</v>
      </c>
      <c r="AD27" s="0" t="s">
        <v>38</v>
      </c>
      <c r="AE27" s="2" t="s">
        <v>38</v>
      </c>
    </row>
    <row r="28">
      <c r="A28" s="6" t="s">
        <v>31</v>
      </c>
      <c r="B28" s="7">
        <v>39294</v>
      </c>
      <c r="C28" s="9">
        <f>HYPERLINK("https://www.epingalert.org/en/Search?viewData= G/TBT/N/USA/287"," G/TBT/N/USA/287")</f>
      </c>
      <c r="D28" s="8" t="s">
        <v>121</v>
      </c>
      <c r="E28" s="8" t="s">
        <v>122</v>
      </c>
      <c r="F28" s="8" t="s">
        <v>123</v>
      </c>
      <c r="G28" s="8" t="s">
        <v>51</v>
      </c>
      <c r="H28" s="8" t="s">
        <v>120</v>
      </c>
      <c r="I28" s="8" t="s">
        <v>38</v>
      </c>
      <c r="J28" s="8" t="s">
        <v>38</v>
      </c>
      <c r="K28" s="6"/>
      <c r="L28" s="7" t="s">
        <v>38</v>
      </c>
      <c r="M28" s="6" t="s">
        <v>57</v>
      </c>
      <c r="N28" s="6"/>
      <c r="O28" s="6">
        <f>HYPERLINK("https://docs.wto.org/imrd/directdoc.asp?DDFDocuments/t/G/Tbtn07/USA287.pdf", "https://docs.wto.org/imrd/directdoc.asp?DDFDocuments/t/G/Tbtn07/USA287.pdf")</f>
      </c>
      <c r="P28" s="6">
        <f>HYPERLINK("https://docs.wto.org/imrd/directdoc.asp?DDFDocuments/u/G/Tbtn07/USA287.pdf", "https://docs.wto.org/imrd/directdoc.asp?DDFDocuments/u/G/Tbtn07/USA287.pdf")</f>
      </c>
      <c r="Q28" s="6">
        <f>HYPERLINK("https://docs.wto.org/imrd/directdoc.asp?DDFDocuments/v/G/Tbtn07/USA287.pdf", "https://docs.wto.org/imrd/directdoc.asp?DDFDocuments/v/G/Tbtn07/USA287.pdf")</f>
      </c>
      <c r="R28" s="0" t="s">
        <v>41</v>
      </c>
      <c r="S28" s="0" t="s">
        <v>41</v>
      </c>
      <c r="T28" s="0" t="s">
        <v>41</v>
      </c>
      <c r="U28" s="0" t="s">
        <v>41</v>
      </c>
      <c r="V28" s="0" t="s">
        <v>42</v>
      </c>
      <c r="W28" s="0" t="s">
        <v>41</v>
      </c>
      <c r="X28" s="0" t="s">
        <v>41</v>
      </c>
      <c r="Y28" s="2"/>
      <c r="Z28" s="0" t="s">
        <v>38</v>
      </c>
      <c r="AA28" s="0" t="s">
        <v>38</v>
      </c>
      <c r="AB28" s="0" t="s">
        <v>38</v>
      </c>
      <c r="AC28" s="0" t="s">
        <v>38</v>
      </c>
      <c r="AD28" s="0" t="s">
        <v>38</v>
      </c>
      <c r="AE28" s="2" t="s">
        <v>38</v>
      </c>
    </row>
    <row r="29">
      <c r="A29" s="6" t="s">
        <v>31</v>
      </c>
      <c r="B29" s="7">
        <v>39282</v>
      </c>
      <c r="C29" s="9">
        <f>HYPERLINK("https://www.epingalert.org/en/Search?viewData= G/TBT/N/USA/284"," G/TBT/N/USA/284")</f>
      </c>
      <c r="D29" s="8" t="s">
        <v>124</v>
      </c>
      <c r="E29" s="8" t="s">
        <v>125</v>
      </c>
      <c r="F29" s="8" t="s">
        <v>106</v>
      </c>
      <c r="G29" s="8" t="s">
        <v>51</v>
      </c>
      <c r="H29" s="8" t="s">
        <v>109</v>
      </c>
      <c r="I29" s="8" t="s">
        <v>38</v>
      </c>
      <c r="J29" s="8" t="s">
        <v>38</v>
      </c>
      <c r="K29" s="6"/>
      <c r="L29" s="7" t="s">
        <v>38</v>
      </c>
      <c r="M29" s="6" t="s">
        <v>57</v>
      </c>
      <c r="N29" s="6"/>
      <c r="O29" s="6">
        <f>HYPERLINK("https://docs.wto.org/imrd/directdoc.asp?DDFDocuments/t/G/Tbtn07/USA284.pdf", "https://docs.wto.org/imrd/directdoc.asp?DDFDocuments/t/G/Tbtn07/USA284.pdf")</f>
      </c>
      <c r="P29" s="6">
        <f>HYPERLINK("https://docs.wto.org/imrd/directdoc.asp?DDFDocuments/u/G/Tbtn07/USA284.pdf", "https://docs.wto.org/imrd/directdoc.asp?DDFDocuments/u/G/Tbtn07/USA284.pdf")</f>
      </c>
      <c r="Q29" s="6">
        <f>HYPERLINK("https://docs.wto.org/imrd/directdoc.asp?DDFDocuments/v/G/Tbtn07/USA284.pdf", "https://docs.wto.org/imrd/directdoc.asp?DDFDocuments/v/G/Tbtn07/USA284.pdf")</f>
      </c>
      <c r="R29" s="0" t="s">
        <v>42</v>
      </c>
      <c r="S29" s="0" t="s">
        <v>41</v>
      </c>
      <c r="T29" s="0" t="s">
        <v>41</v>
      </c>
      <c r="U29" s="0" t="s">
        <v>41</v>
      </c>
      <c r="V29" s="0" t="s">
        <v>41</v>
      </c>
      <c r="W29" s="0" t="s">
        <v>41</v>
      </c>
      <c r="X29" s="0" t="s">
        <v>41</v>
      </c>
      <c r="Y29" s="2"/>
      <c r="Z29" s="0" t="s">
        <v>38</v>
      </c>
      <c r="AA29" s="0" t="s">
        <v>38</v>
      </c>
      <c r="AB29" s="0" t="s">
        <v>38</v>
      </c>
      <c r="AC29" s="0" t="s">
        <v>38</v>
      </c>
      <c r="AD29" s="0" t="s">
        <v>38</v>
      </c>
      <c r="AE29" s="2" t="s">
        <v>38</v>
      </c>
    </row>
    <row r="30">
      <c r="A30" s="6" t="s">
        <v>31</v>
      </c>
      <c r="B30" s="7">
        <v>39232</v>
      </c>
      <c r="C30" s="9">
        <f>HYPERLINK("https://www.epingalert.org/en/Search?viewData= G/TBT/N/USA/275"," G/TBT/N/USA/275")</f>
      </c>
      <c r="D30" s="8" t="s">
        <v>126</v>
      </c>
      <c r="E30" s="8" t="s">
        <v>127</v>
      </c>
      <c r="F30" s="8" t="s">
        <v>128</v>
      </c>
      <c r="G30" s="8" t="s">
        <v>51</v>
      </c>
      <c r="H30" s="8" t="s">
        <v>120</v>
      </c>
      <c r="I30" s="8" t="s">
        <v>38</v>
      </c>
      <c r="J30" s="8" t="s">
        <v>38</v>
      </c>
      <c r="K30" s="6"/>
      <c r="L30" s="7" t="s">
        <v>38</v>
      </c>
      <c r="M30" s="6" t="s">
        <v>57</v>
      </c>
      <c r="N30" s="6"/>
      <c r="O30" s="6">
        <f>HYPERLINK("https://docs.wto.org/imrd/directdoc.asp?DDFDocuments/t/G/Tbtn07/USA275.pdf", "https://docs.wto.org/imrd/directdoc.asp?DDFDocuments/t/G/Tbtn07/USA275.pdf")</f>
      </c>
      <c r="P30" s="6">
        <f>HYPERLINK("https://docs.wto.org/imrd/directdoc.asp?DDFDocuments/u/G/Tbtn07/USA275.pdf", "https://docs.wto.org/imrd/directdoc.asp?DDFDocuments/u/G/Tbtn07/USA275.pdf")</f>
      </c>
      <c r="Q30" s="6">
        <f>HYPERLINK("https://docs.wto.org/imrd/directdoc.asp?DDFDocuments/v/G/Tbtn07/USA275.pdf", "https://docs.wto.org/imrd/directdoc.asp?DDFDocuments/v/G/Tbtn07/USA275.pdf")</f>
      </c>
      <c r="R30" s="0" t="s">
        <v>42</v>
      </c>
      <c r="S30" s="0" t="s">
        <v>41</v>
      </c>
      <c r="T30" s="0" t="s">
        <v>41</v>
      </c>
      <c r="U30" s="0" t="s">
        <v>41</v>
      </c>
      <c r="V30" s="0" t="s">
        <v>41</v>
      </c>
      <c r="W30" s="0" t="s">
        <v>41</v>
      </c>
      <c r="X30" s="0" t="s">
        <v>41</v>
      </c>
      <c r="Y30" s="2"/>
      <c r="Z30" s="0" t="s">
        <v>38</v>
      </c>
      <c r="AA30" s="0" t="s">
        <v>38</v>
      </c>
      <c r="AB30" s="0" t="s">
        <v>38</v>
      </c>
      <c r="AC30" s="0" t="s">
        <v>38</v>
      </c>
      <c r="AD30" s="0" t="s">
        <v>38</v>
      </c>
      <c r="AE30" s="2" t="s">
        <v>38</v>
      </c>
    </row>
    <row r="31">
      <c r="A31" s="6" t="s">
        <v>31</v>
      </c>
      <c r="B31" s="7">
        <v>39167</v>
      </c>
      <c r="C31" s="9">
        <f>HYPERLINK("https://www.epingalert.org/en/Search?viewData= G/TBT/N/USA/249"," G/TBT/N/USA/249")</f>
      </c>
      <c r="D31" s="8" t="s">
        <v>129</v>
      </c>
      <c r="E31" s="8" t="s">
        <v>130</v>
      </c>
      <c r="F31" s="8" t="s">
        <v>131</v>
      </c>
      <c r="G31" s="8" t="s">
        <v>51</v>
      </c>
      <c r="H31" s="8" t="s">
        <v>120</v>
      </c>
      <c r="I31" s="8" t="s">
        <v>38</v>
      </c>
      <c r="J31" s="8" t="s">
        <v>38</v>
      </c>
      <c r="K31" s="6"/>
      <c r="L31" s="7" t="s">
        <v>38</v>
      </c>
      <c r="M31" s="6" t="s">
        <v>57</v>
      </c>
      <c r="N31" s="6"/>
      <c r="O31" s="6">
        <f>HYPERLINK("https://docs.wto.org/imrd/directdoc.asp?DDFDocuments/t/G/Tbtn07/USA249.pdf", "https://docs.wto.org/imrd/directdoc.asp?DDFDocuments/t/G/Tbtn07/USA249.pdf")</f>
      </c>
      <c r="P31" s="6">
        <f>HYPERLINK("https://docs.wto.org/imrd/directdoc.asp?DDFDocuments/u/G/Tbtn07/USA249.pdf", "https://docs.wto.org/imrd/directdoc.asp?DDFDocuments/u/G/Tbtn07/USA249.pdf")</f>
      </c>
      <c r="Q31" s="6">
        <f>HYPERLINK("https://docs.wto.org/imrd/directdoc.asp?DDFDocuments/v/G/Tbtn07/USA249.pdf", "https://docs.wto.org/imrd/directdoc.asp?DDFDocuments/v/G/Tbtn07/USA249.pdf")</f>
      </c>
      <c r="R31" s="0" t="s">
        <v>41</v>
      </c>
      <c r="S31" s="0" t="s">
        <v>41</v>
      </c>
      <c r="T31" s="0" t="s">
        <v>41</v>
      </c>
      <c r="U31" s="0" t="s">
        <v>41</v>
      </c>
      <c r="V31" s="0" t="s">
        <v>42</v>
      </c>
      <c r="W31" s="0" t="s">
        <v>41</v>
      </c>
      <c r="X31" s="0" t="s">
        <v>41</v>
      </c>
      <c r="Y31" s="2"/>
      <c r="Z31" s="0" t="s">
        <v>38</v>
      </c>
      <c r="AA31" s="0" t="s">
        <v>38</v>
      </c>
      <c r="AB31" s="0" t="s">
        <v>38</v>
      </c>
      <c r="AC31" s="0" t="s">
        <v>38</v>
      </c>
      <c r="AD31" s="0" t="s">
        <v>38</v>
      </c>
      <c r="AE31" s="2" t="s">
        <v>38</v>
      </c>
    </row>
    <row r="32">
      <c r="A32" s="6" t="s">
        <v>31</v>
      </c>
      <c r="B32" s="7">
        <v>38975</v>
      </c>
      <c r="C32" s="9">
        <f>HYPERLINK("https://www.epingalert.org/en/Search?viewData= G/TBT/N/USA/216"," G/TBT/N/USA/216")</f>
      </c>
      <c r="D32" s="8" t="s">
        <v>132</v>
      </c>
      <c r="E32" s="8" t="s">
        <v>133</v>
      </c>
      <c r="F32" s="8" t="s">
        <v>102</v>
      </c>
      <c r="G32" s="8" t="s">
        <v>51</v>
      </c>
      <c r="H32" s="8" t="s">
        <v>103</v>
      </c>
      <c r="I32" s="8" t="s">
        <v>38</v>
      </c>
      <c r="J32" s="8" t="s">
        <v>38</v>
      </c>
      <c r="K32" s="6"/>
      <c r="L32" s="7" t="s">
        <v>38</v>
      </c>
      <c r="M32" s="6" t="s">
        <v>57</v>
      </c>
      <c r="N32" s="6"/>
      <c r="O32" s="6">
        <f>HYPERLINK("https://docs.wto.org/imrd/directdoc.asp?DDFDocuments/t/G/Tbtn06/USA216.DOC", "https://docs.wto.org/imrd/directdoc.asp?DDFDocuments/t/G/Tbtn06/USA216.DOC")</f>
      </c>
      <c r="P32" s="6">
        <f>HYPERLINK("https://docs.wto.org/imrd/directdoc.asp?DDFDocuments/u/G/Tbtn06/USA216.DOC", "https://docs.wto.org/imrd/directdoc.asp?DDFDocuments/u/G/Tbtn06/USA216.DOC")</f>
      </c>
      <c r="Q32" s="6">
        <f>HYPERLINK("https://docs.wto.org/imrd/directdoc.asp?DDFDocuments/v/G/Tbtn06/USA216.DOC", "https://docs.wto.org/imrd/directdoc.asp?DDFDocuments/v/G/Tbtn06/USA216.DOC")</f>
      </c>
      <c r="R32" s="0" t="s">
        <v>42</v>
      </c>
      <c r="S32" s="0" t="s">
        <v>41</v>
      </c>
      <c r="T32" s="0" t="s">
        <v>41</v>
      </c>
      <c r="U32" s="0" t="s">
        <v>41</v>
      </c>
      <c r="V32" s="0" t="s">
        <v>41</v>
      </c>
      <c r="W32" s="0" t="s">
        <v>41</v>
      </c>
      <c r="X32" s="0" t="s">
        <v>41</v>
      </c>
      <c r="Y32" s="2"/>
      <c r="Z32" s="0" t="s">
        <v>38</v>
      </c>
      <c r="AA32" s="0" t="s">
        <v>38</v>
      </c>
      <c r="AB32" s="0" t="s">
        <v>38</v>
      </c>
      <c r="AC32" s="0" t="s">
        <v>38</v>
      </c>
      <c r="AD32" s="0" t="s">
        <v>38</v>
      </c>
      <c r="AE32" s="2" t="s">
        <v>38</v>
      </c>
    </row>
    <row r="33">
      <c r="A33" s="6" t="s">
        <v>31</v>
      </c>
      <c r="B33" s="7">
        <v>38537</v>
      </c>
      <c r="C33" s="9">
        <f>HYPERLINK("https://www.epingalert.org/en/Search?viewData= G/TBT/N/USA/127"," G/TBT/N/USA/127")</f>
      </c>
      <c r="D33" s="8" t="s">
        <v>134</v>
      </c>
      <c r="E33" s="8" t="s">
        <v>135</v>
      </c>
      <c r="F33" s="8" t="s">
        <v>136</v>
      </c>
      <c r="G33" s="8" t="s">
        <v>51</v>
      </c>
      <c r="H33" s="8" t="s">
        <v>137</v>
      </c>
      <c r="I33" s="8" t="s">
        <v>38</v>
      </c>
      <c r="J33" s="8" t="s">
        <v>38</v>
      </c>
      <c r="K33" s="6"/>
      <c r="L33" s="7" t="s">
        <v>38</v>
      </c>
      <c r="M33" s="6" t="s">
        <v>57</v>
      </c>
      <c r="N33" s="6"/>
      <c r="O33" s="6">
        <f>HYPERLINK("https://docs.wto.org/imrd/directdoc.asp?DDFDocuments/t/G/Tbtn05/USA127.DOC", "https://docs.wto.org/imrd/directdoc.asp?DDFDocuments/t/G/Tbtn05/USA127.DOC")</f>
      </c>
      <c r="P33" s="6">
        <f>HYPERLINK("https://docs.wto.org/imrd/directdoc.asp?DDFDocuments/u/G/Tbtn05/USA127.DOC", "https://docs.wto.org/imrd/directdoc.asp?DDFDocuments/u/G/Tbtn05/USA127.DOC")</f>
      </c>
      <c r="Q33" s="6">
        <f>HYPERLINK("https://docs.wto.org/imrd/directdoc.asp?DDFDocuments/v/G/Tbtn05/USA127.DOC", "https://docs.wto.org/imrd/directdoc.asp?DDFDocuments/v/G/Tbtn05/USA127.DOC")</f>
      </c>
      <c r="R33" s="0" t="s">
        <v>42</v>
      </c>
      <c r="S33" s="0" t="s">
        <v>41</v>
      </c>
      <c r="T33" s="0" t="s">
        <v>41</v>
      </c>
      <c r="U33" s="0" t="s">
        <v>41</v>
      </c>
      <c r="V33" s="0" t="s">
        <v>41</v>
      </c>
      <c r="W33" s="0" t="s">
        <v>41</v>
      </c>
      <c r="X33" s="0" t="s">
        <v>41</v>
      </c>
      <c r="Y33" s="2"/>
      <c r="Z33" s="0" t="s">
        <v>38</v>
      </c>
      <c r="AA33" s="0" t="s">
        <v>38</v>
      </c>
      <c r="AB33" s="0" t="s">
        <v>38</v>
      </c>
      <c r="AC33" s="0" t="s">
        <v>38</v>
      </c>
      <c r="AD33" s="0" t="s">
        <v>38</v>
      </c>
      <c r="AE33" s="2" t="s">
        <v>38</v>
      </c>
    </row>
  </sheetData>
  <headerFooter/>
</worksheet>
</file>